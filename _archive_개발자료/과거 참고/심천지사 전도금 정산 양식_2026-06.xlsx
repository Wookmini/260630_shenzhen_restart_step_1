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3" firstSheet="0" activeTab="6" autoFilterDateGrouping="1"/>
  </bookViews>
  <sheets>
    <sheet name="통장내역(환율표)" sheetId="1" state="visible" r:id="rId1"/>
    <sheet name="내역_25.01" sheetId="2" state="hidden" r:id="rId2"/>
    <sheet name="내역_25.02" sheetId="3" state="hidden" r:id="rId3"/>
    <sheet name="내역_25.03" sheetId="4" state="hidden" r:id="rId4"/>
    <sheet name="내역_25.04" sheetId="5" state="hidden" r:id="rId5"/>
    <sheet name="내역_25.05" sheetId="6" state="hidden" r:id="rId6"/>
    <sheet name="2026-06" sheetId="7" state="visible" r:id="rId7"/>
    <sheet name="통장지급내역" sheetId="8" state="visible" r:id="rId8"/>
    <sheet name="당월 업무추진비" sheetId="9" state="visible" r:id="rId9"/>
    <sheet name="기사 야근 일지" sheetId="10" state="visible" r:id="rId10"/>
  </sheets>
  <externalReferences>
    <externalReference r:id="rId11"/>
    <externalReference r:id="rId12"/>
  </externalReferences>
  <definedNames>
    <definedName name="Large_scale_classification">[1]Sheet3!$C$4:$C$10</definedName>
    <definedName name="_xlnm.Print_Area" localSheetId="0">'통장내역(환율표)'!$B$2:$N$10</definedName>
    <definedName name="_xlnm._FilterDatabase" localSheetId="1" hidden="1">'내역_25.01'!$B$18:$R$105</definedName>
    <definedName name="_xlnm._FilterDatabase" localSheetId="2" hidden="1">'내역_25.02'!$B$18:$R$97</definedName>
    <definedName name="_xlnm._FilterDatabase" localSheetId="3" hidden="1">'내역_25.03'!$B$18:$R$104</definedName>
    <definedName name="_xlnm._FilterDatabase" localSheetId="4" hidden="1">'내역_25.04'!$B$18:$R$104</definedName>
    <definedName name="_xlnm._FilterDatabase" localSheetId="5" hidden="1">'내역_25.05'!$B$18:$R$110</definedName>
    <definedName name="_xlnm.Print_Area" localSheetId="7">'통장지급내역'!$A$1:$L$133</definedName>
    <definedName name="_xlnm._FilterDatabase" localSheetId="8" hidden="1">'당월 업무추진비'!$B$5:$L$46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0_);[Red]\(0\)"/>
    <numFmt numFmtId="165" formatCode="m&quot;/&quot;d;@"/>
    <numFmt numFmtId="166" formatCode="_-* #,##0.00_-;\-* #,##0.00_-;_-* &quot;-&quot;_-;_-@_-"/>
    <numFmt numFmtId="167" formatCode="[$¥-804]#,##0.00"/>
    <numFmt numFmtId="168" formatCode="#,##0.00_ "/>
    <numFmt numFmtId="169" formatCode="#,##0.0000_ "/>
    <numFmt numFmtId="170" formatCode="_-* #,##0_-;\-* #,##0_-;_-* &quot;-&quot;_-;_-@_-"/>
    <numFmt numFmtId="171" formatCode="_-* #,##0.00_-;\-* #,##0.00_-;_-* &quot;-&quot;??_-;_-@_-"/>
    <numFmt numFmtId="172" formatCode="\$#,##0.00_);\(\$#,##0.00\)"/>
    <numFmt numFmtId="173" formatCode="&quot;₩&quot;#,##0;\-&quot;₩&quot;#,##0"/>
    <numFmt numFmtId="174" formatCode="_-* #,##0.0000_-;\-* #,##0.0000_-;_-* &quot;-&quot;_-;_-@_-"/>
    <numFmt numFmtId="175" formatCode="yyyy&quot;-&quot;m&quot;-&quot;d;@"/>
    <numFmt numFmtId="176" formatCode="_-* #,##0.0_-;\-* #,##0.0_-;_-* &quot;-&quot;_-;_-@_-"/>
    <numFmt numFmtId="177" formatCode="0.00_ "/>
    <numFmt numFmtId="178" formatCode="#,##0.00_);[Red]\(#,##0.00\)"/>
    <numFmt numFmtId="179" formatCode="mm&quot;월&quot;\ dd&quot;일&quot;"/>
    <numFmt numFmtId="180" formatCode="_-* #,##0.000_-;\-* #,##0.000_-;_-* &quot;-&quot;_-;_-@_-"/>
    <numFmt numFmtId="181" formatCode="0.000000000"/>
    <numFmt numFmtId="182" formatCode="#,##0.00000_ "/>
    <numFmt numFmtId="183" formatCode="_ * #,##0.00_ ;_ * \-#,##0.00_ ;_ * &quot;-&quot;??_ ;_ @_ "/>
    <numFmt numFmtId="184" formatCode="_ * #,##0_ ;_ * \-#,##0_ ;_ * &quot;-&quot;_ ;_ @_ "/>
  </numFmts>
  <fonts count="87">
    <font>
      <name val="맑은 고딕"/>
      <charset val="129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color theme="0"/>
      <sz val="10"/>
      <scheme val="minor"/>
    </font>
    <font>
      <name val="돋움"/>
      <charset val="129"/>
      <family val="3"/>
      <sz val="11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맑은 고딕"/>
      <charset val="129"/>
      <family val="2"/>
      <b val="1"/>
      <color theme="0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b val="1"/>
      <sz val="10"/>
      <scheme val="minor"/>
    </font>
    <font>
      <name val="宋体"/>
      <charset val="134"/>
      <family val="3"/>
      <sz val="12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ajor"/>
    </font>
    <font>
      <name val="맑은 고딕"/>
      <charset val="129"/>
      <family val="3"/>
      <b val="1"/>
      <color theme="1"/>
      <sz val="9"/>
      <scheme val="major"/>
    </font>
    <font>
      <name val="맑은 고딕"/>
      <charset val="129"/>
      <family val="3"/>
      <sz val="9"/>
      <scheme val="maj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9"/>
      <scheme val="major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rgb="FF0070C0"/>
      <sz val="9"/>
      <scheme val="major"/>
    </font>
    <font>
      <name val="맑은 고딕"/>
      <charset val="129"/>
      <family val="3"/>
      <color rgb="FFFF0000"/>
      <sz val="9"/>
      <scheme val="major"/>
    </font>
    <font>
      <name val="맑은 고딕"/>
      <charset val="129"/>
      <family val="3"/>
      <b val="1"/>
      <color rgb="FFFF0000"/>
      <sz val="9"/>
      <scheme val="major"/>
    </font>
    <font>
      <name val="맑은 고딕"/>
      <charset val="129"/>
      <family val="3"/>
      <b val="1"/>
      <color theme="3" tint="-0.249977111117893"/>
      <sz val="9"/>
      <scheme val="major"/>
    </font>
    <font>
      <name val="맑은 고딕"/>
      <charset val="129"/>
      <family val="3"/>
      <b val="1"/>
      <color indexed="81"/>
      <sz val="8"/>
      <scheme val="major"/>
    </font>
    <font>
      <name val="새굴림"/>
      <charset val="129"/>
      <family val="1"/>
      <color indexed="8"/>
      <sz val="10"/>
    </font>
    <font>
      <name val="맑은 고딕"/>
      <charset val="129"/>
      <family val="3"/>
      <color indexed="8"/>
      <sz val="10"/>
    </font>
    <font>
      <name val="새굴림"/>
      <family val="1"/>
      <color indexed="8"/>
      <sz val="10"/>
    </font>
    <font>
      <name val="맑은 고딕"/>
      <charset val="129"/>
      <family val="3"/>
      <b val="1"/>
      <sz val="9"/>
      <scheme val="major"/>
    </font>
    <font>
      <name val="맑은 고딕"/>
      <charset val="129"/>
      <family val="3"/>
      <color theme="6"/>
      <sz val="9"/>
      <scheme val="major"/>
    </font>
    <font>
      <name val="맑은 고딕"/>
      <charset val="129"/>
      <family val="3"/>
      <b val="1"/>
      <color theme="1"/>
      <sz val="11"/>
      <scheme val="minor"/>
    </font>
    <font>
      <name val="Malgun Gothic"/>
      <family val="2"/>
      <color theme="1"/>
      <sz val="9"/>
    </font>
    <font>
      <name val="Malgun Gothic"/>
      <family val="2"/>
      <color theme="1"/>
      <sz val="10"/>
    </font>
    <font>
      <name val="Malgun Gothic"/>
      <family val="2"/>
      <sz val="9"/>
    </font>
    <font>
      <name val="Malgun Gothic"/>
      <family val="2"/>
      <sz val="10"/>
    </font>
    <font>
      <name val="맑은 고딕"/>
      <charset val="134"/>
      <family val="3"/>
      <color theme="1"/>
      <sz val="9"/>
      <scheme val="major"/>
    </font>
    <font>
      <name val="맑은 고딕"/>
      <family val="3"/>
      <sz val="9"/>
      <scheme val="major"/>
    </font>
    <font>
      <name val="맑은 고딕"/>
      <family val="3"/>
      <color theme="0"/>
      <sz val="9"/>
      <scheme val="major"/>
    </font>
    <font>
      <name val="맑은 고딕"/>
      <family val="3"/>
      <color theme="1"/>
      <sz val="9"/>
      <scheme val="major"/>
    </font>
    <font>
      <name val="맑은 고딕"/>
      <family val="3"/>
      <color rgb="FFFF0000"/>
      <sz val="9"/>
      <scheme val="major"/>
    </font>
    <font>
      <name val="맑은 고딕"/>
      <family val="3"/>
      <b val="1"/>
      <color theme="1"/>
      <sz val="9"/>
      <scheme val="major"/>
    </font>
    <font>
      <name val="맑은 고딕"/>
      <charset val="129"/>
      <family val="3"/>
      <b val="1"/>
      <color theme="9" tint="-0.249977111117893"/>
      <sz val="9"/>
      <scheme val="major"/>
    </font>
    <font>
      <name val="맑은 고딕"/>
      <charset val="134"/>
      <family val="3"/>
      <color theme="1"/>
      <sz val="11"/>
      <scheme val="minor"/>
    </font>
    <font>
      <name val="맑은 고딕"/>
      <charset val="129"/>
      <family val="3"/>
      <b val="1"/>
      <color theme="0" tint="-0.0499893185216834"/>
      <sz val="9"/>
      <scheme val="major"/>
    </font>
    <font>
      <name val="Malgun Gothic"/>
      <charset val="134"/>
      <family val="2"/>
      <color theme="1"/>
      <sz val="9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rgb="FFFF0000"/>
      <sz val="10"/>
      <scheme val="major"/>
    </font>
    <font>
      <name val="맑은 고딕"/>
      <charset val="134"/>
      <family val="3"/>
      <sz val="9"/>
      <scheme val="minor"/>
    </font>
    <font>
      <name val="Malgun Gothic"/>
      <charset val="129"/>
      <family val="3"/>
      <color theme="1"/>
      <sz val="11"/>
    </font>
    <font>
      <name val="Malgun Gothic Semilight"/>
      <charset val="134"/>
      <family val="2"/>
      <b val="1"/>
      <color theme="1"/>
      <sz val="13"/>
    </font>
    <font>
      <name val="Malgun Gothic Semilight"/>
      <charset val="134"/>
      <family val="2"/>
      <color theme="1"/>
      <sz val="10"/>
    </font>
    <font>
      <name val="Malgun Gothic Semilight"/>
      <charset val="134"/>
      <family val="2"/>
      <b val="1"/>
      <color theme="1"/>
      <sz val="10"/>
    </font>
    <font>
      <name val="Malgun Gothic Semilight"/>
      <charset val="134"/>
      <family val="2"/>
      <b val="1"/>
      <color theme="0"/>
      <sz val="10"/>
    </font>
    <font>
      <name val="Malgun Gothic Semilight"/>
      <charset val="134"/>
      <family val="2"/>
      <sz val="10"/>
    </font>
    <font>
      <name val="Malgun Gothic"/>
      <charset val="129"/>
      <family val="2"/>
      <color theme="1"/>
      <sz val="10"/>
    </font>
    <font>
      <name val="Malgun Gothic Semilight"/>
      <charset val="134"/>
      <family val="2"/>
      <sz val="9"/>
    </font>
    <font>
      <name val="Malgun Gothic Semilight"/>
      <charset val="134"/>
      <family val="2"/>
      <color theme="0"/>
      <sz val="9"/>
    </font>
    <font>
      <name val="Malgun Gothic Semilight"/>
      <charset val="134"/>
      <family val="2"/>
      <color theme="1"/>
      <sz val="9"/>
    </font>
    <font>
      <name val="Malgun Gothic Semilight"/>
      <charset val="134"/>
      <family val="2"/>
      <color rgb="FFFF0000"/>
      <sz val="9"/>
    </font>
    <font>
      <name val="Malgun Gothic Semilight"/>
      <charset val="134"/>
      <family val="2"/>
      <b val="1"/>
      <color theme="1"/>
      <sz val="9"/>
    </font>
    <font>
      <name val="Malgun Gothic Semilight"/>
      <charset val="134"/>
      <family val="2"/>
      <b val="1"/>
      <color theme="9" tint="-0.249977111117893"/>
      <sz val="9"/>
    </font>
    <font>
      <name val="Malgun Gothic Semilight"/>
      <charset val="134"/>
      <family val="2"/>
      <b val="1"/>
      <color theme="0"/>
      <sz val="9"/>
    </font>
    <font>
      <name val="Malgun Gothic Semilight"/>
      <charset val="134"/>
      <family val="2"/>
      <b val="1"/>
      <color rgb="FF0070C0"/>
      <sz val="9"/>
    </font>
    <font>
      <name val="Malgun Gothic Semilight"/>
      <charset val="134"/>
      <family val="2"/>
      <b val="1"/>
      <color rgb="FFFF0000"/>
      <sz val="9"/>
    </font>
    <font>
      <name val="Malgun Gothic Semilight"/>
      <charset val="134"/>
      <family val="2"/>
      <b val="1"/>
      <color theme="0" tint="-0.0499893185216834"/>
      <sz val="9"/>
    </font>
    <font>
      <name val="Malgun Gothic Semilight"/>
      <charset val="134"/>
      <family val="2"/>
      <color theme="6"/>
      <sz val="9"/>
    </font>
    <font>
      <name val="Malgun Gothic Semilight"/>
      <charset val="134"/>
      <family val="2"/>
      <b val="1"/>
      <color theme="3" tint="-0.249977111117893"/>
      <sz val="9"/>
    </font>
    <font>
      <name val="Malgun Gothic Semilight"/>
      <charset val="134"/>
      <family val="2"/>
      <b val="1"/>
      <sz val="9"/>
    </font>
    <font>
      <name val="宋体"/>
      <charset val="134"/>
      <family val="2"/>
      <color theme="1"/>
      <sz val="10"/>
    </font>
    <font>
      <name val="Malgun Gothic"/>
      <charset val="134"/>
      <family val="2"/>
      <color theme="1"/>
      <sz val="10"/>
    </font>
    <font>
      <name val="Malgun Gothic"/>
      <charset val="129"/>
      <family val="2"/>
      <color theme="1"/>
      <sz val="11"/>
    </font>
    <font>
      <name val="Malgun Gothic Semilight"/>
      <charset val="129"/>
      <family val="3"/>
      <b val="1"/>
      <sz val="9"/>
    </font>
  </fonts>
  <fills count="18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8DA9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EFED8"/>
        <bgColor indexed="64"/>
      </patternFill>
    </fill>
    <fill>
      <patternFill patternType="solid">
        <fgColor rgb="00FFCCCC"/>
        <bgColor rgb="00FFCCCC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/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medium">
        <color indexed="64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theme="0" tint="-0.1499069185460982"/>
      </left>
      <right style="thin">
        <color theme="0" tint="-0.1499069185460982"/>
      </right>
      <top/>
      <bottom style="thin">
        <color theme="0" tint="-0.1499069185460982"/>
      </bottom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thin">
        <color theme="0" tint="-0.1499069185460982"/>
      </bottom>
      <diagonal/>
    </border>
    <border>
      <left style="medium">
        <color auto="1"/>
      </left>
      <right style="thin">
        <color theme="0" tint="-0.1499069185460982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1499069185460982"/>
      </left>
      <right style="medium">
        <color auto="1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0" tint="-0.249946592608417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565">
    <xf numFmtId="0" fontId="9" fillId="0" borderId="0" applyAlignment="1">
      <alignment vertical="center"/>
    </xf>
    <xf numFmtId="41" fontId="9" fillId="0" borderId="0" applyAlignment="1">
      <alignment vertical="center"/>
    </xf>
    <xf numFmtId="0" fontId="16" fillId="0" borderId="0"/>
    <xf numFmtId="0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19" fillId="0" borderId="0"/>
    <xf numFmtId="0" fontId="25" fillId="0" borderId="0"/>
    <xf numFmtId="0" fontId="31" fillId="0" borderId="0" applyAlignment="1">
      <alignment vertical="center"/>
    </xf>
    <xf numFmtId="41" fontId="9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167" fontId="16" fillId="0" borderId="0"/>
    <xf numFmtId="167" fontId="31" fillId="0" borderId="0" applyAlignment="1">
      <alignment vertical="center"/>
    </xf>
    <xf numFmtId="0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0" fontId="57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0" fontId="25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41" fontId="9" fillId="0" borderId="0" applyAlignment="1">
      <alignment vertical="center"/>
    </xf>
    <xf numFmtId="41" fontId="31" fillId="0" borderId="0" applyAlignment="1">
      <alignment vertical="center"/>
    </xf>
  </cellStyleXfs>
  <cellXfs count="1124"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11" applyAlignment="1" pivotButton="0" quotePrefix="0" xfId="0">
      <alignment vertical="center"/>
    </xf>
    <xf numFmtId="164" fontId="15" fillId="2" borderId="11" applyAlignment="1" pivotButton="0" quotePrefix="0" xfId="2">
      <alignment horizontal="center" vertical="center"/>
    </xf>
    <xf numFmtId="4" fontId="12" fillId="0" borderId="11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7" fillId="7" borderId="11" applyAlignment="1" pivotButton="0" quotePrefix="0" xfId="2">
      <alignment horizontal="center" vertical="center"/>
    </xf>
    <xf numFmtId="164" fontId="17" fillId="7" borderId="11" applyAlignment="1" pivotButton="0" quotePrefix="0" xfId="2">
      <alignment vertical="center"/>
    </xf>
    <xf numFmtId="0" fontId="18" fillId="0" borderId="0" applyAlignment="1" pivotButton="0" quotePrefix="0" xfId="3">
      <alignment vertical="center"/>
    </xf>
    <xf numFmtId="0" fontId="15" fillId="2" borderId="20" applyAlignment="1" pivotButton="0" quotePrefix="0" xfId="2">
      <alignment horizontal="center" vertical="center"/>
    </xf>
    <xf numFmtId="165" fontId="12" fillId="0" borderId="19" applyAlignment="1" pivotButton="0" quotePrefix="0" xfId="0">
      <alignment horizontal="center" vertical="center"/>
    </xf>
    <xf numFmtId="14" fontId="17" fillId="7" borderId="19" applyAlignment="1" pivotButton="0" quotePrefix="0" xfId="2">
      <alignment horizontal="center" vertical="center"/>
    </xf>
    <xf numFmtId="166" fontId="24" fillId="7" borderId="20" applyAlignment="1" pivotButton="0" quotePrefix="0" xfId="2">
      <alignment vertical="center"/>
    </xf>
    <xf numFmtId="165" fontId="12" fillId="0" borderId="26" applyAlignment="1" pivotButton="0" quotePrefix="0" xfId="0">
      <alignment horizontal="center" vertical="center"/>
    </xf>
    <xf numFmtId="0" fontId="30" fillId="0" borderId="0" applyAlignment="1" pivotButton="0" quotePrefix="0" xfId="137">
      <alignment vertical="center"/>
    </xf>
    <xf numFmtId="165" fontId="30" fillId="0" borderId="0" applyAlignment="1" pivotButton="0" quotePrefix="0" xfId="137">
      <alignment horizontal="center" vertical="center"/>
    </xf>
    <xf numFmtId="167" fontId="30" fillId="0" borderId="0" applyAlignment="1" pivotButton="0" quotePrefix="0" xfId="137">
      <alignment horizontal="center" vertical="center"/>
    </xf>
    <xf numFmtId="168" fontId="30" fillId="0" borderId="0" applyAlignment="1" pivotButton="0" quotePrefix="0" xfId="4">
      <alignment vertical="center"/>
    </xf>
    <xf numFmtId="169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/>
    </xf>
    <xf numFmtId="168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 shrinkToFit="1"/>
    </xf>
    <xf numFmtId="0" fontId="32" fillId="0" borderId="0" applyAlignment="1" pivotButton="0" quotePrefix="0" xfId="137">
      <alignment vertical="center"/>
    </xf>
    <xf numFmtId="167" fontId="33" fillId="0" borderId="0" applyAlignment="1" pivotButton="0" quotePrefix="0" xfId="138">
      <alignment vertical="center"/>
    </xf>
    <xf numFmtId="0" fontId="35" fillId="0" borderId="0" applyAlignment="1" pivotButton="0" quotePrefix="0" xfId="137">
      <alignment vertical="center"/>
    </xf>
    <xf numFmtId="168" fontId="35" fillId="0" borderId="0" applyAlignment="1" pivotButton="0" quotePrefix="1" xfId="4">
      <alignment horizontal="left" vertical="center"/>
    </xf>
    <xf numFmtId="168" fontId="35" fillId="0" borderId="0" applyAlignment="1" pivotButton="0" quotePrefix="0" xfId="4">
      <alignment horizontal="left" vertical="center"/>
    </xf>
    <xf numFmtId="168" fontId="35" fillId="0" borderId="0" applyAlignment="1" pivotButton="0" quotePrefix="0" xfId="4">
      <alignment horizontal="left" vertical="center" shrinkToFit="1"/>
    </xf>
    <xf numFmtId="168" fontId="35" fillId="0" borderId="0" applyAlignment="1" pivotButton="0" quotePrefix="0" xfId="137">
      <alignment horizontal="left" vertical="center" shrinkToFit="1"/>
    </xf>
    <xf numFmtId="167" fontId="35" fillId="0" borderId="0" applyAlignment="1" pivotButton="0" quotePrefix="0" xfId="138">
      <alignment vertical="center"/>
    </xf>
    <xf numFmtId="165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 shrinkToFit="1"/>
    </xf>
    <xf numFmtId="166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wrapText="1"/>
    </xf>
    <xf numFmtId="167" fontId="33" fillId="0" borderId="0" applyAlignment="1" pivotButton="0" quotePrefix="0" xfId="138">
      <alignment vertical="center" shrinkToFit="1"/>
    </xf>
    <xf numFmtId="166" fontId="28" fillId="2" borderId="1" applyAlignment="1" pivotButton="0" quotePrefix="0" xfId="4">
      <alignment horizontal="center" vertical="center" shrinkToFit="1"/>
    </xf>
    <xf numFmtId="0" fontId="32" fillId="0" borderId="0" applyAlignment="1" pivotButton="0" quotePrefix="0" xfId="138">
      <alignment vertical="center"/>
    </xf>
    <xf numFmtId="165" fontId="33" fillId="0" borderId="1" applyAlignment="1" pivotButton="0" quotePrefix="0" xfId="138">
      <alignment horizontal="left" vertical="center"/>
    </xf>
    <xf numFmtId="167" fontId="33" fillId="0" borderId="1" applyAlignment="1" pivotButton="0" quotePrefix="0" xfId="138">
      <alignment horizontal="left" vertical="center"/>
    </xf>
    <xf numFmtId="166" fontId="33" fillId="0" borderId="1" applyAlignment="1" pivotButton="0" quotePrefix="0" xfId="4">
      <alignment vertical="center" shrinkToFit="1"/>
    </xf>
    <xf numFmtId="166" fontId="33" fillId="0" borderId="2" applyAlignment="1" pivotButton="0" quotePrefix="0" xfId="4">
      <alignment vertical="center"/>
    </xf>
    <xf numFmtId="170" fontId="33" fillId="0" borderId="1" applyAlignment="1" pivotButton="0" quotePrefix="0" xfId="4">
      <alignment vertical="center" shrinkToFit="1"/>
    </xf>
    <xf numFmtId="167" fontId="30" fillId="0" borderId="0" applyAlignment="1" pivotButton="0" quotePrefix="0" xfId="4">
      <alignment vertical="center" shrinkToFit="1"/>
    </xf>
    <xf numFmtId="167" fontId="33" fillId="0" borderId="1" applyAlignment="1" pivotButton="0" quotePrefix="0" xfId="138">
      <alignment vertical="center"/>
    </xf>
    <xf numFmtId="166" fontId="33" fillId="0" borderId="1" applyAlignment="1" pivotButton="0" quotePrefix="0" xfId="4">
      <alignment vertical="center"/>
    </xf>
    <xf numFmtId="167" fontId="33" fillId="0" borderId="0" applyAlignment="1" pivotButton="0" quotePrefix="0" xfId="4">
      <alignment vertical="center" shrinkToFit="1"/>
    </xf>
    <xf numFmtId="167" fontId="36" fillId="0" borderId="0" applyAlignment="1" pivotButton="0" quotePrefix="0" xfId="4">
      <alignment vertical="center" shrinkToFit="1"/>
    </xf>
    <xf numFmtId="167" fontId="32" fillId="0" borderId="0" applyAlignment="1" pivotButton="0" quotePrefix="0" xfId="4">
      <alignment vertical="center" shrinkToFit="1"/>
    </xf>
    <xf numFmtId="171" fontId="32" fillId="0" borderId="0" applyAlignment="1" pivotButton="0" quotePrefix="0" xfId="138">
      <alignment vertical="center" shrinkToFit="1"/>
    </xf>
    <xf numFmtId="167" fontId="33" fillId="3" borderId="1" applyAlignment="1" pivotButton="0" quotePrefix="0" xfId="138">
      <alignment vertical="center"/>
    </xf>
    <xf numFmtId="166" fontId="33" fillId="3" borderId="1" applyAlignment="1" pivotButton="0" quotePrefix="0" xfId="4">
      <alignment vertical="center" shrinkToFit="1"/>
    </xf>
    <xf numFmtId="170" fontId="33" fillId="3" borderId="1" applyAlignment="1" pivotButton="0" quotePrefix="0" xfId="4">
      <alignment vertical="center" shrinkToFit="1"/>
    </xf>
    <xf numFmtId="171" fontId="32" fillId="0" borderId="0" applyAlignment="1" pivotButton="0" quotePrefix="0" xfId="138">
      <alignment horizontal="right" vertical="center" shrinkToFit="1"/>
    </xf>
    <xf numFmtId="166" fontId="33" fillId="3" borderId="1" applyAlignment="1" pivotButton="0" quotePrefix="0" xfId="4">
      <alignment vertical="center"/>
    </xf>
    <xf numFmtId="172" fontId="32" fillId="0" borderId="0" applyAlignment="1" pivotButton="0" quotePrefix="0" xfId="138">
      <alignment horizontal="right" vertical="center" shrinkToFit="1"/>
    </xf>
    <xf numFmtId="166" fontId="28" fillId="2" borderId="1" applyAlignment="1" pivotButton="0" quotePrefix="0" xfId="4">
      <alignment vertical="center" shrinkToFit="1"/>
    </xf>
    <xf numFmtId="173" fontId="32" fillId="0" borderId="0" applyAlignment="1" pivotButton="0" quotePrefix="0" xfId="138">
      <alignment horizontal="right" vertical="center" shrinkToFit="1"/>
    </xf>
    <xf numFmtId="165" fontId="33" fillId="0" borderId="0" applyAlignment="1" pivotButton="0" quotePrefix="0" xfId="138">
      <alignment horizontal="center" vertical="center"/>
    </xf>
    <xf numFmtId="167" fontId="33" fillId="0" borderId="0" applyAlignment="1" pivotButton="0" quotePrefix="0" xfId="138">
      <alignment horizontal="left" vertical="center"/>
    </xf>
    <xf numFmtId="170" fontId="33" fillId="0" borderId="0" applyAlignment="1" pivotButton="0" quotePrefix="0" xfId="4">
      <alignment horizontal="left" vertical="center"/>
    </xf>
    <xf numFmtId="167" fontId="36" fillId="0" borderId="0" applyAlignment="1" pivotButton="0" quotePrefix="0" xfId="138">
      <alignment horizontal="right" vertical="center" shrinkToFit="1"/>
    </xf>
    <xf numFmtId="166" fontId="33" fillId="0" borderId="0" applyAlignment="1" pivotButton="0" quotePrefix="0" xfId="4">
      <alignment vertical="center"/>
    </xf>
    <xf numFmtId="166" fontId="33" fillId="0" borderId="0" applyAlignment="1" pivotButton="0" quotePrefix="0" xfId="4">
      <alignment vertical="center" shrinkToFit="1"/>
    </xf>
    <xf numFmtId="165" fontId="38" fillId="2" borderId="6" applyAlignment="1" pivotButton="0" quotePrefix="0" xfId="4">
      <alignment horizontal="center" vertical="center"/>
    </xf>
    <xf numFmtId="168" fontId="38" fillId="2" borderId="5" applyAlignment="1" pivotButton="0" quotePrefix="0" xfId="4">
      <alignment horizontal="center" vertical="center"/>
    </xf>
    <xf numFmtId="167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 shrinkToFit="1"/>
    </xf>
    <xf numFmtId="168" fontId="38" fillId="2" borderId="1" applyAlignment="1" pivotButton="0" quotePrefix="0" xfId="4">
      <alignment horizontal="center" vertical="center" shrinkToFit="1"/>
    </xf>
    <xf numFmtId="165" fontId="28" fillId="2" borderId="10" applyAlignment="1" pivotButton="0" quotePrefix="0" xfId="4">
      <alignment horizontal="center" vertical="center"/>
    </xf>
    <xf numFmtId="168" fontId="28" fillId="2" borderId="9" applyAlignment="1" pivotButton="0" quotePrefix="0" xfId="4">
      <alignment horizontal="center" vertical="center"/>
    </xf>
    <xf numFmtId="167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 shrinkToFit="1"/>
    </xf>
    <xf numFmtId="166" fontId="28" fillId="2" borderId="8" applyAlignment="1" pivotButton="0" quotePrefix="0" xfId="4">
      <alignment horizontal="center" vertical="center"/>
    </xf>
    <xf numFmtId="166" fontId="28" fillId="2" borderId="8" applyAlignment="1" pivotButton="0" quotePrefix="0" xfId="4">
      <alignment horizontal="center" vertical="center" shrinkToFit="1"/>
    </xf>
    <xf numFmtId="174" fontId="30" fillId="0" borderId="27" applyAlignment="1" pivotButton="0" quotePrefix="0" xfId="4">
      <alignment horizontal="right" vertical="center" shrinkToFit="1"/>
    </xf>
    <xf numFmtId="0" fontId="33" fillId="0" borderId="0" applyAlignment="1" pivotButton="0" quotePrefix="0" xfId="138">
      <alignment vertical="center"/>
    </xf>
    <xf numFmtId="165" fontId="33" fillId="0" borderId="27" applyAlignment="1" pivotButton="0" quotePrefix="0" xfId="138">
      <alignment horizontal="center" vertical="center" wrapText="1" shrinkToFit="1"/>
    </xf>
    <xf numFmtId="0" fontId="33" fillId="0" borderId="27" applyAlignment="1" pivotButton="0" quotePrefix="0" xfId="138">
      <alignment horizontal="center" vertical="center" wrapText="1" shrinkToFit="1"/>
    </xf>
    <xf numFmtId="167" fontId="36" fillId="0" borderId="0" applyAlignment="1" pivotButton="0" quotePrefix="0" xfId="138">
      <alignment vertical="center"/>
    </xf>
    <xf numFmtId="166" fontId="12" fillId="0" borderId="27" applyAlignment="1" pivotButton="0" quotePrefix="0" xfId="1">
      <alignment horizontal="center" vertical="center"/>
    </xf>
    <xf numFmtId="166" fontId="33" fillId="0" borderId="27" applyAlignment="1" pivotButton="0" quotePrefix="0" xfId="1">
      <alignment vertical="center" shrinkToFit="1"/>
    </xf>
    <xf numFmtId="166" fontId="28" fillId="2" borderId="5" applyAlignment="1" pivotButton="0" quotePrefix="0" xfId="4">
      <alignment horizontal="center" vertical="center"/>
    </xf>
    <xf numFmtId="168" fontId="28" fillId="2" borderId="31" applyAlignment="1" pivotButton="0" quotePrefix="0" xfId="138">
      <alignment horizontal="center" vertical="center"/>
    </xf>
    <xf numFmtId="168" fontId="28" fillId="2" borderId="32" applyAlignment="1" pivotButton="0" quotePrefix="0" xfId="138">
      <alignment horizontal="center" vertical="center"/>
    </xf>
    <xf numFmtId="166" fontId="33" fillId="9" borderId="27" applyAlignment="1" pivotButton="0" quotePrefix="0" xfId="1">
      <alignment vertical="center" shrinkToFit="1"/>
    </xf>
    <xf numFmtId="166" fontId="12" fillId="0" borderId="27" applyAlignment="1" pivotButton="0" quotePrefix="0" xfId="1">
      <alignment vertical="center"/>
    </xf>
    <xf numFmtId="166" fontId="17" fillId="0" borderId="27" applyAlignment="1" pivotButton="0" quotePrefix="0" xfId="1">
      <alignment horizontal="center" vertical="center"/>
    </xf>
    <xf numFmtId="167" fontId="33" fillId="0" borderId="27" applyAlignment="1" pivotButton="0" quotePrefix="1" xfId="138">
      <alignment vertical="center" shrinkToFit="1"/>
    </xf>
    <xf numFmtId="170" fontId="33" fillId="0" borderId="1" applyAlignment="1" pivotButton="0" quotePrefix="0" xfId="4">
      <alignment vertical="center" shrinkToFit="1"/>
    </xf>
    <xf numFmtId="175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/>
    </xf>
    <xf numFmtId="167" fontId="29" fillId="13" borderId="27" applyAlignment="1" pivotButton="0" quotePrefix="0" xfId="138">
      <alignment horizontal="left" vertical="center"/>
    </xf>
    <xf numFmtId="167" fontId="29" fillId="13" borderId="27" applyAlignment="1" pivotButton="0" quotePrefix="0" xfId="138">
      <alignment vertical="center" shrinkToFit="1"/>
    </xf>
    <xf numFmtId="166" fontId="29" fillId="13" borderId="27" applyAlignment="1" pivotButton="0" quotePrefix="0" xfId="138">
      <alignment vertical="center"/>
    </xf>
    <xf numFmtId="166" fontId="29" fillId="13" borderId="27" applyAlignment="1" pivotButton="0" quotePrefix="0" xfId="1">
      <alignment vertical="center"/>
    </xf>
    <xf numFmtId="166" fontId="29" fillId="13" borderId="27" applyAlignment="1" pivotButton="0" quotePrefix="0" xfId="4">
      <alignment vertical="center"/>
    </xf>
    <xf numFmtId="167" fontId="33" fillId="13" borderId="27" applyAlignment="1" pivotButton="0" quotePrefix="0" xfId="138">
      <alignment vertical="center" shrinkToFit="1"/>
    </xf>
    <xf numFmtId="0" fontId="45" fillId="0" borderId="0" applyAlignment="1" pivotButton="0" quotePrefix="0" xfId="3">
      <alignment vertical="center"/>
    </xf>
    <xf numFmtId="166" fontId="30" fillId="0" borderId="1" applyAlignment="1" pivotButton="0" quotePrefix="0" xfId="4">
      <alignment vertical="center"/>
    </xf>
    <xf numFmtId="166" fontId="30" fillId="0" borderId="1" applyAlignment="1" pivotButton="0" quotePrefix="0" xfId="4">
      <alignment vertical="center"/>
    </xf>
    <xf numFmtId="174" fontId="30" fillId="11" borderId="27" applyAlignment="1" pivotButton="0" quotePrefix="0" xfId="4">
      <alignment horizontal="right" vertical="center" shrinkToFit="1"/>
    </xf>
    <xf numFmtId="167" fontId="33" fillId="11" borderId="27" applyAlignment="1" pivotButton="0" quotePrefix="1" xfId="138">
      <alignment vertical="center" shrinkToFit="1"/>
    </xf>
    <xf numFmtId="168" fontId="28" fillId="0" borderId="0" applyAlignment="1" pivotButton="0" quotePrefix="0" xfId="4">
      <alignment horizontal="left" vertical="center"/>
    </xf>
    <xf numFmtId="170" fontId="32" fillId="0" borderId="0" applyAlignment="1" pivotButton="0" quotePrefix="0" xfId="4">
      <alignment horizontal="left" vertical="center"/>
    </xf>
    <xf numFmtId="165" fontId="33" fillId="10" borderId="27" applyAlignment="1" pivotButton="0" quotePrefix="0" xfId="138">
      <alignment horizontal="center" vertical="center" wrapText="1" shrinkToFit="1"/>
    </xf>
    <xf numFmtId="0" fontId="33" fillId="10" borderId="27" applyAlignment="1" pivotButton="0" quotePrefix="0" xfId="138">
      <alignment horizontal="center" vertical="center" wrapText="1" shrinkToFit="1"/>
    </xf>
    <xf numFmtId="174" fontId="30" fillId="10" borderId="27" applyAlignment="1" pivotButton="0" quotePrefix="0" xfId="4">
      <alignment horizontal="right" vertical="center" shrinkToFit="1"/>
    </xf>
    <xf numFmtId="168" fontId="28" fillId="0" borderId="0" applyAlignment="1" pivotButton="0" quotePrefix="1" xfId="4">
      <alignment horizontal="left" vertical="center"/>
    </xf>
    <xf numFmtId="166" fontId="32" fillId="0" borderId="0" applyAlignment="1" pivotButton="0" quotePrefix="0" xfId="4">
      <alignment vertical="center" shrinkToFit="1"/>
    </xf>
    <xf numFmtId="170" fontId="32" fillId="0" borderId="0" applyAlignment="1" pivotButton="0" quotePrefix="0" xfId="1">
      <alignment vertical="center" shrinkToFit="1"/>
    </xf>
    <xf numFmtId="166" fontId="36" fillId="0" borderId="0" applyAlignment="1" pivotButton="0" quotePrefix="0" xfId="1">
      <alignment vertical="center"/>
    </xf>
    <xf numFmtId="167" fontId="36" fillId="0" borderId="0" applyAlignment="1" pivotButton="0" quotePrefix="0" xfId="138">
      <alignment vertical="center" shrinkToFit="1"/>
    </xf>
    <xf numFmtId="170" fontId="30" fillId="0" borderId="0" applyAlignment="1" pivotButton="0" quotePrefix="0" xfId="1">
      <alignment vertical="center"/>
    </xf>
    <xf numFmtId="167" fontId="30" fillId="0" borderId="0" applyAlignment="1" pivotButton="0" quotePrefix="0" xfId="138">
      <alignment vertical="center"/>
    </xf>
    <xf numFmtId="170" fontId="36" fillId="3" borderId="1" applyAlignment="1" pivotButton="0" quotePrefix="0" xfId="4">
      <alignment vertical="center" shrinkToFit="1"/>
    </xf>
    <xf numFmtId="166" fontId="36" fillId="3" borderId="1" applyAlignment="1" pivotButton="0" quotePrefix="0" xfId="4">
      <alignment vertical="center"/>
    </xf>
    <xf numFmtId="167" fontId="29" fillId="13" borderId="27" applyAlignment="1" pivotButton="0" quotePrefix="0" xfId="138">
      <alignment horizontal="center" vertical="center"/>
    </xf>
    <xf numFmtId="167" fontId="32" fillId="0" borderId="0" applyAlignment="1" pivotButton="0" quotePrefix="0" xfId="138">
      <alignment vertical="center" shrinkToFit="1"/>
    </xf>
    <xf numFmtId="167" fontId="32" fillId="0" borderId="0" applyAlignment="1" pivotButton="0" quotePrefix="0" xfId="138">
      <alignment vertical="center"/>
    </xf>
    <xf numFmtId="0" fontId="30" fillId="0" borderId="0" applyAlignment="1" pivotButton="0" quotePrefix="0" xfId="137">
      <alignment vertical="center" shrinkToFit="1"/>
    </xf>
    <xf numFmtId="165" fontId="28" fillId="2" borderId="3" applyAlignment="1" pivotButton="0" quotePrefix="0" xfId="138">
      <alignment horizontal="center" vertical="center" shrinkToFit="1"/>
    </xf>
    <xf numFmtId="167" fontId="28" fillId="2" borderId="4" applyAlignment="1" pivotButton="0" quotePrefix="0" xfId="138">
      <alignment horizontal="center" vertical="center" shrinkToFit="1"/>
    </xf>
    <xf numFmtId="170" fontId="28" fillId="2" borderId="1" applyAlignment="1" pivotButton="0" quotePrefix="0" xfId="4">
      <alignment vertical="center" shrinkToFit="1"/>
    </xf>
    <xf numFmtId="176" fontId="30" fillId="0" borderId="0" applyAlignment="1" pivotButton="0" quotePrefix="0" xfId="1">
      <alignment vertical="center" shrinkToFit="1"/>
    </xf>
    <xf numFmtId="166" fontId="33" fillId="0" borderId="0" applyAlignment="1" pivotButton="0" quotePrefix="0" xfId="1">
      <alignment vertical="center"/>
    </xf>
    <xf numFmtId="170" fontId="32" fillId="0" borderId="0" applyAlignment="1" pivotButton="0" quotePrefix="0" xfId="1">
      <alignment vertical="center"/>
    </xf>
    <xf numFmtId="167" fontId="33" fillId="0" borderId="0" applyAlignment="1" pivotButton="0" quotePrefix="0" xfId="138">
      <alignment horizontal="center" vertical="center" shrinkToFit="1"/>
    </xf>
    <xf numFmtId="166" fontId="36" fillId="0" borderId="0" applyAlignment="1" pivotButton="0" quotePrefix="0" xfId="1">
      <alignment vertical="center"/>
    </xf>
    <xf numFmtId="170" fontId="33" fillId="0" borderId="0" applyAlignment="1" pivotButton="0" quotePrefix="0" xfId="1">
      <alignment vertical="center" shrinkToFit="1"/>
    </xf>
    <xf numFmtId="168" fontId="28" fillId="2" borderId="8" applyAlignment="1" pivotButton="0" quotePrefix="0" xfId="4">
      <alignment horizontal="center" vertical="center" shrinkToFit="1"/>
    </xf>
    <xf numFmtId="166" fontId="43" fillId="13" borderId="27" applyAlignment="1" pivotButton="0" quotePrefix="0" xfId="1">
      <alignment vertical="center"/>
    </xf>
    <xf numFmtId="166" fontId="37" fillId="13" borderId="27" applyAlignment="1" pivotButton="0" quotePrefix="0" xfId="1">
      <alignment vertical="center"/>
    </xf>
    <xf numFmtId="177" fontId="37" fillId="13" borderId="27" applyAlignment="1" pivotButton="0" quotePrefix="0" xfId="138">
      <alignment horizontal="left" vertical="center"/>
    </xf>
    <xf numFmtId="166" fontId="33" fillId="4" borderId="27" applyAlignment="1" pivotButton="0" quotePrefix="0" xfId="4">
      <alignment vertical="center" shrinkToFit="1"/>
    </xf>
    <xf numFmtId="166" fontId="33" fillId="11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horizontal="left" vertical="center" shrinkToFit="1"/>
    </xf>
    <xf numFmtId="166" fontId="33" fillId="5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vertical="center" shrinkToFit="1"/>
    </xf>
    <xf numFmtId="0" fontId="30" fillId="11" borderId="27" applyAlignment="1" pivotButton="0" quotePrefix="0" xfId="0">
      <alignment horizontal="center" vertical="center" wrapText="1"/>
    </xf>
    <xf numFmtId="0" fontId="33" fillId="0" borderId="27" applyAlignment="1" pivotButton="0" quotePrefix="0" xfId="0">
      <alignment horizontal="left" vertical="center"/>
    </xf>
    <xf numFmtId="0" fontId="30" fillId="0" borderId="27" applyAlignment="1" pivotButton="0" quotePrefix="0" xfId="0">
      <alignment horizontal="center" vertical="center" wrapText="1"/>
    </xf>
    <xf numFmtId="166" fontId="33" fillId="0" borderId="27" applyAlignment="1" pivotButton="0" quotePrefix="0" xfId="1">
      <alignment horizontal="center" vertical="center"/>
    </xf>
    <xf numFmtId="166" fontId="30" fillId="0" borderId="27" applyAlignment="1" pivotButton="0" quotePrefix="0" xfId="1">
      <alignment horizontal="center" vertical="center"/>
    </xf>
    <xf numFmtId="165" fontId="30" fillId="0" borderId="27" applyAlignment="1" pivotButton="0" quotePrefix="0" xfId="0">
      <alignment horizontal="left" vertical="center"/>
    </xf>
    <xf numFmtId="0" fontId="33" fillId="0" borderId="27" applyAlignment="1" pivotButton="0" quotePrefix="0" xfId="0">
      <alignment horizontal="center" vertical="center"/>
    </xf>
    <xf numFmtId="178" fontId="33" fillId="0" borderId="27" applyAlignment="1" pivotButton="0" quotePrefix="0" xfId="0">
      <alignment horizontal="center" vertical="center"/>
    </xf>
    <xf numFmtId="178" fontId="33" fillId="0" borderId="1" applyAlignment="1" pivotButton="0" quotePrefix="0" xfId="4">
      <alignment vertical="center"/>
    </xf>
    <xf numFmtId="167" fontId="33" fillId="11" borderId="27" applyAlignment="1" pivotButton="0" quotePrefix="0" xfId="138">
      <alignment horizontal="left" vertical="center" shrinkToFit="1"/>
    </xf>
    <xf numFmtId="166" fontId="33" fillId="0" borderId="27" applyAlignment="1" pivotButton="0" quotePrefix="0" xfId="4">
      <alignment vertical="center" shrinkToFit="1"/>
    </xf>
    <xf numFmtId="166" fontId="33" fillId="0" borderId="0" applyAlignment="1" pivotButton="0" quotePrefix="0" xfId="1">
      <alignment vertical="center" shrinkToFit="1"/>
    </xf>
    <xf numFmtId="166" fontId="33" fillId="16" borderId="27" applyAlignment="1" pivotButton="0" quotePrefix="0" xfId="4">
      <alignment vertical="center" shrinkToFit="1"/>
    </xf>
    <xf numFmtId="0" fontId="33" fillId="10" borderId="27" applyAlignment="1" pivotButton="0" quotePrefix="0" xfId="0">
      <alignment horizontal="left" vertical="center"/>
    </xf>
    <xf numFmtId="166" fontId="33" fillId="10" borderId="27" applyAlignment="1" pivotButton="0" quotePrefix="0" xfId="1">
      <alignment horizontal="center" vertical="center"/>
    </xf>
    <xf numFmtId="166" fontId="33" fillId="10" borderId="27" applyAlignment="1" pivotButton="0" quotePrefix="0" xfId="4">
      <alignment vertical="center" shrinkToFit="1"/>
    </xf>
    <xf numFmtId="167" fontId="33" fillId="10" borderId="27" applyAlignment="1" pivotButton="0" quotePrefix="0" xfId="138">
      <alignment horizontal="left" vertical="center" shrinkToFit="1"/>
    </xf>
    <xf numFmtId="167" fontId="33" fillId="10" borderId="27" applyAlignment="1" pivotButton="0" quotePrefix="1" xfId="138">
      <alignment vertical="center" shrinkToFit="1"/>
    </xf>
    <xf numFmtId="166" fontId="33" fillId="11" borderId="0" applyAlignment="1" pivotButton="0" quotePrefix="0" xfId="1">
      <alignment vertical="center"/>
    </xf>
    <xf numFmtId="166" fontId="33" fillId="0" borderId="27" applyAlignment="1" pivotButton="0" quotePrefix="0" xfId="1">
      <alignment horizontal="center" vertical="center" wrapText="1" shrinkToFit="1"/>
    </xf>
    <xf numFmtId="0" fontId="33" fillId="11" borderId="27" applyAlignment="1" pivotButton="0" quotePrefix="0" xfId="0">
      <alignment horizontal="left" vertical="center"/>
    </xf>
    <xf numFmtId="166" fontId="30" fillId="11" borderId="27" applyAlignment="1" pivotButton="0" quotePrefix="0" xfId="4">
      <alignment vertical="center" shrinkToFit="1"/>
    </xf>
    <xf numFmtId="175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/>
    </xf>
    <xf numFmtId="167" fontId="29" fillId="13" borderId="35" applyAlignment="1" pivotButton="0" quotePrefix="0" xfId="138">
      <alignment horizontal="left" vertical="center"/>
    </xf>
    <xf numFmtId="167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 shrinkToFit="1"/>
    </xf>
    <xf numFmtId="166" fontId="29" fillId="13" borderId="35" applyAlignment="1" pivotButton="0" quotePrefix="0" xfId="138">
      <alignment vertical="center"/>
    </xf>
    <xf numFmtId="166" fontId="29" fillId="13" borderId="35" applyAlignment="1" pivotButton="0" quotePrefix="0" xfId="4">
      <alignment vertical="center"/>
    </xf>
    <xf numFmtId="166" fontId="29" fillId="13" borderId="35" applyAlignment="1" pivotButton="0" quotePrefix="0" xfId="1">
      <alignment vertical="center"/>
    </xf>
    <xf numFmtId="166" fontId="43" fillId="13" borderId="35" applyAlignment="1" pivotButton="0" quotePrefix="0" xfId="1">
      <alignment vertical="center"/>
    </xf>
    <xf numFmtId="166" fontId="37" fillId="13" borderId="35" applyAlignment="1" pivotButton="0" quotePrefix="0" xfId="1">
      <alignment vertical="center"/>
    </xf>
    <xf numFmtId="177" fontId="37" fillId="13" borderId="35" applyAlignment="1" pivotButton="0" quotePrefix="0" xfId="138">
      <alignment horizontal="left" vertical="center"/>
    </xf>
    <xf numFmtId="167" fontId="33" fillId="13" borderId="35" applyAlignment="1" pivotButton="0" quotePrefix="0" xfId="138">
      <alignment vertical="center" shrinkToFit="1"/>
    </xf>
    <xf numFmtId="0" fontId="46" fillId="0" borderId="27" applyAlignment="1" pivotButton="0" quotePrefix="0" xfId="0">
      <alignment horizontal="left" vertical="center"/>
    </xf>
    <xf numFmtId="0" fontId="30" fillId="0" borderId="27" applyAlignment="1" pivotButton="0" quotePrefix="0" xfId="0">
      <alignment vertical="center"/>
    </xf>
    <xf numFmtId="178" fontId="48" fillId="0" borderId="27" applyAlignment="1" pivotButton="0" quotePrefix="0" xfId="0">
      <alignment horizontal="center" vertical="center"/>
    </xf>
    <xf numFmtId="167" fontId="36" fillId="0" borderId="27" applyAlignment="1" pivotButton="0" quotePrefix="0" xfId="138">
      <alignment vertical="center"/>
    </xf>
    <xf numFmtId="0" fontId="30" fillId="0" borderId="27" applyAlignment="1" pivotButton="0" quotePrefix="0" xfId="138">
      <alignment horizontal="center" vertical="center" wrapText="1" shrinkToFit="1"/>
    </xf>
    <xf numFmtId="166" fontId="33" fillId="8" borderId="27" applyAlignment="1" pivotButton="0" quotePrefix="0" xfId="4">
      <alignment vertical="center" shrinkToFit="1"/>
    </xf>
    <xf numFmtId="0" fontId="30" fillId="0" borderId="27" applyAlignment="1" pivotButton="0" quotePrefix="0" xfId="0">
      <alignment horizontal="left" vertical="center"/>
    </xf>
    <xf numFmtId="4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178" fontId="30" fillId="0" borderId="27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 wrapText="1"/>
    </xf>
    <xf numFmtId="0" fontId="36" fillId="0" borderId="27" applyAlignment="1" pivotButton="0" quotePrefix="0" xfId="0">
      <alignment horizontal="center" vertical="center"/>
    </xf>
    <xf numFmtId="0" fontId="51" fillId="0" borderId="0" applyAlignment="1" pivotButton="0" quotePrefix="0" xfId="137">
      <alignment vertical="center"/>
    </xf>
    <xf numFmtId="165" fontId="51" fillId="0" borderId="0" applyAlignment="1" pivotButton="0" quotePrefix="0" xfId="137">
      <alignment horizontal="center" vertical="center"/>
    </xf>
    <xf numFmtId="167" fontId="51" fillId="0" borderId="0" applyAlignment="1" pivotButton="0" quotePrefix="0" xfId="137">
      <alignment horizontal="center" vertical="center"/>
    </xf>
    <xf numFmtId="168" fontId="51" fillId="0" borderId="0" applyAlignment="1" pivotButton="0" quotePrefix="0" xfId="4">
      <alignment vertical="center"/>
    </xf>
    <xf numFmtId="169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/>
    </xf>
    <xf numFmtId="168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 shrinkToFit="1"/>
    </xf>
    <xf numFmtId="0" fontId="52" fillId="0" borderId="0" applyAlignment="1" pivotButton="0" quotePrefix="0" xfId="137">
      <alignment vertical="center"/>
    </xf>
    <xf numFmtId="167" fontId="53" fillId="0" borderId="0" applyAlignment="1" pivotButton="0" quotePrefix="0" xfId="138">
      <alignment vertical="center"/>
    </xf>
    <xf numFmtId="167" fontId="54" fillId="0" borderId="0" applyAlignment="1" pivotButton="0" quotePrefix="0" xfId="138">
      <alignment vertical="center"/>
    </xf>
    <xf numFmtId="0" fontId="53" fillId="0" borderId="0" applyAlignment="1" pivotButton="0" quotePrefix="0" xfId="138">
      <alignment vertical="center"/>
    </xf>
    <xf numFmtId="165" fontId="55" fillId="0" borderId="0" applyAlignment="1" pivotButton="0" quotePrefix="0" xfId="138">
      <alignment horizontal="left" vertical="center"/>
    </xf>
    <xf numFmtId="171" fontId="33" fillId="0" borderId="0" applyAlignment="1" pivotButton="0" quotePrefix="0" xfId="138">
      <alignment horizontal="left" vertical="center"/>
    </xf>
    <xf numFmtId="0" fontId="32" fillId="0" borderId="0" applyAlignment="1" pivotButton="0" quotePrefix="0" xfId="0">
      <alignment horizontal="left" vertical="center"/>
    </xf>
    <xf numFmtId="167" fontId="33" fillId="0" borderId="0" applyAlignment="1" pivotButton="0" quotePrefix="0" xfId="138">
      <alignment horizontal="center" vertical="center"/>
    </xf>
    <xf numFmtId="166" fontId="33" fillId="0" borderId="0" applyAlignment="1" pivotButton="0" quotePrefix="0" xfId="4">
      <alignment vertical="center"/>
    </xf>
    <xf numFmtId="166" fontId="44" fillId="0" borderId="0" applyAlignment="1" pivotButton="0" quotePrefix="0" xfId="1">
      <alignment horizontal="right" vertical="center"/>
    </xf>
    <xf numFmtId="166" fontId="33" fillId="0" borderId="0" applyAlignment="1" pivotButton="0" quotePrefix="0" xfId="1">
      <alignment horizontal="right" vertical="center"/>
    </xf>
    <xf numFmtId="0" fontId="33" fillId="10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 wrapText="1"/>
    </xf>
    <xf numFmtId="178" fontId="33" fillId="10" borderId="27" applyAlignment="1" pivotButton="0" quotePrefix="0" xfId="0">
      <alignment horizontal="center" vertical="center"/>
    </xf>
    <xf numFmtId="0" fontId="33" fillId="10" borderId="27" applyAlignment="1" pivotButton="0" quotePrefix="0" xfId="0">
      <alignment horizontal="center" vertical="center"/>
    </xf>
    <xf numFmtId="165" fontId="33" fillId="8" borderId="27" applyAlignment="1" pivotButton="0" quotePrefix="0" xfId="138">
      <alignment horizontal="center" vertical="center" wrapText="1" shrinkToFit="1"/>
    </xf>
    <xf numFmtId="0" fontId="33" fillId="8" borderId="27" applyAlignment="1" pivotButton="0" quotePrefix="0" xfId="0">
      <alignment horizontal="left" vertical="center"/>
    </xf>
    <xf numFmtId="0" fontId="33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 wrapText="1"/>
    </xf>
    <xf numFmtId="0" fontId="33" fillId="8" borderId="27" applyAlignment="1" pivotButton="0" quotePrefix="0" xfId="138">
      <alignment horizontal="center" vertical="center" wrapText="1" shrinkToFit="1"/>
    </xf>
    <xf numFmtId="178" fontId="30" fillId="8" borderId="27" applyAlignment="1" pivotButton="0" quotePrefix="0" xfId="0">
      <alignment horizontal="center" vertical="center"/>
    </xf>
    <xf numFmtId="167" fontId="36" fillId="8" borderId="27" applyAlignment="1" pivotButton="0" quotePrefix="0" xfId="138">
      <alignment vertical="center"/>
    </xf>
    <xf numFmtId="166" fontId="33" fillId="8" borderId="27" applyAlignment="1" pivotButton="0" quotePrefix="0" xfId="1">
      <alignment horizontal="center" vertical="center"/>
    </xf>
    <xf numFmtId="174" fontId="30" fillId="8" borderId="27" applyAlignment="1" pivotButton="0" quotePrefix="0" xfId="4">
      <alignment horizontal="right" vertical="center" shrinkToFit="1"/>
    </xf>
    <xf numFmtId="167" fontId="33" fillId="8" borderId="27" applyAlignment="1" pivotButton="0" quotePrefix="0" xfId="138">
      <alignment horizontal="left" vertical="center" shrinkToFit="1"/>
    </xf>
    <xf numFmtId="167" fontId="33" fillId="8" borderId="27" applyAlignment="1" pivotButton="0" quotePrefix="1" xfId="138">
      <alignment vertical="center" shrinkToFit="1"/>
    </xf>
    <xf numFmtId="0" fontId="30" fillId="8" borderId="1" applyAlignment="1" pivotButton="0" quotePrefix="0" xfId="0">
      <alignment horizontal="center" vertical="center"/>
    </xf>
    <xf numFmtId="165" fontId="33" fillId="14" borderId="27" applyAlignment="1" pivotButton="0" quotePrefix="0" xfId="138">
      <alignment horizontal="center" vertical="center" wrapText="1" shrinkToFit="1"/>
    </xf>
    <xf numFmtId="0" fontId="33" fillId="14" borderId="27" applyAlignment="1" pivotButton="0" quotePrefix="0" xfId="0">
      <alignment horizontal="left" vertical="center"/>
    </xf>
    <xf numFmtId="165" fontId="30" fillId="14" borderId="27" applyAlignment="1" pivotButton="0" quotePrefix="0" xfId="0">
      <alignment horizontal="left" vertical="center"/>
    </xf>
    <xf numFmtId="0" fontId="30" fillId="14" borderId="27" applyAlignment="1" pivotButton="0" quotePrefix="0" xfId="0">
      <alignment horizontal="center" vertical="center" wrapText="1"/>
    </xf>
    <xf numFmtId="0" fontId="33" fillId="14" borderId="27" applyAlignment="1" pivotButton="0" quotePrefix="0" xfId="138">
      <alignment horizontal="center" vertical="center" wrapText="1" shrinkToFit="1"/>
    </xf>
    <xf numFmtId="166" fontId="33" fillId="14" borderId="27" applyAlignment="1" pivotButton="0" quotePrefix="0" xfId="1">
      <alignment horizontal="center" vertical="center"/>
    </xf>
    <xf numFmtId="174" fontId="30" fillId="14" borderId="27" applyAlignment="1" pivotButton="0" quotePrefix="0" xfId="4">
      <alignment horizontal="right" vertical="center" shrinkToFit="1"/>
    </xf>
    <xf numFmtId="166" fontId="33" fillId="14" borderId="27" applyAlignment="1" pivotButton="0" quotePrefix="0" xfId="4">
      <alignment vertical="center" shrinkToFit="1"/>
    </xf>
    <xf numFmtId="167" fontId="33" fillId="14" borderId="27" applyAlignment="1" pivotButton="0" quotePrefix="0" xfId="138">
      <alignment horizontal="left" vertical="center" shrinkToFit="1"/>
    </xf>
    <xf numFmtId="167" fontId="33" fillId="14" borderId="27" applyAlignment="1" pivotButton="0" quotePrefix="1" xfId="138">
      <alignment vertical="center" shrinkToFit="1"/>
    </xf>
    <xf numFmtId="170" fontId="32" fillId="0" borderId="0" applyAlignment="1" pivotButton="0" quotePrefix="0" xfId="138">
      <alignment vertical="center"/>
    </xf>
    <xf numFmtId="170" fontId="33" fillId="14" borderId="27" applyAlignment="1" pivotButton="0" quotePrefix="0" xfId="1">
      <alignment horizontal="center" vertical="center" wrapText="1" shrinkToFit="1"/>
    </xf>
    <xf numFmtId="165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/>
    </xf>
    <xf numFmtId="167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 shrinkToFit="1"/>
    </xf>
    <xf numFmtId="165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167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 shrinkToFit="1"/>
    </xf>
    <xf numFmtId="166" fontId="28" fillId="2" borderId="27" applyAlignment="1" pivotButton="0" quotePrefix="0" xfId="4">
      <alignment horizontal="center" vertical="center"/>
    </xf>
    <xf numFmtId="166" fontId="28" fillId="2" borderId="27" applyAlignment="1" pivotButton="0" quotePrefix="0" xfId="4">
      <alignment horizontal="center" vertical="center" shrinkToFit="1"/>
    </xf>
    <xf numFmtId="168" fontId="28" fillId="2" borderId="27" applyAlignment="1" pivotButton="0" quotePrefix="0" xfId="138">
      <alignment horizontal="center" vertical="center"/>
    </xf>
    <xf numFmtId="0" fontId="33" fillId="8" borderId="27" applyAlignment="1" pivotButton="0" quotePrefix="0" xfId="0">
      <alignment horizontal="center" vertical="center"/>
    </xf>
    <xf numFmtId="0" fontId="30" fillId="8" borderId="27" applyAlignment="1" pivotButton="0" quotePrefix="0" xfId="0">
      <alignment horizontal="center" vertical="center"/>
    </xf>
    <xf numFmtId="0" fontId="30" fillId="8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165" fontId="29" fillId="0" borderId="0" applyAlignment="1" pivotButton="0" quotePrefix="0" xfId="138">
      <alignment horizontal="left" vertical="center"/>
    </xf>
    <xf numFmtId="165" fontId="33" fillId="8" borderId="27" applyAlignment="1" pivotButton="0" quotePrefix="0" xfId="0">
      <alignment horizontal="center" vertical="center"/>
    </xf>
    <xf numFmtId="165" fontId="33" fillId="0" borderId="27" applyAlignment="1" pivotButton="0" quotePrefix="0" xfId="0">
      <alignment horizontal="center" vertical="center"/>
    </xf>
    <xf numFmtId="179" fontId="33" fillId="0" borderId="27" applyAlignment="1" pivotButton="0" quotePrefix="0" xfId="0">
      <alignment horizontal="center" vertical="center"/>
    </xf>
    <xf numFmtId="166" fontId="30" fillId="0" borderId="27" applyAlignment="1" pivotButton="0" quotePrefix="0" xfId="1">
      <alignment horizontal="center" vertical="center" wrapText="1"/>
    </xf>
    <xf numFmtId="166" fontId="30" fillId="0" borderId="27" applyAlignment="1" pivotButton="0" quotePrefix="0" xfId="1">
      <alignment horizontal="center" vertical="center" wrapText="1" shrinkToFit="1"/>
    </xf>
    <xf numFmtId="167" fontId="30" fillId="0" borderId="1" applyAlignment="1" pivotButton="0" quotePrefix="0" xfId="138">
      <alignment horizontal="left" vertical="center"/>
    </xf>
    <xf numFmtId="170" fontId="30" fillId="0" borderId="1" applyAlignment="1" pivotButton="0" quotePrefix="0" xfId="4">
      <alignment vertical="center" shrinkToFit="1"/>
    </xf>
    <xf numFmtId="167" fontId="30" fillId="0" borderId="1" applyAlignment="1" pivotButton="0" quotePrefix="0" xfId="138">
      <alignment vertical="center"/>
    </xf>
    <xf numFmtId="167" fontId="30" fillId="3" borderId="1" applyAlignment="1" pivotButton="0" quotePrefix="0" xfId="138">
      <alignment vertical="center"/>
    </xf>
    <xf numFmtId="166" fontId="30" fillId="3" borderId="1" applyAlignment="1" pivotButton="0" quotePrefix="0" xfId="4">
      <alignment vertical="center"/>
    </xf>
    <xf numFmtId="170" fontId="30" fillId="3" borderId="1" applyAlignment="1" pivotButton="0" quotePrefix="0" xfId="4">
      <alignment vertical="center" shrinkToFit="1"/>
    </xf>
    <xf numFmtId="166" fontId="30" fillId="0" borderId="1" applyAlignment="1" pivotButton="0" quotePrefix="0" xfId="4">
      <alignment vertical="center" shrinkToFit="1"/>
    </xf>
    <xf numFmtId="167" fontId="30" fillId="0" borderId="0" applyAlignment="1" pivotButton="0" quotePrefix="0" xfId="137">
      <alignment horizontal="left" vertical="center"/>
    </xf>
    <xf numFmtId="168" fontId="28" fillId="2" borderId="1" applyAlignment="1" pivotButton="0" quotePrefix="0" xfId="4">
      <alignment horizontal="left" vertical="center"/>
    </xf>
    <xf numFmtId="167" fontId="33" fillId="3" borderId="1" applyAlignment="1" pivotButton="0" quotePrefix="0" xfId="138">
      <alignment horizontal="left" vertical="center"/>
    </xf>
    <xf numFmtId="167" fontId="28" fillId="2" borderId="4" applyAlignment="1" pivotButton="0" quotePrefix="0" xfId="138">
      <alignment horizontal="left" vertical="center" shrinkToFit="1"/>
    </xf>
    <xf numFmtId="168" fontId="38" fillId="2" borderId="27" applyAlignment="1" pivotButton="0" quotePrefix="0" xfId="4">
      <alignment horizontal="left" vertical="center"/>
    </xf>
    <xf numFmtId="168" fontId="28" fillId="2" borderId="27" applyAlignment="1" pivotButton="0" quotePrefix="0" xfId="4">
      <alignment horizontal="left" vertical="center"/>
    </xf>
    <xf numFmtId="168" fontId="30" fillId="0" borderId="0" applyAlignment="1" pivotButton="0" quotePrefix="0" xfId="4">
      <alignment horizontal="center" vertical="center" shrinkToFit="1"/>
    </xf>
    <xf numFmtId="166" fontId="33" fillId="0" borderId="0" applyAlignment="1" pivotButton="0" quotePrefix="0" xfId="4">
      <alignment horizontal="center" vertical="center" shrinkToFit="1"/>
    </xf>
    <xf numFmtId="168" fontId="35" fillId="0" borderId="0" applyAlignment="1" pivotButton="0" quotePrefix="0" xfId="4">
      <alignment horizontal="center" vertical="center" shrinkToFit="1"/>
    </xf>
    <xf numFmtId="166" fontId="30" fillId="0" borderId="1" applyAlignment="1" pivotButton="0" quotePrefix="0" xfId="4">
      <alignment horizontal="center" vertical="center"/>
    </xf>
    <xf numFmtId="166" fontId="30" fillId="0" borderId="1" applyAlignment="1" pivotButton="0" quotePrefix="0" xfId="4">
      <alignment horizontal="center" vertical="center"/>
    </xf>
    <xf numFmtId="166" fontId="36" fillId="3" borderId="1" applyAlignment="1" pivotButton="0" quotePrefix="0" xfId="4">
      <alignment horizontal="center" vertical="center"/>
    </xf>
    <xf numFmtId="166" fontId="33" fillId="0" borderId="1" applyAlignment="1" pivotButton="0" quotePrefix="0" xfId="4">
      <alignment horizontal="center" vertical="center"/>
    </xf>
    <xf numFmtId="166" fontId="33" fillId="0" borderId="0" applyAlignment="1" pivotButton="0" quotePrefix="0" xfId="1">
      <alignment horizontal="center" vertical="center" shrinkToFit="1"/>
    </xf>
    <xf numFmtId="166" fontId="44" fillId="0" borderId="0" applyAlignment="1" pivotButton="0" quotePrefix="0" xfId="1">
      <alignment horizontal="center" vertical="center"/>
    </xf>
    <xf numFmtId="166" fontId="29" fillId="13" borderId="27" applyAlignment="1" pivotButton="0" quotePrefix="0" xfId="4">
      <alignment horizontal="center" vertical="center"/>
    </xf>
    <xf numFmtId="178" fontId="30" fillId="11" borderId="27" applyAlignment="1" pivotButton="0" quotePrefix="0" xfId="0">
      <alignment horizontal="center" vertical="center"/>
    </xf>
    <xf numFmtId="166" fontId="46" fillId="0" borderId="27" applyAlignment="1" pivotButton="0" quotePrefix="0" xfId="1">
      <alignment horizontal="center" vertical="center"/>
    </xf>
    <xf numFmtId="178" fontId="46" fillId="11" borderId="27" applyAlignment="1" pivotButton="0" quotePrefix="0" xfId="0">
      <alignment horizontal="center" vertical="center"/>
    </xf>
    <xf numFmtId="166" fontId="28" fillId="2" borderId="27" applyAlignment="1" pivotButton="0" quotePrefix="0" xfId="1">
      <alignment horizontal="center" vertical="center"/>
    </xf>
    <xf numFmtId="166" fontId="33" fillId="4" borderId="0" applyAlignment="1" pivotButton="0" quotePrefix="0" xfId="1">
      <alignment vertical="center"/>
    </xf>
    <xf numFmtId="176" fontId="33" fillId="11" borderId="27" applyAlignment="1" pivotButton="0" quotePrefix="0" xfId="4">
      <alignment vertical="center" shrinkToFit="1"/>
    </xf>
    <xf numFmtId="166" fontId="30" fillId="0" borderId="0" applyAlignment="1" pivotButton="0" quotePrefix="0" xfId="4">
      <alignment horizontal="left" vertical="center"/>
    </xf>
    <xf numFmtId="166" fontId="58" fillId="2" borderId="1" applyAlignment="1" pivotButton="0" quotePrefix="0" xfId="4">
      <alignment vertical="center" shrinkToFit="1"/>
    </xf>
    <xf numFmtId="170" fontId="30" fillId="0" borderId="0" applyAlignment="1" pivotButton="0" quotePrefix="0" xfId="1">
      <alignment horizontal="left" vertical="center"/>
    </xf>
    <xf numFmtId="166" fontId="33" fillId="11" borderId="27" applyAlignment="1" pivotButton="0" quotePrefix="0" xfId="1">
      <alignment vertical="center" shrinkToFit="1"/>
    </xf>
    <xf numFmtId="166" fontId="30" fillId="11" borderId="27" applyAlignment="1" pivotButton="0" quotePrefix="0" xfId="1">
      <alignment vertical="center" shrinkToFit="1"/>
    </xf>
    <xf numFmtId="166" fontId="30" fillId="9" borderId="27" applyAlignment="1" pivotButton="0" quotePrefix="0" xfId="4">
      <alignment vertical="center" shrinkToFit="1"/>
    </xf>
    <xf numFmtId="165" fontId="33" fillId="11" borderId="27" applyAlignment="1" pivotButton="0" quotePrefix="0" xfId="0">
      <alignment horizontal="center" vertical="center"/>
    </xf>
    <xf numFmtId="0" fontId="33" fillId="11" borderId="27" applyAlignment="1" pivotButton="0" quotePrefix="0" xfId="0">
      <alignment horizontal="center" vertical="center"/>
    </xf>
    <xf numFmtId="166" fontId="30" fillId="4" borderId="27" applyAlignment="1" pivotButton="0" quotePrefix="0" xfId="4">
      <alignment vertical="center" shrinkToFit="1"/>
    </xf>
    <xf numFmtId="0" fontId="59" fillId="0" borderId="27" applyAlignment="1" pivotButton="0" quotePrefix="0" xfId="0">
      <alignment horizontal="left" vertical="center"/>
    </xf>
    <xf numFmtId="0" fontId="46" fillId="11" borderId="27" applyAlignment="1" pivotButton="0" quotePrefix="0" xfId="0">
      <alignment horizontal="left" vertical="center"/>
    </xf>
    <xf numFmtId="178" fontId="48" fillId="11" borderId="27" applyAlignment="1" pivotButton="0" quotePrefix="0" xfId="0">
      <alignment horizontal="center" vertical="center"/>
    </xf>
    <xf numFmtId="167" fontId="36" fillId="11" borderId="27" applyAlignment="1" pivotButton="0" quotePrefix="0" xfId="138">
      <alignment vertical="center"/>
    </xf>
    <xf numFmtId="0" fontId="46" fillId="0" borderId="27" applyAlignment="1" pivotButton="0" quotePrefix="0" xfId="0">
      <alignment horizontal="center" vertical="center" wrapText="1"/>
    </xf>
    <xf numFmtId="167" fontId="33" fillId="0" borderId="27" applyAlignment="1" pivotButton="0" quotePrefix="1" xfId="138">
      <alignment horizontal="left" vertical="center" shrinkToFit="1"/>
    </xf>
    <xf numFmtId="0" fontId="47" fillId="0" borderId="27" applyAlignment="1" pivotButton="0" quotePrefix="0" xfId="0">
      <alignment horizontal="left" vertical="center"/>
    </xf>
    <xf numFmtId="0" fontId="12" fillId="0" borderId="27" applyAlignment="1" pivotButton="0" quotePrefix="0" xfId="0">
      <alignment horizontal="left" vertical="center" wrapText="1"/>
    </xf>
    <xf numFmtId="0" fontId="12" fillId="0" borderId="27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 wrapText="1"/>
    </xf>
    <xf numFmtId="166" fontId="29" fillId="13" borderId="27" applyAlignment="1" pivotButton="0" quotePrefix="0" xfId="1">
      <alignment horizontal="center" vertical="center"/>
    </xf>
    <xf numFmtId="166" fontId="48" fillId="0" borderId="27" applyAlignment="1" pivotButton="0" quotePrefix="0" xfId="1">
      <alignment horizontal="center" vertical="center"/>
    </xf>
    <xf numFmtId="166" fontId="30" fillId="11" borderId="27" applyAlignment="1" pivotButton="0" quotePrefix="0" xfId="1">
      <alignment horizontal="center" vertical="center"/>
    </xf>
    <xf numFmtId="166" fontId="33" fillId="0" borderId="27" applyAlignment="1" pivotButton="0" quotePrefix="0" xfId="1">
      <alignment horizontal="center" vertical="center"/>
    </xf>
    <xf numFmtId="0" fontId="33" fillId="11" borderId="0" applyAlignment="1" pivotButton="0" quotePrefix="0" xfId="138">
      <alignment vertical="center"/>
    </xf>
    <xf numFmtId="167" fontId="33" fillId="11" borderId="0" applyAlignment="1" pivotButton="0" quotePrefix="0" xfId="138">
      <alignment vertical="center"/>
    </xf>
    <xf numFmtId="167" fontId="36" fillId="11" borderId="0" applyAlignment="1" pivotButton="0" quotePrefix="0" xfId="138">
      <alignment vertical="center"/>
    </xf>
    <xf numFmtId="166" fontId="48" fillId="0" borderId="27" applyAlignment="1" pivotButton="0" quotePrefix="0" xfId="1">
      <alignment horizontal="center" vertical="center"/>
    </xf>
    <xf numFmtId="166" fontId="46" fillId="0" borderId="27" applyAlignment="1" pivotButton="0" quotePrefix="0" xfId="1">
      <alignment horizontal="center" vertical="center" wrapText="1"/>
    </xf>
    <xf numFmtId="165" fontId="33" fillId="11" borderId="35" applyAlignment="1" pivotButton="0" quotePrefix="0" xfId="0">
      <alignment horizontal="center" vertical="center"/>
    </xf>
    <xf numFmtId="0" fontId="33" fillId="11" borderId="35" applyAlignment="1" pivotButton="0" quotePrefix="0" xfId="0">
      <alignment horizontal="center" vertical="center"/>
    </xf>
    <xf numFmtId="0" fontId="30" fillId="11" borderId="35" applyAlignment="1" pivotButton="0" quotePrefix="0" xfId="0">
      <alignment horizontal="center" vertical="center" wrapText="1"/>
    </xf>
    <xf numFmtId="178" fontId="30" fillId="11" borderId="35" applyAlignment="1" pivotButton="0" quotePrefix="0" xfId="0">
      <alignment horizontal="center" vertical="center"/>
    </xf>
    <xf numFmtId="178" fontId="48" fillId="11" borderId="35" applyAlignment="1" pivotButton="0" quotePrefix="0" xfId="0">
      <alignment horizontal="center" vertical="center"/>
    </xf>
    <xf numFmtId="166" fontId="48" fillId="11" borderId="35" applyAlignment="1" pivotButton="0" quotePrefix="0" xfId="1">
      <alignment horizontal="center" vertical="center"/>
    </xf>
    <xf numFmtId="174" fontId="30" fillId="11" borderId="35" applyAlignment="1" pivotButton="0" quotePrefix="0" xfId="4">
      <alignment horizontal="right" vertical="center" shrinkToFit="1"/>
    </xf>
    <xf numFmtId="166" fontId="30" fillId="11" borderId="35" applyAlignment="1" pivotButton="0" quotePrefix="0" xfId="4">
      <alignment vertical="center" shrinkToFit="1"/>
    </xf>
    <xf numFmtId="166" fontId="33" fillId="11" borderId="35" applyAlignment="1" pivotButton="0" quotePrefix="0" xfId="4">
      <alignment vertical="center" shrinkToFit="1"/>
    </xf>
    <xf numFmtId="167" fontId="33" fillId="11" borderId="35" applyAlignment="1" pivotButton="0" quotePrefix="0" xfId="138">
      <alignment horizontal="left" vertical="center" shrinkToFit="1"/>
    </xf>
    <xf numFmtId="167" fontId="33" fillId="11" borderId="35" applyAlignment="1" pivotButton="0" quotePrefix="1" xfId="138">
      <alignment vertical="center" shrinkToFit="1"/>
    </xf>
    <xf numFmtId="165" fontId="33" fillId="9" borderId="35" applyAlignment="1" pivotButton="0" quotePrefix="0" xfId="0">
      <alignment horizontal="center" vertical="center"/>
    </xf>
    <xf numFmtId="0" fontId="46" fillId="9" borderId="35" applyAlignment="1" pivotButton="0" quotePrefix="0" xfId="0">
      <alignment horizontal="left" vertical="center"/>
    </xf>
    <xf numFmtId="167" fontId="33" fillId="9" borderId="35" applyAlignment="1" pivotButton="0" quotePrefix="0" xfId="138">
      <alignment vertical="center" shrinkToFit="1"/>
    </xf>
    <xf numFmtId="0" fontId="33" fillId="9" borderId="35" applyAlignment="1" pivotButton="0" quotePrefix="0" xfId="0">
      <alignment horizontal="center" vertical="center"/>
    </xf>
    <xf numFmtId="178" fontId="30" fillId="9" borderId="35" applyAlignment="1" pivotButton="0" quotePrefix="0" xfId="0">
      <alignment horizontal="center" vertical="center"/>
    </xf>
    <xf numFmtId="166" fontId="33" fillId="9" borderId="35" applyAlignment="1" pivotButton="0" quotePrefix="0" xfId="1">
      <alignment horizontal="center" vertical="center"/>
    </xf>
    <xf numFmtId="174" fontId="30" fillId="9" borderId="35" applyAlignment="1" pivotButton="0" quotePrefix="0" xfId="4">
      <alignment horizontal="right" vertical="center" shrinkToFit="1"/>
    </xf>
    <xf numFmtId="166" fontId="30" fillId="4" borderId="35" applyAlignment="1" pivotButton="0" quotePrefix="0" xfId="4">
      <alignment vertical="center" shrinkToFit="1"/>
    </xf>
    <xf numFmtId="166" fontId="33" fillId="9" borderId="35" applyAlignment="1" pivotButton="0" quotePrefix="0" xfId="4">
      <alignment vertical="center" shrinkToFit="1"/>
    </xf>
    <xf numFmtId="167" fontId="33" fillId="9" borderId="35" applyAlignment="1" pivotButton="0" quotePrefix="0" xfId="138">
      <alignment horizontal="left" vertical="center" shrinkToFit="1"/>
    </xf>
    <xf numFmtId="167" fontId="33" fillId="9" borderId="35" applyAlignment="1" pivotButton="0" quotePrefix="1" xfId="138">
      <alignment vertical="center" shrinkToFit="1"/>
    </xf>
    <xf numFmtId="0" fontId="47" fillId="9" borderId="35" applyAlignment="1" pivotButton="0" quotePrefix="0" xfId="0">
      <alignment horizontal="left" vertical="center"/>
    </xf>
    <xf numFmtId="165" fontId="33" fillId="0" borderId="33" applyAlignment="1" pivotButton="0" quotePrefix="0" xfId="0">
      <alignment horizontal="center" vertical="center"/>
    </xf>
    <xf numFmtId="0" fontId="59" fillId="0" borderId="33" applyAlignment="1" pivotButton="0" quotePrefix="0" xfId="0">
      <alignment horizontal="left" vertical="center"/>
    </xf>
    <xf numFmtId="0" fontId="33" fillId="0" borderId="33" applyAlignment="1" pivotButton="0" quotePrefix="0" xfId="0">
      <alignment horizontal="center" vertical="center"/>
    </xf>
    <xf numFmtId="0" fontId="30" fillId="0" borderId="33" applyAlignment="1" pivotButton="0" quotePrefix="0" xfId="0">
      <alignment horizontal="center" vertical="center" wrapText="1"/>
    </xf>
    <xf numFmtId="178" fontId="30" fillId="0" borderId="33" applyAlignment="1" pivotButton="0" quotePrefix="0" xfId="0">
      <alignment horizontal="center" vertical="center"/>
    </xf>
    <xf numFmtId="178" fontId="48" fillId="0" borderId="33" applyAlignment="1" pivotButton="0" quotePrefix="0" xfId="0">
      <alignment horizontal="center" vertical="center"/>
    </xf>
    <xf numFmtId="166" fontId="48" fillId="0" borderId="33" applyAlignment="1" pivotButton="0" quotePrefix="0" xfId="1">
      <alignment horizontal="center" vertical="center"/>
    </xf>
    <xf numFmtId="174" fontId="30" fillId="0" borderId="33" applyAlignment="1" pivotButton="0" quotePrefix="0" xfId="4">
      <alignment horizontal="right" vertical="center" shrinkToFit="1"/>
    </xf>
    <xf numFmtId="166" fontId="30" fillId="4" borderId="33" applyAlignment="1" pivotButton="0" quotePrefix="0" xfId="4">
      <alignment vertical="center" shrinkToFit="1"/>
    </xf>
    <xf numFmtId="166" fontId="33" fillId="0" borderId="33" applyAlignment="1" pivotButton="0" quotePrefix="0" xfId="4">
      <alignment vertical="center" shrinkToFit="1"/>
    </xf>
    <xf numFmtId="167" fontId="33" fillId="0" borderId="33" applyAlignment="1" pivotButton="0" quotePrefix="0" xfId="138">
      <alignment horizontal="left" vertical="center" shrinkToFit="1"/>
    </xf>
    <xf numFmtId="167" fontId="33" fillId="0" borderId="33" applyAlignment="1" pivotButton="0" quotePrefix="1" xfId="138">
      <alignment vertical="center" shrinkToFit="1"/>
    </xf>
    <xf numFmtId="0" fontId="47" fillId="9" borderId="34" applyAlignment="1" pivotButton="0" quotePrefix="0" xfId="0">
      <alignment horizontal="left" vertical="center"/>
    </xf>
    <xf numFmtId="0" fontId="47" fillId="0" borderId="34" applyAlignment="1" pivotButton="0" quotePrefix="0" xfId="0">
      <alignment horizontal="left" vertical="center"/>
    </xf>
    <xf numFmtId="166" fontId="12" fillId="0" borderId="34" applyAlignment="1" pivotButton="0" quotePrefix="0" xfId="1">
      <alignment horizontal="center" vertical="center"/>
    </xf>
    <xf numFmtId="166" fontId="12" fillId="0" borderId="34" applyAlignment="1" pivotButton="0" quotePrefix="0" xfId="1">
      <alignment vertical="center"/>
    </xf>
    <xf numFmtId="166" fontId="17" fillId="0" borderId="34" applyAlignment="1" pivotButton="0" quotePrefix="0" xfId="1">
      <alignment horizontal="center" vertical="center"/>
    </xf>
    <xf numFmtId="170" fontId="12" fillId="0" borderId="34" applyAlignment="1" pivotButton="0" quotePrefix="0" xfId="1">
      <alignment vertical="center"/>
    </xf>
    <xf numFmtId="0" fontId="47" fillId="0" borderId="34" applyAlignment="1" pivotButton="0" quotePrefix="0" xfId="0">
      <alignment vertical="center"/>
    </xf>
    <xf numFmtId="165" fontId="34" fillId="11" borderId="34" applyAlignment="1" pivotButton="0" quotePrefix="0" xfId="0">
      <alignment horizontal="center" vertical="center"/>
    </xf>
    <xf numFmtId="0" fontId="47" fillId="11" borderId="34" applyAlignment="1" pivotButton="0" quotePrefix="0" xfId="0">
      <alignment vertical="center"/>
    </xf>
    <xf numFmtId="0" fontId="34" fillId="11" borderId="34" applyAlignment="1" pivotButton="0" quotePrefix="0" xfId="0">
      <alignment horizontal="center" vertical="center"/>
    </xf>
    <xf numFmtId="0" fontId="60" fillId="11" borderId="34" applyAlignment="1" pivotButton="0" quotePrefix="0" xfId="0">
      <alignment horizontal="center" vertical="center" wrapText="1"/>
    </xf>
    <xf numFmtId="178" fontId="60" fillId="11" borderId="34" applyAlignment="1" pivotButton="0" quotePrefix="0" xfId="0">
      <alignment horizontal="center" vertical="center"/>
    </xf>
    <xf numFmtId="178" fontId="49" fillId="11" borderId="34" applyAlignment="1" pivotButton="0" quotePrefix="0" xfId="0">
      <alignment horizontal="center" vertical="center"/>
    </xf>
    <xf numFmtId="166" fontId="49" fillId="11" borderId="34" applyAlignment="1" pivotButton="0" quotePrefix="0" xfId="1">
      <alignment horizontal="center" vertical="center"/>
    </xf>
    <xf numFmtId="174" fontId="60" fillId="11" borderId="34" applyAlignment="1" pivotButton="0" quotePrefix="0" xfId="4">
      <alignment horizontal="right" vertical="center" shrinkToFit="1"/>
    </xf>
    <xf numFmtId="166" fontId="60" fillId="5" borderId="34" applyAlignment="1" pivotButton="0" quotePrefix="0" xfId="4">
      <alignment vertical="center" shrinkToFit="1"/>
    </xf>
    <xf numFmtId="166" fontId="34" fillId="11" borderId="34" applyAlignment="1" pivotButton="0" quotePrefix="0" xfId="4">
      <alignment vertical="center" shrinkToFit="1"/>
    </xf>
    <xf numFmtId="167" fontId="34" fillId="11" borderId="34" applyAlignment="1" pivotButton="0" quotePrefix="0" xfId="138">
      <alignment horizontal="left" vertical="center" shrinkToFit="1"/>
    </xf>
    <xf numFmtId="167" fontId="34" fillId="11" borderId="34" applyAlignment="1" pivotButton="0" quotePrefix="1" xfId="138">
      <alignment vertical="center" shrinkToFit="1"/>
    </xf>
    <xf numFmtId="165" fontId="34" fillId="9" borderId="34" applyAlignment="1" pivotButton="0" quotePrefix="0" xfId="0">
      <alignment horizontal="center" vertical="center"/>
    </xf>
    <xf numFmtId="0" fontId="47" fillId="9" borderId="34" applyAlignment="1" pivotButton="0" quotePrefix="0" xfId="0">
      <alignment vertical="center"/>
    </xf>
    <xf numFmtId="167" fontId="34" fillId="9" borderId="34" applyAlignment="1" pivotButton="0" quotePrefix="0" xfId="138">
      <alignment vertical="center" shrinkToFit="1"/>
    </xf>
    <xf numFmtId="0" fontId="34" fillId="9" borderId="34" applyAlignment="1" pivotButton="0" quotePrefix="0" xfId="0">
      <alignment horizontal="center" vertical="center"/>
    </xf>
    <xf numFmtId="178" fontId="60" fillId="9" borderId="34" applyAlignment="1" pivotButton="0" quotePrefix="0" xfId="0">
      <alignment horizontal="center" vertical="center"/>
    </xf>
    <xf numFmtId="166" fontId="34" fillId="9" borderId="34" applyAlignment="1" pivotButton="0" quotePrefix="0" xfId="1">
      <alignment horizontal="center" vertical="center"/>
    </xf>
    <xf numFmtId="174" fontId="60" fillId="9" borderId="34" applyAlignment="1" pivotButton="0" quotePrefix="0" xfId="4">
      <alignment horizontal="right" vertical="center" shrinkToFit="1"/>
    </xf>
    <xf numFmtId="166" fontId="34" fillId="9" borderId="34" applyAlignment="1" pivotButton="0" quotePrefix="0" xfId="4">
      <alignment vertical="center" shrinkToFit="1"/>
    </xf>
    <xf numFmtId="167" fontId="34" fillId="9" borderId="34" applyAlignment="1" pivotButton="0" quotePrefix="0" xfId="138">
      <alignment horizontal="left" vertical="center" shrinkToFit="1"/>
    </xf>
    <xf numFmtId="167" fontId="34" fillId="9" borderId="34" applyAlignment="1" pivotButton="0" quotePrefix="1" xfId="138">
      <alignment vertical="center" shrinkToFit="1"/>
    </xf>
    <xf numFmtId="165" fontId="34" fillId="0" borderId="34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178" fontId="60" fillId="0" borderId="34" applyAlignment="1" pivotButton="0" quotePrefix="0" xfId="0">
      <alignment horizontal="center" vertical="center"/>
    </xf>
    <xf numFmtId="166" fontId="34" fillId="0" borderId="34" applyAlignment="1" pivotButton="0" quotePrefix="0" xfId="1">
      <alignment horizontal="center" vertical="center"/>
    </xf>
    <xf numFmtId="174" fontId="60" fillId="0" borderId="34" applyAlignment="1" pivotButton="0" quotePrefix="0" xfId="4">
      <alignment horizontal="right" vertical="center" shrinkToFit="1"/>
    </xf>
    <xf numFmtId="166" fontId="34" fillId="0" borderId="34" applyAlignment="1" pivotButton="0" quotePrefix="0" xfId="4">
      <alignment vertical="center" shrinkToFit="1"/>
    </xf>
    <xf numFmtId="167" fontId="34" fillId="0" borderId="34" applyAlignment="1" pivotButton="0" quotePrefix="0" xfId="138">
      <alignment horizontal="left" vertical="center" shrinkToFit="1"/>
    </xf>
    <xf numFmtId="167" fontId="34" fillId="0" borderId="34" applyAlignment="1" pivotButton="0" quotePrefix="1" xfId="138">
      <alignment vertical="center" shrinkToFit="1"/>
    </xf>
    <xf numFmtId="0" fontId="60" fillId="0" borderId="34" applyAlignment="1" pivotButton="0" quotePrefix="0" xfId="0">
      <alignment horizontal="center" vertical="center"/>
    </xf>
    <xf numFmtId="0" fontId="34" fillId="0" borderId="34" applyAlignment="1" pivotButton="0" quotePrefix="0" xfId="138">
      <alignment horizontal="center" vertical="center" wrapText="1" shrinkToFit="1"/>
    </xf>
    <xf numFmtId="167" fontId="61" fillId="0" borderId="34" applyAlignment="1" pivotButton="0" quotePrefix="0" xfId="138">
      <alignment vertical="center"/>
    </xf>
    <xf numFmtId="0" fontId="34" fillId="0" borderId="34" applyAlignment="1" pivotButton="0" quotePrefix="0" xfId="0">
      <alignment vertical="center"/>
    </xf>
    <xf numFmtId="178" fontId="34" fillId="0" borderId="34" applyAlignment="1" pivotButton="0" quotePrefix="0" xfId="0">
      <alignment horizontal="center" vertical="center"/>
    </xf>
    <xf numFmtId="0" fontId="61" fillId="0" borderId="34" applyAlignment="1" pivotButton="0" quotePrefix="0" xfId="0">
      <alignment horizontal="center" vertical="center"/>
    </xf>
    <xf numFmtId="167" fontId="34" fillId="0" borderId="34" applyAlignment="1" pivotButton="0" quotePrefix="0" xfId="138">
      <alignment vertical="center" shrinkToFit="1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/>
    </xf>
    <xf numFmtId="0" fontId="49" fillId="0" borderId="34" applyAlignment="1" pivotButton="0" quotePrefix="0" xfId="0">
      <alignment horizontal="center" vertical="center" wrapText="1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 wrapText="1"/>
    </xf>
    <xf numFmtId="170" fontId="60" fillId="0" borderId="34" applyAlignment="1" pivotButton="0" quotePrefix="0" xfId="1">
      <alignment horizontal="center" vertical="center" wrapText="1"/>
    </xf>
    <xf numFmtId="0" fontId="47" fillId="0" borderId="34" applyAlignment="1" pivotButton="0" quotePrefix="0" xfId="0">
      <alignment horizontal="center" vertical="center" wrapText="1"/>
    </xf>
    <xf numFmtId="170" fontId="47" fillId="0" borderId="34" applyAlignment="1" pivotButton="0" quotePrefix="0" xfId="1">
      <alignment horizontal="center" vertical="center" wrapText="1"/>
    </xf>
    <xf numFmtId="0" fontId="46" fillId="11" borderId="35" applyAlignment="1" pivotButton="0" quotePrefix="0" xfId="0">
      <alignment horizontal="left" vertical="center"/>
    </xf>
    <xf numFmtId="180" fontId="60" fillId="5" borderId="34" applyAlignment="1" pivotButton="0" quotePrefix="0" xfId="4">
      <alignment vertical="center" shrinkToFit="1"/>
    </xf>
    <xf numFmtId="166" fontId="61" fillId="0" borderId="34" applyAlignment="1" pivotButton="0" quotePrefix="0" xfId="4">
      <alignment vertical="center" shrinkToFit="1"/>
    </xf>
    <xf numFmtId="0" fontId="33" fillId="4" borderId="27" applyAlignment="1" pivotButton="0" quotePrefix="0" xfId="0">
      <alignment horizontal="center" vertical="center"/>
    </xf>
    <xf numFmtId="0" fontId="57" fillId="0" borderId="0" applyAlignment="1" pivotButton="0" quotePrefix="0" xfId="176">
      <alignment vertical="center"/>
    </xf>
    <xf numFmtId="0" fontId="12" fillId="0" borderId="1" applyAlignment="1" pivotButton="0" quotePrefix="0" xfId="176">
      <alignment horizontal="center" vertical="center"/>
    </xf>
    <xf numFmtId="179" fontId="12" fillId="0" borderId="1" applyAlignment="1" pivotButton="0" quotePrefix="0" xfId="176">
      <alignment horizontal="center" vertical="center"/>
    </xf>
    <xf numFmtId="0" fontId="57" fillId="0" borderId="1" applyAlignment="1" pivotButton="0" quotePrefix="0" xfId="176">
      <alignment vertical="center"/>
    </xf>
    <xf numFmtId="179" fontId="57" fillId="0" borderId="1" applyAlignment="1" pivotButton="0" quotePrefix="0" xfId="176">
      <alignment vertical="center"/>
    </xf>
    <xf numFmtId="0" fontId="12" fillId="0" borderId="12" applyAlignment="1" pivotButton="0" quotePrefix="0" xfId="176">
      <alignment horizontal="center" vertical="center"/>
    </xf>
    <xf numFmtId="0" fontId="64" fillId="0" borderId="0" applyAlignment="1" pivotButton="0" quotePrefix="0" xfId="176">
      <alignment horizontal="left" vertical="center"/>
    </xf>
    <xf numFmtId="0" fontId="65" fillId="0" borderId="0" applyAlignment="1" pivotButton="0" quotePrefix="0" xfId="176">
      <alignment vertical="center"/>
    </xf>
    <xf numFmtId="0" fontId="65" fillId="0" borderId="0" applyAlignment="1" pivotButton="0" quotePrefix="0" xfId="176">
      <alignment horizontal="center" vertical="center"/>
    </xf>
    <xf numFmtId="0" fontId="67" fillId="2" borderId="1" applyAlignment="1" pivotButton="0" quotePrefix="0" xfId="176">
      <alignment horizontal="center" vertical="center"/>
    </xf>
    <xf numFmtId="166" fontId="67" fillId="2" borderId="1" applyAlignment="1" pivotButton="0" quotePrefix="0" xfId="4">
      <alignment horizontal="center" vertical="center" wrapText="1"/>
    </xf>
    <xf numFmtId="0" fontId="68" fillId="0" borderId="12" applyAlignment="1" pivotButton="0" quotePrefix="0" xfId="176">
      <alignment horizontal="center" vertical="center"/>
    </xf>
    <xf numFmtId="179" fontId="65" fillId="0" borderId="15" applyAlignment="1" pivotButton="0" quotePrefix="0" xfId="176">
      <alignment vertical="center"/>
    </xf>
    <xf numFmtId="170" fontId="47" fillId="0" borderId="15" applyAlignment="1" pivotButton="0" quotePrefix="0" xfId="4">
      <alignment horizontal="center" vertical="center"/>
    </xf>
    <xf numFmtId="166" fontId="65" fillId="12" borderId="0" applyAlignment="1" pivotButton="0" quotePrefix="0" xfId="176">
      <alignment vertical="center"/>
    </xf>
    <xf numFmtId="166" fontId="65" fillId="0" borderId="0" applyAlignment="1" pivotButton="0" quotePrefix="0" xfId="4">
      <alignment vertical="center"/>
    </xf>
    <xf numFmtId="166" fontId="65" fillId="0" borderId="0" applyAlignment="1" pivotButton="0" quotePrefix="0" xfId="177">
      <alignment vertical="center"/>
    </xf>
    <xf numFmtId="179" fontId="69" fillId="0" borderId="15" applyAlignment="1" pivotButton="0" quotePrefix="0" xfId="0">
      <alignment horizontal="center" vertical="center"/>
    </xf>
    <xf numFmtId="0" fontId="47" fillId="0" borderId="15" applyAlignment="1" pivotButton="0" quotePrefix="0" xfId="0">
      <alignment horizontal="center" vertical="center"/>
    </xf>
    <xf numFmtId="0" fontId="70" fillId="0" borderId="0" applyAlignment="1" pivotButton="0" quotePrefix="0" xfId="137">
      <alignment vertical="center"/>
    </xf>
    <xf numFmtId="165" fontId="70" fillId="0" borderId="0" applyAlignment="1" pivotButton="0" quotePrefix="0" xfId="137">
      <alignment horizontal="center" vertical="center"/>
    </xf>
    <xf numFmtId="167" fontId="70" fillId="0" borderId="0" applyAlignment="1" pivotButton="0" quotePrefix="0" xfId="137">
      <alignment horizontal="left" vertical="center"/>
    </xf>
    <xf numFmtId="167" fontId="70" fillId="0" borderId="0" applyAlignment="1" pivotButton="0" quotePrefix="0" xfId="137">
      <alignment horizontal="center" vertical="center"/>
    </xf>
    <xf numFmtId="168" fontId="70" fillId="0" borderId="0" applyAlignment="1" pivotButton="0" quotePrefix="0" xfId="4">
      <alignment vertical="center"/>
    </xf>
    <xf numFmtId="169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horizontal="center" vertical="center" shrinkToFit="1"/>
    </xf>
    <xf numFmtId="168" fontId="70" fillId="0" borderId="0" applyAlignment="1" pivotButton="0" quotePrefix="0" xfId="4">
      <alignment vertical="center"/>
    </xf>
    <xf numFmtId="168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 shrinkToFit="1"/>
    </xf>
    <xf numFmtId="167" fontId="72" fillId="0" borderId="0" applyAlignment="1" pivotButton="0" quotePrefix="0" xfId="138">
      <alignment vertical="center"/>
    </xf>
    <xf numFmtId="0" fontId="72" fillId="0" borderId="0" applyAlignment="1" pivotButton="0" quotePrefix="0" xfId="138">
      <alignment vertical="center"/>
    </xf>
    <xf numFmtId="165" fontId="74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horizontal="left" vertical="center"/>
    </xf>
    <xf numFmtId="171" fontId="72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vertical="center" shrinkToFit="1"/>
    </xf>
    <xf numFmtId="0" fontId="71" fillId="0" borderId="0" applyAlignment="1" pivotButton="0" quotePrefix="0" xfId="0">
      <alignment horizontal="left" vertical="center"/>
    </xf>
    <xf numFmtId="166" fontId="72" fillId="0" borderId="0" applyAlignment="1" pivotButton="0" quotePrefix="0" xfId="4">
      <alignment vertical="center"/>
    </xf>
    <xf numFmtId="166" fontId="72" fillId="0" borderId="0" applyAlignment="1" pivotButton="0" quotePrefix="0" xfId="4">
      <alignment horizontal="center" vertical="center" shrinkToFit="1"/>
    </xf>
    <xf numFmtId="168" fontId="76" fillId="0" borderId="0" applyAlignment="1" pivotButton="0" quotePrefix="1" xfId="4">
      <alignment horizontal="left" vertical="center"/>
    </xf>
    <xf numFmtId="167" fontId="72" fillId="0" borderId="0" applyAlignment="1" pivotButton="0" quotePrefix="0" xfId="138">
      <alignment horizontal="center" vertical="center"/>
    </xf>
    <xf numFmtId="166" fontId="72" fillId="0" borderId="0" applyAlignment="1" pivotButton="0" quotePrefix="0" xfId="4">
      <alignment vertical="center"/>
    </xf>
    <xf numFmtId="0" fontId="71" fillId="0" borderId="0" applyAlignment="1" pivotButton="0" quotePrefix="0" xfId="138">
      <alignment vertical="center"/>
    </xf>
    <xf numFmtId="0" fontId="77" fillId="0" borderId="0" applyAlignment="1" pivotButton="0" quotePrefix="0" xfId="137">
      <alignment vertical="center"/>
    </xf>
    <xf numFmtId="168" fontId="77" fillId="0" borderId="0" applyAlignment="1" pivotButton="0" quotePrefix="1" xfId="4">
      <alignment horizontal="left" vertical="center"/>
    </xf>
    <xf numFmtId="168" fontId="77" fillId="0" borderId="0" applyAlignment="1" pivotButton="0" quotePrefix="0" xfId="4">
      <alignment horizontal="left" vertical="center"/>
    </xf>
    <xf numFmtId="4" fontId="71" fillId="0" borderId="0" applyAlignment="1" pivotButton="0" quotePrefix="0" xfId="0">
      <alignment vertical="center"/>
    </xf>
    <xf numFmtId="168" fontId="77" fillId="0" borderId="0" applyAlignment="1" pivotButton="0" quotePrefix="0" xfId="137">
      <alignment horizontal="left" vertical="center" shrinkToFit="1"/>
    </xf>
    <xf numFmtId="167" fontId="77" fillId="0" borderId="0" applyAlignment="1" pivotButton="0" quotePrefix="0" xfId="138">
      <alignment vertical="center"/>
    </xf>
    <xf numFmtId="168" fontId="77" fillId="0" borderId="0" applyAlignment="1" pivotButton="0" quotePrefix="0" xfId="4">
      <alignment horizontal="center" vertical="center" shrinkToFit="1"/>
    </xf>
    <xf numFmtId="165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left" vertical="center"/>
    </xf>
    <xf numFmtId="168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center" vertical="center" wrapText="1"/>
    </xf>
    <xf numFmtId="168" fontId="76" fillId="2" borderId="1" applyAlignment="1" pivotButton="0" quotePrefix="0" xfId="4">
      <alignment horizontal="center" vertical="center" shrinkToFit="1"/>
    </xf>
    <xf numFmtId="166" fontId="76" fillId="2" borderId="1" applyAlignment="1" pivotButton="0" quotePrefix="0" xfId="4">
      <alignment horizontal="center" vertical="center" shrinkToFit="1"/>
    </xf>
    <xf numFmtId="165" fontId="72" fillId="0" borderId="1" applyAlignment="1" pivotButton="0" quotePrefix="0" xfId="138">
      <alignment horizontal="left" vertical="center"/>
    </xf>
    <xf numFmtId="167" fontId="72" fillId="0" borderId="1" applyAlignment="1" pivotButton="0" quotePrefix="0" xfId="138">
      <alignment horizontal="left" vertical="center"/>
    </xf>
    <xf numFmtId="166" fontId="72" fillId="0" borderId="1" applyAlignment="1" pivotButton="0" quotePrefix="0" xfId="4">
      <alignment vertical="center"/>
    </xf>
    <xf numFmtId="170" fontId="72" fillId="0" borderId="1" applyAlignment="1" pivotButton="0" quotePrefix="0" xfId="4">
      <alignment vertical="center" shrinkToFit="1"/>
    </xf>
    <xf numFmtId="167" fontId="70" fillId="0" borderId="0" applyAlignment="1" pivotButton="0" quotePrefix="0" xfId="4">
      <alignment vertical="center" shrinkToFit="1"/>
    </xf>
    <xf numFmtId="167" fontId="72" fillId="0" borderId="1" applyAlignment="1" pivotButton="0" quotePrefix="0" xfId="138">
      <alignment vertical="center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70" fontId="72" fillId="0" borderId="1" applyAlignment="1" pivotButton="0" quotePrefix="0" xfId="4">
      <alignment vertical="center" shrinkToFit="1"/>
    </xf>
    <xf numFmtId="167" fontId="72" fillId="0" borderId="0" applyAlignment="1" pivotButton="0" quotePrefix="0" xfId="4">
      <alignment vertical="center" shrinkToFit="1"/>
    </xf>
    <xf numFmtId="167" fontId="73" fillId="0" borderId="0" applyAlignment="1" pivotButton="0" quotePrefix="0" xfId="4">
      <alignment vertical="center" shrinkToFit="1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67" fontId="71" fillId="0" borderId="0" applyAlignment="1" pivotButton="0" quotePrefix="0" xfId="4">
      <alignment vertical="center" shrinkToFit="1"/>
    </xf>
    <xf numFmtId="171" fontId="71" fillId="0" borderId="0" applyAlignment="1" pivotButton="0" quotePrefix="0" xfId="138">
      <alignment vertical="center" shrinkToFit="1"/>
    </xf>
    <xf numFmtId="167" fontId="72" fillId="3" borderId="1" applyAlignment="1" pivotButton="0" quotePrefix="0" xfId="138">
      <alignment vertical="center"/>
    </xf>
    <xf numFmtId="167" fontId="72" fillId="3" borderId="1" applyAlignment="1" pivotButton="0" quotePrefix="0" xfId="138">
      <alignment horizontal="left" vertical="center"/>
    </xf>
    <xf numFmtId="170" fontId="72" fillId="3" borderId="1" applyAlignment="1" pivotButton="0" quotePrefix="0" xfId="4">
      <alignment vertical="center" shrinkToFit="1"/>
    </xf>
    <xf numFmtId="171" fontId="71" fillId="0" borderId="0" applyAlignment="1" pivotButton="0" quotePrefix="0" xfId="138">
      <alignment horizontal="right" vertical="center" shrinkToFit="1"/>
    </xf>
    <xf numFmtId="166" fontId="72" fillId="3" borderId="1" applyAlignment="1" pivotButton="0" quotePrefix="0" xfId="4">
      <alignment vertical="center"/>
    </xf>
    <xf numFmtId="166" fontId="73" fillId="3" borderId="1" applyAlignment="1" pivotButton="0" quotePrefix="0" xfId="4">
      <alignment horizontal="center" vertical="center"/>
    </xf>
    <xf numFmtId="170" fontId="73" fillId="3" borderId="1" applyAlignment="1" pivotButton="0" quotePrefix="0" xfId="4">
      <alignment vertical="center" shrinkToFit="1"/>
    </xf>
    <xf numFmtId="166" fontId="71" fillId="0" borderId="0" applyAlignment="1" pivotButton="0" quotePrefix="0" xfId="4">
      <alignment vertical="center" shrinkToFit="1"/>
    </xf>
    <xf numFmtId="178" fontId="72" fillId="0" borderId="1" applyAlignment="1" pivotButton="0" quotePrefix="0" xfId="4">
      <alignment vertical="center"/>
    </xf>
    <xf numFmtId="172" fontId="71" fillId="0" borderId="0" applyAlignment="1" pivotButton="0" quotePrefix="0" xfId="138">
      <alignment horizontal="right" vertical="center" shrinkToFit="1"/>
    </xf>
    <xf numFmtId="166" fontId="72" fillId="0" borderId="1" applyAlignment="1" pivotButton="0" quotePrefix="0" xfId="4">
      <alignment vertical="center" shrinkToFit="1"/>
    </xf>
    <xf numFmtId="166" fontId="72" fillId="0" borderId="1" applyAlignment="1" pivotButton="0" quotePrefix="0" xfId="4">
      <alignment horizontal="center" vertical="center"/>
    </xf>
    <xf numFmtId="0" fontId="70" fillId="0" borderId="0" applyAlignment="1" pivotButton="0" quotePrefix="0" xfId="137">
      <alignment vertical="center" shrinkToFit="1"/>
    </xf>
    <xf numFmtId="165" fontId="76" fillId="2" borderId="3" applyAlignment="1" pivotButton="0" quotePrefix="0" xfId="138">
      <alignment horizontal="center" vertical="center" shrinkToFit="1"/>
    </xf>
    <xf numFmtId="167" fontId="76" fillId="2" borderId="4" applyAlignment="1" pivotButton="0" quotePrefix="0" xfId="138">
      <alignment horizontal="left" vertical="center" shrinkToFit="1"/>
    </xf>
    <xf numFmtId="166" fontId="76" fillId="2" borderId="1" applyAlignment="1" pivotButton="0" quotePrefix="0" xfId="4">
      <alignment vertical="center" shrinkToFit="1"/>
    </xf>
    <xf numFmtId="166" fontId="79" fillId="2" borderId="1" applyAlignment="1" pivotButton="0" quotePrefix="0" xfId="4">
      <alignment vertical="center" shrinkToFit="1"/>
    </xf>
    <xf numFmtId="170" fontId="76" fillId="2" borderId="1" applyAlignment="1" pivotButton="0" quotePrefix="0" xfId="4">
      <alignment vertical="center" shrinkToFit="1"/>
    </xf>
    <xf numFmtId="173" fontId="71" fillId="0" borderId="0" applyAlignment="1" pivotButton="0" quotePrefix="0" xfId="138">
      <alignment horizontal="right" vertical="center" shrinkToFit="1"/>
    </xf>
    <xf numFmtId="167" fontId="76" fillId="2" borderId="4" applyAlignment="1" pivotButton="0" quotePrefix="0" xfId="138">
      <alignment horizontal="center" vertical="center" shrinkToFit="1"/>
    </xf>
    <xf numFmtId="167" fontId="73" fillId="0" borderId="0" applyAlignment="1" pivotButton="0" quotePrefix="0" xfId="138">
      <alignment vertical="center" shrinkToFit="1"/>
    </xf>
    <xf numFmtId="167" fontId="72" fillId="0" borderId="0" applyAlignment="1" pivotButton="0" quotePrefix="0" xfId="138">
      <alignment horizontal="center" vertical="center" shrinkToFit="1"/>
    </xf>
    <xf numFmtId="166" fontId="72" fillId="0" borderId="0" applyAlignment="1" pivotButton="0" quotePrefix="0" xfId="4">
      <alignment vertical="center" shrinkToFit="1"/>
    </xf>
    <xf numFmtId="165" fontId="72" fillId="0" borderId="0" applyAlignment="1" pivotButton="0" quotePrefix="0" xfId="138">
      <alignment horizontal="center" vertical="center"/>
    </xf>
    <xf numFmtId="166" fontId="70" fillId="0" borderId="0" applyAlignment="1" pivotButton="0" quotePrefix="0" xfId="4">
      <alignment horizontal="left" vertical="center"/>
    </xf>
    <xf numFmtId="170" fontId="70" fillId="0" borderId="0" applyAlignment="1" pivotButton="0" quotePrefix="0" xfId="1">
      <alignment horizontal="left" vertical="center"/>
    </xf>
    <xf numFmtId="167" fontId="73" fillId="0" borderId="0" applyAlignment="1" pivotButton="0" quotePrefix="0" xfId="138">
      <alignment horizontal="right" vertical="center" shrinkToFit="1"/>
    </xf>
    <xf numFmtId="167" fontId="71" fillId="0" borderId="0" applyAlignment="1" pivotButton="0" quotePrefix="0" xfId="138">
      <alignment vertical="center" shrinkToFit="1"/>
    </xf>
    <xf numFmtId="170" fontId="71" fillId="0" borderId="0" applyAlignment="1" pivotButton="0" quotePrefix="0" xfId="1">
      <alignment vertical="center" shrinkToFit="1"/>
    </xf>
    <xf numFmtId="170" fontId="72" fillId="0" borderId="0" applyAlignment="1" pivotButton="0" quotePrefix="0" xfId="4">
      <alignment horizontal="left" vertical="center"/>
    </xf>
    <xf numFmtId="166" fontId="80" fillId="0" borderId="0" applyAlignment="1" pivotButton="0" quotePrefix="0" xfId="1">
      <alignment horizontal="center" vertical="center"/>
    </xf>
    <xf numFmtId="165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left" vertical="center"/>
    </xf>
    <xf numFmtId="168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4">
      <alignment horizontal="center" vertical="center"/>
    </xf>
    <xf numFmtId="166" fontId="76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1">
      <alignment horizontal="center" vertical="center"/>
    </xf>
    <xf numFmtId="166" fontId="72" fillId="0" borderId="0" applyAlignment="1" pivotButton="0" quotePrefix="0" xfId="1">
      <alignment vertical="center"/>
    </xf>
    <xf numFmtId="0" fontId="47" fillId="0" borderId="2" applyAlignment="1" pivotButton="0" quotePrefix="0" xfId="0">
      <alignment horizontal="center" vertical="center"/>
    </xf>
    <xf numFmtId="179" fontId="69" fillId="6" borderId="15" applyAlignment="1" pivotButton="0" quotePrefix="0" xfId="0">
      <alignment horizontal="center" vertical="center"/>
    </xf>
    <xf numFmtId="166" fontId="47" fillId="6" borderId="16" applyAlignment="1" pivotButton="0" quotePrefix="0" xfId="0">
      <alignment horizontal="center" vertical="center"/>
    </xf>
    <xf numFmtId="166" fontId="47" fillId="0" borderId="16" applyAlignment="1" pivotButton="0" quotePrefix="0" xfId="0">
      <alignment horizontal="center" vertical="center"/>
    </xf>
    <xf numFmtId="168" fontId="77" fillId="0" borderId="0" applyAlignment="1" pivotButton="0" quotePrefix="0" xfId="4">
      <alignment vertical="center"/>
    </xf>
    <xf numFmtId="166" fontId="76" fillId="2" borderId="1" applyAlignment="1" pivotButton="0" quotePrefix="0" xfId="4">
      <alignment vertical="center" wrapText="1"/>
    </xf>
    <xf numFmtId="166" fontId="72" fillId="0" borderId="2" applyAlignment="1" pivotButton="0" quotePrefix="0" xfId="4">
      <alignment vertical="center"/>
    </xf>
    <xf numFmtId="166" fontId="72" fillId="0" borderId="1" applyAlignment="1" pivotButton="0" quotePrefix="0" xfId="4">
      <alignment vertical="center"/>
    </xf>
    <xf numFmtId="166" fontId="70" fillId="0" borderId="0" applyAlignment="1" pivotButton="0" quotePrefix="0" xfId="4">
      <alignment vertical="center"/>
    </xf>
    <xf numFmtId="170" fontId="72" fillId="0" borderId="0" applyAlignment="1" pivotButton="0" quotePrefix="0" xfId="4">
      <alignment vertical="center"/>
    </xf>
    <xf numFmtId="167" fontId="81" fillId="2" borderId="27" applyAlignment="1" pivotButton="0" quotePrefix="0" xfId="4">
      <alignment vertical="center"/>
    </xf>
    <xf numFmtId="0" fontId="83" fillId="0" borderId="2" applyAlignment="1" pivotButton="0" quotePrefix="0" xfId="0">
      <alignment horizontal="center" vertical="center"/>
    </xf>
    <xf numFmtId="179" fontId="84" fillId="0" borderId="15" applyAlignment="1" pivotButton="0" quotePrefix="0" xfId="0">
      <alignment horizontal="center" vertical="center"/>
    </xf>
    <xf numFmtId="0" fontId="63" fillId="0" borderId="0" applyAlignment="1" pivotButton="0" quotePrefix="0" xfId="176">
      <alignment vertical="center"/>
    </xf>
    <xf numFmtId="0" fontId="85" fillId="0" borderId="0" applyAlignment="1" pivotButton="0" quotePrefix="0" xfId="176">
      <alignment vertical="center"/>
    </xf>
    <xf numFmtId="167" fontId="73" fillId="0" borderId="0" applyAlignment="1" pivotButton="0" quotePrefix="0" xfId="138">
      <alignment vertical="center"/>
    </xf>
    <xf numFmtId="168" fontId="76" fillId="2" borderId="27" applyAlignment="1" pivotButton="0" quotePrefix="0" xfId="138">
      <alignment horizontal="center" vertical="center"/>
    </xf>
    <xf numFmtId="168" fontId="76" fillId="2" borderId="27" applyAlignment="1" pivotButton="0" quotePrefix="0" xfId="4">
      <alignment horizontal="center" vertical="center"/>
    </xf>
    <xf numFmtId="0" fontId="72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/>
    </xf>
    <xf numFmtId="167" fontId="73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 shrinkToFit="1"/>
    </xf>
    <xf numFmtId="166" fontId="21" fillId="2" borderId="11" applyAlignment="1" pivotButton="0" quotePrefix="0" xfId="563">
      <alignment horizontal="center" vertical="center" wrapText="1"/>
    </xf>
    <xf numFmtId="166" fontId="21" fillId="2" borderId="11" applyAlignment="1" pivotButton="0" quotePrefix="0" xfId="563">
      <alignment horizontal="center" vertical="center"/>
    </xf>
    <xf numFmtId="171" fontId="15" fillId="2" borderId="11" applyAlignment="1" pivotButton="0" quotePrefix="0" xfId="563">
      <alignment horizontal="center" vertical="center"/>
    </xf>
    <xf numFmtId="178" fontId="15" fillId="2" borderId="11" applyAlignment="1" pivotButton="0" quotePrefix="0" xfId="563">
      <alignment horizontal="center" vertical="center"/>
    </xf>
    <xf numFmtId="166" fontId="12" fillId="0" borderId="11" applyAlignment="1" pivotButton="0" quotePrefix="0" xfId="563">
      <alignment vertical="center"/>
    </xf>
    <xf numFmtId="166" fontId="12" fillId="0" borderId="20" applyAlignment="1" pivotButton="0" quotePrefix="0" xfId="563">
      <alignment vertical="center"/>
    </xf>
    <xf numFmtId="174" fontId="17" fillId="3" borderId="11" applyAlignment="1" pivotButton="0" quotePrefix="0" xfId="563">
      <alignment horizontal="center" vertical="center"/>
    </xf>
    <xf numFmtId="171" fontId="17" fillId="7" borderId="11" applyAlignment="1" pivotButton="0" quotePrefix="0" xfId="564">
      <alignment vertical="center"/>
    </xf>
    <xf numFmtId="178" fontId="17" fillId="7" borderId="11" applyAlignment="1" pivotButton="0" quotePrefix="0" xfId="564">
      <alignment vertical="center"/>
    </xf>
    <xf numFmtId="166" fontId="24" fillId="7" borderId="11" applyAlignment="1" pivotButton="0" quotePrefix="0" xfId="564">
      <alignment vertical="center"/>
    </xf>
    <xf numFmtId="166" fontId="12" fillId="11" borderId="11" applyAlignment="1" pivotButton="0" quotePrefix="0" xfId="563">
      <alignment vertical="center"/>
    </xf>
    <xf numFmtId="14" fontId="17" fillId="7" borderId="23" applyAlignment="1" pivotButton="0" quotePrefix="0" xfId="2">
      <alignment horizontal="center" vertical="center"/>
    </xf>
    <xf numFmtId="0" fontId="17" fillId="7" borderId="24" applyAlignment="1" pivotButton="0" quotePrefix="0" xfId="2">
      <alignment horizontal="center" vertical="center"/>
    </xf>
    <xf numFmtId="171" fontId="17" fillId="7" borderId="24" applyAlignment="1" pivotButton="0" quotePrefix="0" xfId="564">
      <alignment vertical="center"/>
    </xf>
    <xf numFmtId="178" fontId="17" fillId="7" borderId="24" applyAlignment="1" pivotButton="0" quotePrefix="0" xfId="564">
      <alignment vertical="center"/>
    </xf>
    <xf numFmtId="166" fontId="24" fillId="7" borderId="24" applyAlignment="1" pivotButton="0" quotePrefix="0" xfId="564">
      <alignment vertical="center"/>
    </xf>
    <xf numFmtId="164" fontId="17" fillId="7" borderId="24" applyAlignment="1" pivotButton="0" quotePrefix="0" xfId="2">
      <alignment vertical="center"/>
    </xf>
    <xf numFmtId="166" fontId="24" fillId="7" borderId="25" applyAlignment="1" pivotButton="0" quotePrefix="0" xfId="2">
      <alignment vertical="center"/>
    </xf>
    <xf numFmtId="166" fontId="12" fillId="4" borderId="11" applyAlignment="1" pivotButton="0" quotePrefix="0" xfId="563">
      <alignment vertical="center"/>
    </xf>
    <xf numFmtId="178" fontId="70" fillId="0" borderId="0" applyAlignment="1" pivotButton="0" quotePrefix="0" xfId="0">
      <alignment horizontal="center" vertical="center"/>
    </xf>
    <xf numFmtId="178" fontId="70" fillId="0" borderId="11" applyAlignment="1" pivotButton="0" quotePrefix="0" xfId="0">
      <alignment horizontal="center" vertical="center"/>
    </xf>
    <xf numFmtId="14" fontId="17" fillId="7" borderId="21" applyAlignment="1" pivotButton="0" quotePrefix="0" xfId="2">
      <alignment horizontal="center" vertical="center"/>
    </xf>
    <xf numFmtId="0" fontId="17" fillId="7" borderId="13" applyAlignment="1" pivotButton="0" quotePrefix="0" xfId="2">
      <alignment horizontal="center" vertical="center"/>
    </xf>
    <xf numFmtId="171" fontId="17" fillId="7" borderId="13" applyAlignment="1" pivotButton="0" quotePrefix="0" xfId="564">
      <alignment vertical="center"/>
    </xf>
    <xf numFmtId="178" fontId="17" fillId="7" borderId="13" applyAlignment="1" pivotButton="0" quotePrefix="0" xfId="564">
      <alignment vertical="center"/>
    </xf>
    <xf numFmtId="166" fontId="24" fillId="7" borderId="13" applyAlignment="1" pivotButton="0" quotePrefix="0" xfId="564">
      <alignment vertical="center"/>
    </xf>
    <xf numFmtId="164" fontId="17" fillId="7" borderId="13" applyAlignment="1" pivotButton="0" quotePrefix="0" xfId="2">
      <alignment vertical="center"/>
    </xf>
    <xf numFmtId="166" fontId="24" fillId="7" borderId="22" applyAlignment="1" pivotButton="0" quotePrefix="0" xfId="2">
      <alignment vertical="center"/>
    </xf>
    <xf numFmtId="4" fontId="12" fillId="0" borderId="38" applyAlignment="1" pivotButton="0" quotePrefix="0" xfId="0">
      <alignment vertical="center"/>
    </xf>
    <xf numFmtId="0" fontId="12" fillId="0" borderId="38" applyAlignment="1" pivotButton="0" quotePrefix="0" xfId="0">
      <alignment vertical="center"/>
    </xf>
    <xf numFmtId="166" fontId="12" fillId="0" borderId="38" applyAlignment="1" pivotButton="0" quotePrefix="0" xfId="0">
      <alignment vertical="center"/>
    </xf>
    <xf numFmtId="4" fontId="12" fillId="0" borderId="39" applyAlignment="1" pivotButton="0" quotePrefix="0" xfId="0">
      <alignment vertical="center"/>
    </xf>
    <xf numFmtId="181" fontId="12" fillId="0" borderId="11" applyAlignment="1" pivotButton="0" quotePrefix="0" xfId="0">
      <alignment vertical="center"/>
    </xf>
    <xf numFmtId="0" fontId="12" fillId="0" borderId="39" applyAlignment="1" pivotButton="0" quotePrefix="0" xfId="0">
      <alignment vertical="center"/>
    </xf>
    <xf numFmtId="166" fontId="12" fillId="0" borderId="39" applyAlignment="1" pivotButton="0" quotePrefix="0" xfId="563">
      <alignment vertical="center"/>
    </xf>
    <xf numFmtId="166" fontId="12" fillId="0" borderId="39" applyAlignment="1" pivotButton="0" quotePrefix="0" xfId="0">
      <alignment vertical="center"/>
    </xf>
    <xf numFmtId="166" fontId="12" fillId="4" borderId="39" applyAlignment="1" pivotButton="0" quotePrefix="0" xfId="0">
      <alignment vertical="center"/>
    </xf>
    <xf numFmtId="2" fontId="12" fillId="0" borderId="39" applyAlignment="1" pivotButton="0" quotePrefix="0" xfId="0">
      <alignment vertical="center"/>
    </xf>
    <xf numFmtId="0" fontId="12" fillId="7" borderId="40" applyAlignment="1" pivotButton="0" quotePrefix="0" xfId="0">
      <alignment vertical="center"/>
    </xf>
    <xf numFmtId="0" fontId="12" fillId="7" borderId="41" applyAlignment="1" pivotButton="0" quotePrefix="0" xfId="0">
      <alignment vertical="center"/>
    </xf>
    <xf numFmtId="166" fontId="27" fillId="7" borderId="42" applyAlignment="1" pivotButton="0" quotePrefix="0" xfId="0">
      <alignment vertical="center"/>
    </xf>
    <xf numFmtId="0" fontId="15" fillId="0" borderId="0" applyAlignment="1" pivotButton="0" quotePrefix="0" xfId="138">
      <alignment vertical="center"/>
    </xf>
    <xf numFmtId="167" fontId="17" fillId="0" borderId="1" applyAlignment="1" pivotButton="0" quotePrefix="0" xfId="138">
      <alignment vertical="center"/>
    </xf>
    <xf numFmtId="166" fontId="17" fillId="0" borderId="1" applyAlignment="1" pivotButton="0" quotePrefix="0" xfId="564">
      <alignment vertical="center"/>
    </xf>
    <xf numFmtId="166" fontId="17" fillId="0" borderId="1" applyAlignment="1" pivotButton="0" quotePrefix="0" xfId="564">
      <alignment horizontal="center" vertical="center"/>
    </xf>
    <xf numFmtId="170" fontId="17" fillId="0" borderId="1" applyAlignment="1" pivotButton="0" quotePrefix="0" xfId="563">
      <alignment vertical="center" shrinkToFit="1"/>
    </xf>
    <xf numFmtId="167" fontId="12" fillId="0" borderId="0" applyAlignment="1" pivotButton="0" quotePrefix="0" xfId="138">
      <alignment vertical="center"/>
    </xf>
    <xf numFmtId="167" fontId="12" fillId="0" borderId="0" applyAlignment="1" pivotButton="0" quotePrefix="0" xfId="138">
      <alignment horizontal="center" vertical="center"/>
    </xf>
    <xf numFmtId="166" fontId="12" fillId="0" borderId="0" applyAlignment="1" pivotButton="0" quotePrefix="0" xfId="563">
      <alignment vertical="center" shrinkToFit="1"/>
    </xf>
    <xf numFmtId="166" fontId="17" fillId="0" borderId="0" applyAlignment="1" pivotButton="0" quotePrefix="0" xfId="563">
      <alignment horizontal="center" vertical="center"/>
    </xf>
    <xf numFmtId="165" fontId="24" fillId="12" borderId="27" applyAlignment="1" pivotButton="0" quotePrefix="0" xfId="564">
      <alignment horizontal="center" vertical="center"/>
    </xf>
    <xf numFmtId="0" fontId="70" fillId="0" borderId="0" applyAlignment="1" pivotButton="0" quotePrefix="0" xfId="137">
      <alignment horizontal="center" vertical="center"/>
    </xf>
    <xf numFmtId="167" fontId="76" fillId="2" borderId="27" applyAlignment="1" pivotButton="0" quotePrefix="0" xfId="4">
      <alignment horizontal="center" vertical="center"/>
    </xf>
    <xf numFmtId="0" fontId="71" fillId="0" borderId="0" applyAlignment="1" pivotButton="0" quotePrefix="0" xfId="138">
      <alignment horizontal="center" vertical="center"/>
    </xf>
    <xf numFmtId="168" fontId="82" fillId="4" borderId="27" applyAlignment="1" pivotButton="0" quotePrefix="0" xfId="4">
      <alignment horizontal="center" vertical="center"/>
    </xf>
    <xf numFmtId="168" fontId="86" fillId="4" borderId="27" applyAlignment="1" pivotButton="0" quotePrefix="0" xfId="4">
      <alignment horizontal="center" vertical="center" shrinkToFit="1"/>
    </xf>
    <xf numFmtId="165" fontId="12" fillId="0" borderId="27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12" fillId="0" borderId="27" applyAlignment="1" pivotButton="0" quotePrefix="0" xfId="138">
      <alignment horizontal="center" vertical="center" wrapText="1" shrinkToFit="1"/>
    </xf>
    <xf numFmtId="0" fontId="17" fillId="0" borderId="27" applyAlignment="1" pivotButton="0" quotePrefix="0" xfId="0">
      <alignment horizontal="center" vertical="center"/>
    </xf>
    <xf numFmtId="178" fontId="17" fillId="0" borderId="27" applyAlignment="1" pivotButton="0" quotePrefix="0" xfId="0">
      <alignment horizontal="right" vertical="center"/>
    </xf>
    <xf numFmtId="166" fontId="17" fillId="0" borderId="27" applyAlignment="1" pivotButton="0" quotePrefix="0" xfId="563">
      <alignment horizontal="center" vertical="center"/>
    </xf>
    <xf numFmtId="174" fontId="17" fillId="0" borderId="27" applyAlignment="1" pivotButton="0" quotePrefix="0" xfId="564">
      <alignment horizontal="right" vertical="center" shrinkToFit="1"/>
    </xf>
    <xf numFmtId="166" fontId="17" fillId="0" borderId="27" applyAlignment="1" pivotButton="0" quotePrefix="0" xfId="564">
      <alignment vertical="center" shrinkToFit="1"/>
    </xf>
    <xf numFmtId="166" fontId="12" fillId="0" borderId="27" applyAlignment="1" pivotButton="0" quotePrefix="0" xfId="564">
      <alignment vertical="center" shrinkToFit="1"/>
    </xf>
    <xf numFmtId="167" fontId="12" fillId="0" borderId="27" applyAlignment="1" pivotButton="0" quotePrefix="1" xfId="138">
      <alignment vertical="center" shrinkToFit="1"/>
    </xf>
    <xf numFmtId="165" fontId="12" fillId="15" borderId="27" applyAlignment="1" pivotButton="0" quotePrefix="0" xfId="0">
      <alignment horizontal="center" vertical="center"/>
    </xf>
    <xf numFmtId="0" fontId="12" fillId="15" borderId="27" applyAlignment="1" pivotButton="0" quotePrefix="0" xfId="0">
      <alignment horizontal="left" vertical="center"/>
    </xf>
    <xf numFmtId="0" fontId="12" fillId="15" borderId="27" applyAlignment="1" pivotButton="0" quotePrefix="0" xfId="0">
      <alignment horizontal="center" vertical="center"/>
    </xf>
    <xf numFmtId="0" fontId="12" fillId="15" borderId="27" applyAlignment="1" pivotButton="0" quotePrefix="0" xfId="138">
      <alignment horizontal="center" vertical="center" wrapText="1" shrinkToFit="1"/>
    </xf>
    <xf numFmtId="0" fontId="17" fillId="15" borderId="27" applyAlignment="1" pivotButton="0" quotePrefix="0" xfId="0">
      <alignment horizontal="center" vertical="center"/>
    </xf>
    <xf numFmtId="178" fontId="17" fillId="15" borderId="27" applyAlignment="1" pivotButton="0" quotePrefix="0" xfId="0">
      <alignment horizontal="right" vertical="center"/>
    </xf>
    <xf numFmtId="166" fontId="17" fillId="15" borderId="27" applyAlignment="1" pivotButton="0" quotePrefix="0" xfId="563">
      <alignment horizontal="center" vertical="center"/>
    </xf>
    <xf numFmtId="174" fontId="17" fillId="15" borderId="27" applyAlignment="1" pivotButton="0" quotePrefix="0" xfId="564">
      <alignment horizontal="right" vertical="center" shrinkToFit="1"/>
    </xf>
    <xf numFmtId="166" fontId="17" fillId="15" borderId="27" applyAlignment="1" pivotButton="0" quotePrefix="0" xfId="564">
      <alignment vertical="center" shrinkToFit="1"/>
    </xf>
    <xf numFmtId="166" fontId="12" fillId="15" borderId="27" applyAlignment="1" pivotButton="0" quotePrefix="0" xfId="564">
      <alignment vertical="center" shrinkToFit="1"/>
    </xf>
    <xf numFmtId="167" fontId="12" fillId="15" borderId="27" applyAlignment="1" pivotButton="0" quotePrefix="1" xfId="138">
      <alignment vertical="center" shrinkToFit="1"/>
    </xf>
    <xf numFmtId="168" fontId="76" fillId="2" borderId="27" applyAlignment="1" pivotButton="0" quotePrefix="0" xfId="4">
      <alignment horizontal="center" vertical="center"/>
    </xf>
    <xf numFmtId="0" fontId="21" fillId="2" borderId="18" applyAlignment="1" pivotButton="0" quotePrefix="0" xfId="2">
      <alignment horizontal="center" vertical="center"/>
    </xf>
    <xf numFmtId="0" fontId="0" fillId="0" borderId="37" pivotButton="0" quotePrefix="0" xfId="0"/>
    <xf numFmtId="166" fontId="20" fillId="2" borderId="17" applyAlignment="1" pivotButton="0" quotePrefix="0" xfId="563">
      <alignment horizontal="center" vertical="center"/>
    </xf>
    <xf numFmtId="0" fontId="0" fillId="0" borderId="26" pivotButton="0" quotePrefix="0" xfId="0"/>
    <xf numFmtId="166" fontId="20" fillId="2" borderId="18" applyAlignment="1" pivotButton="0" quotePrefix="0" xfId="563">
      <alignment horizontal="center" vertical="center"/>
    </xf>
    <xf numFmtId="0" fontId="0" fillId="0" borderId="36" pivotButton="0" quotePrefix="0" xfId="0"/>
    <xf numFmtId="168" fontId="28" fillId="2" borderId="3" applyAlignment="1" pivotButton="0" quotePrefix="0" xfId="138">
      <alignment horizontal="center" vertical="center"/>
    </xf>
    <xf numFmtId="168" fontId="28" fillId="2" borderId="7" applyAlignment="1" pivotButton="0" quotePrefix="0" xfId="138">
      <alignment horizontal="center" vertical="center"/>
    </xf>
    <xf numFmtId="174" fontId="28" fillId="2" borderId="7" applyAlignment="1" pivotButton="0" quotePrefix="0" xfId="4">
      <alignment horizontal="center" vertical="center"/>
    </xf>
    <xf numFmtId="182" fontId="28" fillId="2" borderId="29" applyAlignment="1" pivotButton="0" quotePrefix="0" xfId="138">
      <alignment horizontal="center" vertical="center"/>
    </xf>
    <xf numFmtId="182" fontId="28" fillId="2" borderId="30" applyAlignment="1" pivotButton="0" quotePrefix="0" xfId="138">
      <alignment horizontal="center" vertical="center"/>
    </xf>
    <xf numFmtId="168" fontId="38" fillId="2" borderId="28" applyAlignment="1" pivotButton="0" quotePrefix="0" xfId="4">
      <alignment horizontal="center" vertical="center"/>
    </xf>
    <xf numFmtId="168" fontId="28" fillId="2" borderId="0" applyAlignment="1" pivotButton="0" quotePrefix="0" xfId="4">
      <alignment horizontal="center" vertical="center"/>
    </xf>
    <xf numFmtId="168" fontId="28" fillId="2" borderId="27" applyAlignment="1" pivotButton="0" quotePrefix="0" xfId="138">
      <alignment horizontal="center" vertical="center"/>
    </xf>
    <xf numFmtId="174" fontId="28" fillId="2" borderId="27" applyAlignment="1" pivotButton="0" quotePrefix="0" xfId="4">
      <alignment horizontal="center" vertical="center"/>
    </xf>
    <xf numFmtId="182" fontId="28" fillId="2" borderId="27" applyAlignment="1" pivotButton="0" quotePrefix="0" xfId="138">
      <alignment horizontal="center" vertical="center"/>
    </xf>
    <xf numFmtId="168" fontId="3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0" fontId="12" fillId="0" borderId="34" applyAlignment="1" pivotButton="0" quotePrefix="0" xfId="0">
      <alignment vertical="center" wrapText="1"/>
    </xf>
    <xf numFmtId="0" fontId="12" fillId="0" borderId="34" applyAlignment="1" pivotButton="0" quotePrefix="0" xfId="0">
      <alignment vertical="center"/>
    </xf>
    <xf numFmtId="0" fontId="41" fillId="0" borderId="34" applyAlignment="1" pivotButton="0" quotePrefix="0" xfId="0">
      <alignment vertical="center" wrapText="1"/>
    </xf>
    <xf numFmtId="168" fontId="76" fillId="2" borderId="27" applyAlignment="1" pivotButton="0" quotePrefix="0" xfId="138">
      <alignment horizontal="center" vertical="center"/>
    </xf>
    <xf numFmtId="174" fontId="76" fillId="2" borderId="27" applyAlignment="1" pivotButton="0" quotePrefix="0" xfId="4">
      <alignment horizontal="center" vertical="center"/>
    </xf>
    <xf numFmtId="182" fontId="76" fillId="2" borderId="27" applyAlignment="1" pivotButton="0" quotePrefix="0" xfId="138">
      <alignment horizontal="center" vertical="center"/>
    </xf>
    <xf numFmtId="0" fontId="67" fillId="2" borderId="1" applyAlignment="1" pivotButton="0" quotePrefix="0" xfId="176">
      <alignment horizontal="center" vertical="center"/>
    </xf>
    <xf numFmtId="166" fontId="66" fillId="0" borderId="0" applyAlignment="1" pivotButton="0" quotePrefix="0" xfId="177">
      <alignment horizontal="center" vertical="center"/>
    </xf>
    <xf numFmtId="0" fontId="67" fillId="2" borderId="8" applyAlignment="1" pivotButton="0" quotePrefix="0" xfId="176">
      <alignment horizontal="center" vertical="center"/>
    </xf>
    <xf numFmtId="0" fontId="67" fillId="2" borderId="14" applyAlignment="1" pivotButton="0" quotePrefix="0" xfId="176">
      <alignment horizontal="center" vertical="center"/>
    </xf>
    <xf numFmtId="168" fontId="76" fillId="2" borderId="43" applyAlignment="1" pivotButton="0" quotePrefix="0" xfId="4">
      <alignment horizontal="center" vertical="center"/>
    </xf>
    <xf numFmtId="168" fontId="76" fillId="2" borderId="44" applyAlignment="1" pivotButton="0" quotePrefix="0" xfId="4">
      <alignment horizontal="center" vertical="center"/>
    </xf>
    <xf numFmtId="0" fontId="71" fillId="0" borderId="0" applyAlignment="1" pivotButton="0" quotePrefix="0" xfId="137">
      <alignment horizontal="center" vertical="center"/>
    </xf>
    <xf numFmtId="167" fontId="77" fillId="0" borderId="0" applyAlignment="1" pivotButton="0" quotePrefix="0" xfId="138">
      <alignment horizontal="center" vertical="center"/>
    </xf>
    <xf numFmtId="170" fontId="71" fillId="0" borderId="0" applyAlignment="1" pivotButton="0" quotePrefix="0" xfId="138">
      <alignment horizontal="center" vertical="center"/>
    </xf>
    <xf numFmtId="167" fontId="12" fillId="15" borderId="27" applyAlignment="1" pivotButton="0" quotePrefix="1" xfId="138">
      <alignment horizontal="center" vertical="center" shrinkToFit="1"/>
    </xf>
    <xf numFmtId="167" fontId="12" fillId="0" borderId="27" applyAlignment="1" pivotButton="0" quotePrefix="1" xfId="138">
      <alignment horizontal="center" vertical="center" shrinkToFit="1"/>
    </xf>
    <xf numFmtId="0" fontId="0" fillId="0" borderId="0" pivotButton="0" quotePrefix="0" xfId="0"/>
    <xf numFmtId="166" fontId="20" fillId="2" borderId="17" applyAlignment="1" pivotButton="0" quotePrefix="0" xfId="563">
      <alignment horizontal="center" vertical="center"/>
    </xf>
    <xf numFmtId="166" fontId="20" fillId="2" borderId="18" applyAlignment="1" pivotButton="0" quotePrefix="0" xfId="563">
      <alignment horizontal="center" vertical="center"/>
    </xf>
    <xf numFmtId="166" fontId="21" fillId="2" borderId="11" applyAlignment="1" pivotButton="0" quotePrefix="0" xfId="563">
      <alignment horizontal="center" vertical="center" wrapText="1"/>
    </xf>
    <xf numFmtId="166" fontId="21" fillId="2" borderId="11" applyAlignment="1" pivotButton="0" quotePrefix="0" xfId="563">
      <alignment horizontal="center" vertical="center"/>
    </xf>
    <xf numFmtId="171" fontId="15" fillId="2" borderId="11" applyAlignment="1" pivotButton="0" quotePrefix="0" xfId="563">
      <alignment horizontal="center" vertical="center"/>
    </xf>
    <xf numFmtId="164" fontId="15" fillId="2" borderId="11" applyAlignment="1" pivotButton="0" quotePrefix="0" xfId="2">
      <alignment horizontal="center" vertical="center"/>
    </xf>
    <xf numFmtId="165" fontId="12" fillId="0" borderId="19" applyAlignment="1" pivotButton="0" quotePrefix="0" xfId="0">
      <alignment horizontal="center" vertical="center"/>
    </xf>
    <xf numFmtId="166" fontId="12" fillId="0" borderId="11" applyAlignment="1" pivotButton="0" quotePrefix="0" xfId="563">
      <alignment vertical="center"/>
    </xf>
    <xf numFmtId="166" fontId="12" fillId="0" borderId="20" applyAlignment="1" pivotButton="0" quotePrefix="0" xfId="563">
      <alignment vertical="center"/>
    </xf>
    <xf numFmtId="174" fontId="17" fillId="3" borderId="11" applyAlignment="1" pivotButton="0" quotePrefix="0" xfId="563">
      <alignment horizontal="center" vertical="center"/>
    </xf>
    <xf numFmtId="171" fontId="17" fillId="7" borderId="11" applyAlignment="1" pivotButton="0" quotePrefix="0" xfId="564">
      <alignment vertical="center"/>
    </xf>
    <xf numFmtId="166" fontId="24" fillId="7" borderId="11" applyAlignment="1" pivotButton="0" quotePrefix="0" xfId="564">
      <alignment vertical="center"/>
    </xf>
    <xf numFmtId="164" fontId="17" fillId="7" borderId="11" applyAlignment="1" pivotButton="0" quotePrefix="0" xfId="2">
      <alignment vertical="center"/>
    </xf>
    <xf numFmtId="166" fontId="24" fillId="7" borderId="20" applyAlignment="1" pivotButton="0" quotePrefix="0" xfId="2">
      <alignment vertical="center"/>
    </xf>
    <xf numFmtId="166" fontId="12" fillId="11" borderId="11" applyAlignment="1" pivotButton="0" quotePrefix="0" xfId="563">
      <alignment vertical="center"/>
    </xf>
    <xf numFmtId="171" fontId="17" fillId="7" borderId="24" applyAlignment="1" pivotButton="0" quotePrefix="0" xfId="564">
      <alignment vertical="center"/>
    </xf>
    <xf numFmtId="166" fontId="24" fillId="7" borderId="24" applyAlignment="1" pivotButton="0" quotePrefix="0" xfId="564">
      <alignment vertical="center"/>
    </xf>
    <xf numFmtId="164" fontId="17" fillId="7" borderId="24" applyAlignment="1" pivotButton="0" quotePrefix="0" xfId="2">
      <alignment vertical="center"/>
    </xf>
    <xf numFmtId="166" fontId="24" fillId="7" borderId="25" applyAlignment="1" pivotButton="0" quotePrefix="0" xfId="2">
      <alignment vertical="center"/>
    </xf>
    <xf numFmtId="166" fontId="12" fillId="4" borderId="11" applyAlignment="1" pivotButton="0" quotePrefix="0" xfId="563">
      <alignment vertical="center"/>
    </xf>
    <xf numFmtId="171" fontId="17" fillId="7" borderId="13" applyAlignment="1" pivotButton="0" quotePrefix="0" xfId="564">
      <alignment vertical="center"/>
    </xf>
    <xf numFmtId="166" fontId="24" fillId="7" borderId="13" applyAlignment="1" pivotButton="0" quotePrefix="0" xfId="564">
      <alignment vertical="center"/>
    </xf>
    <xf numFmtId="164" fontId="17" fillId="7" borderId="13" applyAlignment="1" pivotButton="0" quotePrefix="0" xfId="2">
      <alignment vertical="center"/>
    </xf>
    <xf numFmtId="166" fontId="24" fillId="7" borderId="22" applyAlignment="1" pivotButton="0" quotePrefix="0" xfId="2">
      <alignment vertical="center"/>
    </xf>
    <xf numFmtId="165" fontId="12" fillId="0" borderId="26" applyAlignment="1" pivotButton="0" quotePrefix="0" xfId="0">
      <alignment horizontal="center" vertical="center"/>
    </xf>
    <xf numFmtId="166" fontId="12" fillId="0" borderId="38" applyAlignment="1" pivotButton="0" quotePrefix="0" xfId="0">
      <alignment vertical="center"/>
    </xf>
    <xf numFmtId="181" fontId="12" fillId="0" borderId="11" applyAlignment="1" pivotButton="0" quotePrefix="0" xfId="0">
      <alignment vertical="center"/>
    </xf>
    <xf numFmtId="166" fontId="12" fillId="0" borderId="39" applyAlignment="1" pivotButton="0" quotePrefix="0" xfId="563">
      <alignment vertical="center"/>
    </xf>
    <xf numFmtId="166" fontId="12" fillId="0" borderId="39" applyAlignment="1" pivotButton="0" quotePrefix="0" xfId="0">
      <alignment vertical="center"/>
    </xf>
    <xf numFmtId="166" fontId="12" fillId="4" borderId="39" applyAlignment="1" pivotButton="0" quotePrefix="0" xfId="0">
      <alignment vertical="center"/>
    </xf>
    <xf numFmtId="166" fontId="27" fillId="7" borderId="42" applyAlignment="1" pivotButton="0" quotePrefix="0" xfId="0">
      <alignment vertical="center"/>
    </xf>
    <xf numFmtId="165" fontId="33" fillId="0" borderId="0" applyAlignment="1" pivotButton="0" quotePrefix="0" xfId="138">
      <alignment horizontal="center" vertical="center"/>
    </xf>
    <xf numFmtId="167" fontId="53" fillId="0" borderId="0" applyAlignment="1" pivotButton="0" quotePrefix="0" xfId="138">
      <alignment vertical="center"/>
    </xf>
    <xf numFmtId="167" fontId="33" fillId="0" borderId="0" applyAlignment="1" pivotButton="0" quotePrefix="0" xfId="138">
      <alignment vertical="center" shrinkToFit="1"/>
    </xf>
    <xf numFmtId="167" fontId="54" fillId="0" borderId="0" applyAlignment="1" pivotButton="0" quotePrefix="0" xfId="138">
      <alignment vertical="center"/>
    </xf>
    <xf numFmtId="165" fontId="51" fillId="0" borderId="0" applyAlignment="1" pivotButton="0" quotePrefix="0" xfId="137">
      <alignment horizontal="center" vertical="center"/>
    </xf>
    <xf numFmtId="167" fontId="51" fillId="0" borderId="0" applyAlignment="1" pivotButton="0" quotePrefix="0" xfId="137">
      <alignment horizontal="center" vertical="center"/>
    </xf>
    <xf numFmtId="168" fontId="51" fillId="0" borderId="0" applyAlignment="1" pivotButton="0" quotePrefix="0" xfId="4">
      <alignment vertical="center"/>
    </xf>
    <xf numFmtId="169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 shrinkToFit="1"/>
    </xf>
    <xf numFmtId="168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 shrinkToFit="1"/>
    </xf>
    <xf numFmtId="167" fontId="33" fillId="0" borderId="0" applyAlignment="1" pivotButton="0" quotePrefix="0" xfId="138">
      <alignment vertical="center"/>
    </xf>
    <xf numFmtId="165" fontId="55" fillId="0" borderId="0" applyAlignment="1" pivotButton="0" quotePrefix="0" xfId="138">
      <alignment horizontal="left" vertical="center"/>
    </xf>
    <xf numFmtId="167" fontId="33" fillId="0" borderId="0" applyAlignment="1" pivotButton="0" quotePrefix="0" xfId="138">
      <alignment horizontal="left" vertical="center"/>
    </xf>
    <xf numFmtId="171" fontId="33" fillId="0" borderId="0" applyAlignment="1" pivotButton="0" quotePrefix="0" xfId="138">
      <alignment horizontal="left" vertical="center"/>
    </xf>
    <xf numFmtId="166" fontId="33" fillId="0" borderId="0" applyAlignment="1" pivotButton="0" quotePrefix="0" xfId="4">
      <alignment vertical="center"/>
    </xf>
    <xf numFmtId="166" fontId="33" fillId="0" borderId="0" applyAlignment="1" pivotButton="0" quotePrefix="0" xfId="4">
      <alignment vertical="center" shrinkToFit="1"/>
    </xf>
    <xf numFmtId="168" fontId="28" fillId="0" borderId="0" applyAlignment="1" pivotButton="0" quotePrefix="1" xfId="4">
      <alignment horizontal="left" vertical="center"/>
    </xf>
    <xf numFmtId="167" fontId="33" fillId="0" borderId="0" applyAlignment="1" pivotButton="0" quotePrefix="0" xfId="138">
      <alignment horizontal="center" vertical="center"/>
    </xf>
    <xf numFmtId="167" fontId="35" fillId="0" borderId="0" applyAlignment="1" pivotButton="0" quotePrefix="0" xfId="138">
      <alignment vertical="center"/>
    </xf>
    <xf numFmtId="168" fontId="35" fillId="0" borderId="0" applyAlignment="1" pivotButton="0" quotePrefix="1" xfId="4">
      <alignment horizontal="left" vertical="center"/>
    </xf>
    <xf numFmtId="168" fontId="35" fillId="0" borderId="0" applyAlignment="1" pivotButton="0" quotePrefix="0" xfId="4">
      <alignment horizontal="left" vertical="center"/>
    </xf>
    <xf numFmtId="168" fontId="35" fillId="0" borderId="0" applyAlignment="1" pivotButton="0" quotePrefix="0" xfId="137">
      <alignment horizontal="left" vertical="center" shrinkToFit="1"/>
    </xf>
    <xf numFmtId="168" fontId="35" fillId="0" borderId="0" applyAlignment="1" pivotButton="0" quotePrefix="0" xfId="4">
      <alignment horizontal="left" vertical="center" shrinkToFit="1"/>
    </xf>
    <xf numFmtId="168" fontId="28" fillId="0" borderId="0" applyAlignment="1" pivotButton="0" quotePrefix="0" xfId="4">
      <alignment horizontal="left" vertical="center"/>
    </xf>
    <xf numFmtId="165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/>
    </xf>
    <xf numFmtId="166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shrinkToFit="1"/>
    </xf>
    <xf numFmtId="166" fontId="28" fillId="2" borderId="1" applyAlignment="1" pivotButton="0" quotePrefix="0" xfId="4">
      <alignment horizontal="center" vertical="center" shrinkToFit="1"/>
    </xf>
    <xf numFmtId="167" fontId="32" fillId="0" borderId="0" applyAlignment="1" pivotButton="0" quotePrefix="0" xfId="138">
      <alignment vertical="center"/>
    </xf>
    <xf numFmtId="165" fontId="33" fillId="0" borderId="1" applyAlignment="1" pivotButton="0" quotePrefix="0" xfId="138">
      <alignment horizontal="left" vertical="center"/>
    </xf>
    <xf numFmtId="167" fontId="33" fillId="0" borderId="1" applyAlignment="1" pivotButton="0" quotePrefix="0" xfId="138">
      <alignment horizontal="left" vertical="center"/>
    </xf>
    <xf numFmtId="166" fontId="33" fillId="0" borderId="1" applyAlignment="1" pivotButton="0" quotePrefix="0" xfId="4">
      <alignment vertical="center"/>
    </xf>
    <xf numFmtId="166" fontId="33" fillId="0" borderId="2" applyAlignment="1" pivotButton="0" quotePrefix="0" xfId="4">
      <alignment vertical="center"/>
    </xf>
    <xf numFmtId="170" fontId="33" fillId="0" borderId="1" applyAlignment="1" pivotButton="0" quotePrefix="0" xfId="4">
      <alignment vertical="center" shrinkToFit="1"/>
    </xf>
    <xf numFmtId="167" fontId="30" fillId="0" borderId="0" applyAlignment="1" pivotButton="0" quotePrefix="0" xfId="4">
      <alignment vertical="center" shrinkToFit="1"/>
    </xf>
    <xf numFmtId="167" fontId="33" fillId="0" borderId="1" applyAlignment="1" pivotButton="0" quotePrefix="0" xfId="138">
      <alignment vertical="center"/>
    </xf>
    <xf numFmtId="166" fontId="30" fillId="0" borderId="1" applyAlignment="1" pivotButton="0" quotePrefix="0" xfId="4">
      <alignment vertical="center"/>
    </xf>
    <xf numFmtId="170" fontId="32" fillId="0" borderId="0" applyAlignment="1" pivotButton="0" quotePrefix="0" xfId="1">
      <alignment vertical="center"/>
    </xf>
    <xf numFmtId="170" fontId="32" fillId="0" borderId="0" applyAlignment="1" pivotButton="0" quotePrefix="0" xfId="138">
      <alignment vertical="center"/>
    </xf>
    <xf numFmtId="167" fontId="33" fillId="0" borderId="0" applyAlignment="1" pivotButton="0" quotePrefix="0" xfId="4">
      <alignment vertical="center" shrinkToFit="1"/>
    </xf>
    <xf numFmtId="167" fontId="36" fillId="0" borderId="0" applyAlignment="1" pivotButton="0" quotePrefix="0" xfId="4">
      <alignment vertical="center" shrinkToFit="1"/>
    </xf>
    <xf numFmtId="167" fontId="32" fillId="0" borderId="0" applyAlignment="1" pivotButton="0" quotePrefix="0" xfId="4">
      <alignment vertical="center" shrinkToFit="1"/>
    </xf>
    <xf numFmtId="171" fontId="32" fillId="0" borderId="0" applyAlignment="1" pivotButton="0" quotePrefix="0" xfId="138">
      <alignment vertical="center" shrinkToFit="1"/>
    </xf>
    <xf numFmtId="167" fontId="33" fillId="3" borderId="1" applyAlignment="1" pivotButton="0" quotePrefix="0" xfId="138">
      <alignment vertical="center"/>
    </xf>
    <xf numFmtId="166" fontId="33" fillId="3" borderId="1" applyAlignment="1" pivotButton="0" quotePrefix="0" xfId="4">
      <alignment vertical="center" shrinkToFit="1"/>
    </xf>
    <xf numFmtId="170" fontId="33" fillId="3" borderId="1" applyAlignment="1" pivotButton="0" quotePrefix="0" xfId="4">
      <alignment vertical="center" shrinkToFit="1"/>
    </xf>
    <xf numFmtId="171" fontId="32" fillId="0" borderId="0" applyAlignment="1" pivotButton="0" quotePrefix="0" xfId="138">
      <alignment horizontal="right" vertical="center" shrinkToFit="1"/>
    </xf>
    <xf numFmtId="166" fontId="33" fillId="3" borderId="1" applyAlignment="1" pivotButton="0" quotePrefix="0" xfId="4">
      <alignment vertical="center"/>
    </xf>
    <xf numFmtId="166" fontId="36" fillId="3" borderId="1" applyAlignment="1" pivotButton="0" quotePrefix="0" xfId="4">
      <alignment vertical="center"/>
    </xf>
    <xf numFmtId="170" fontId="36" fillId="3" borderId="1" applyAlignment="1" pivotButton="0" quotePrefix="0" xfId="4">
      <alignment vertical="center" shrinkToFit="1"/>
    </xf>
    <xf numFmtId="172" fontId="32" fillId="0" borderId="0" applyAlignment="1" pivotButton="0" quotePrefix="0" xfId="138">
      <alignment horizontal="right" vertical="center" shrinkToFit="1"/>
    </xf>
    <xf numFmtId="166" fontId="33" fillId="0" borderId="1" applyAlignment="1" pivotButton="0" quotePrefix="0" xfId="4">
      <alignment vertical="center" shrinkToFit="1"/>
    </xf>
    <xf numFmtId="165" fontId="28" fillId="2" borderId="3" applyAlignment="1" pivotButton="0" quotePrefix="0" xfId="138">
      <alignment horizontal="center" vertical="center" shrinkToFit="1"/>
    </xf>
    <xf numFmtId="167" fontId="28" fillId="2" borderId="4" applyAlignment="1" pivotButton="0" quotePrefix="0" xfId="138">
      <alignment horizontal="center" vertical="center" shrinkToFit="1"/>
    </xf>
    <xf numFmtId="166" fontId="28" fillId="2" borderId="1" applyAlignment="1" pivotButton="0" quotePrefix="0" xfId="4">
      <alignment vertical="center" shrinkToFit="1"/>
    </xf>
    <xf numFmtId="170" fontId="28" fillId="2" borderId="1" applyAlignment="1" pivotButton="0" quotePrefix="0" xfId="4">
      <alignment vertical="center" shrinkToFit="1"/>
    </xf>
    <xf numFmtId="173" fontId="32" fillId="0" borderId="0" applyAlignment="1" pivotButton="0" quotePrefix="0" xfId="138">
      <alignment horizontal="right" vertical="center" shrinkToFit="1"/>
    </xf>
    <xf numFmtId="167" fontId="36" fillId="0" borderId="0" applyAlignment="1" pivotButton="0" quotePrefix="0" xfId="138">
      <alignment vertical="center" shrinkToFit="1"/>
    </xf>
    <xf numFmtId="166" fontId="32" fillId="0" borderId="0" applyAlignment="1" pivotButton="0" quotePrefix="0" xfId="4">
      <alignment vertical="center" shrinkToFit="1"/>
    </xf>
    <xf numFmtId="176" fontId="30" fillId="0" borderId="0" applyAlignment="1" pivotButton="0" quotePrefix="0" xfId="1">
      <alignment vertical="center" shrinkToFit="1"/>
    </xf>
    <xf numFmtId="167" fontId="33" fillId="0" borderId="0" applyAlignment="1" pivotButton="0" quotePrefix="0" xfId="138">
      <alignment horizontal="center" vertical="center" shrinkToFit="1"/>
    </xf>
    <xf numFmtId="170" fontId="32" fillId="0" borderId="0" applyAlignment="1" pivotButton="0" quotePrefix="0" xfId="4">
      <alignment horizontal="left" vertical="center"/>
    </xf>
    <xf numFmtId="167" fontId="36" fillId="0" borderId="0" applyAlignment="1" pivotButton="0" quotePrefix="0" xfId="138">
      <alignment horizontal="right" vertical="center" shrinkToFit="1"/>
    </xf>
    <xf numFmtId="166" fontId="33" fillId="0" borderId="0" applyAlignment="1" pivotButton="0" quotePrefix="0" xfId="1">
      <alignment vertical="center" shrinkToFit="1"/>
    </xf>
    <xf numFmtId="170" fontId="33" fillId="0" borderId="0" applyAlignment="1" pivotButton="0" quotePrefix="0" xfId="1">
      <alignment vertical="center" shrinkToFit="1"/>
    </xf>
    <xf numFmtId="167" fontId="32" fillId="0" borderId="0" applyAlignment="1" pivotButton="0" quotePrefix="0" xfId="138">
      <alignment vertical="center" shrinkToFit="1"/>
    </xf>
    <xf numFmtId="170" fontId="32" fillId="0" borderId="0" applyAlignment="1" pivotButton="0" quotePrefix="0" xfId="1">
      <alignment vertical="center" shrinkToFit="1"/>
    </xf>
    <xf numFmtId="170" fontId="33" fillId="0" borderId="0" applyAlignment="1" pivotButton="0" quotePrefix="0" xfId="4">
      <alignment horizontal="left" vertical="center"/>
    </xf>
    <xf numFmtId="166" fontId="44" fillId="0" borderId="0" applyAlignment="1" pivotButton="0" quotePrefix="0" xfId="1">
      <alignment horizontal="right" vertical="center"/>
    </xf>
    <xf numFmtId="166" fontId="33" fillId="0" borderId="0" applyAlignment="1" pivotButton="0" quotePrefix="0" xfId="1">
      <alignment horizontal="right" vertical="center"/>
    </xf>
    <xf numFmtId="165" fontId="38" fillId="2" borderId="6" applyAlignment="1" pivotButton="0" quotePrefix="0" xfId="4">
      <alignment horizontal="center" vertical="center"/>
    </xf>
    <xf numFmtId="168" fontId="38" fillId="2" borderId="5" applyAlignment="1" pivotButton="0" quotePrefix="0" xfId="4">
      <alignment horizontal="center" vertical="center"/>
    </xf>
    <xf numFmtId="167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 shrinkToFit="1"/>
    </xf>
    <xf numFmtId="168" fontId="28" fillId="2" borderId="3" applyAlignment="1" pivotButton="0" quotePrefix="0" xfId="138">
      <alignment horizontal="center" vertical="center"/>
    </xf>
    <xf numFmtId="0" fontId="0" fillId="0" borderId="7" pivotButton="0" quotePrefix="0" xfId="0"/>
    <xf numFmtId="182" fontId="28" fillId="2" borderId="50" applyAlignment="1" pivotButton="0" quotePrefix="0" xfId="138">
      <alignment horizontal="center" vertical="center"/>
    </xf>
    <xf numFmtId="0" fontId="0" fillId="0" borderId="30" pivotButton="0" quotePrefix="0" xfId="0"/>
    <xf numFmtId="168" fontId="38" fillId="2" borderId="28" applyAlignment="1" pivotButton="0" quotePrefix="0" xfId="4">
      <alignment horizontal="center" vertical="center"/>
    </xf>
    <xf numFmtId="0" fontId="0" fillId="0" borderId="28" pivotButton="0" quotePrefix="0" xfId="0"/>
    <xf numFmtId="168" fontId="38" fillId="2" borderId="1" applyAlignment="1" pivotButton="0" quotePrefix="0" xfId="4">
      <alignment horizontal="center" vertical="center" shrinkToFit="1"/>
    </xf>
    <xf numFmtId="165" fontId="28" fillId="2" borderId="10" applyAlignment="1" pivotButton="0" quotePrefix="0" xfId="4">
      <alignment horizontal="center" vertical="center"/>
    </xf>
    <xf numFmtId="168" fontId="28" fillId="2" borderId="9" applyAlignment="1" pivotButton="0" quotePrefix="0" xfId="4">
      <alignment horizontal="center" vertical="center"/>
    </xf>
    <xf numFmtId="167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 shrinkToFit="1"/>
    </xf>
    <xf numFmtId="166" fontId="28" fillId="2" borderId="8" applyAlignment="1" pivotButton="0" quotePrefix="0" xfId="4">
      <alignment horizontal="center" vertical="center"/>
    </xf>
    <xf numFmtId="166" fontId="28" fillId="2" borderId="8" applyAlignment="1" pivotButton="0" quotePrefix="0" xfId="4">
      <alignment horizontal="center" vertical="center" shrinkToFit="1"/>
    </xf>
    <xf numFmtId="166" fontId="28" fillId="2" borderId="5" applyAlignment="1" pivotButton="0" quotePrefix="0" xfId="4">
      <alignment horizontal="center" vertical="center"/>
    </xf>
    <xf numFmtId="168" fontId="28" fillId="2" borderId="31" applyAlignment="1" pivotButton="0" quotePrefix="0" xfId="138">
      <alignment horizontal="center" vertical="center"/>
    </xf>
    <xf numFmtId="168" fontId="28" fillId="2" borderId="32" applyAlignment="1" pivotButton="0" quotePrefix="0" xfId="138">
      <alignment horizontal="center" vertical="center"/>
    </xf>
    <xf numFmtId="168" fontId="28" fillId="2" borderId="0" applyAlignment="1" pivotButton="0" quotePrefix="0" xfId="4">
      <alignment horizontal="center" vertical="center"/>
    </xf>
    <xf numFmtId="168" fontId="28" fillId="2" borderId="8" applyAlignment="1" pivotButton="0" quotePrefix="0" xfId="4">
      <alignment horizontal="center" vertical="center" shrinkToFit="1"/>
    </xf>
    <xf numFmtId="175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/>
    </xf>
    <xf numFmtId="167" fontId="29" fillId="13" borderId="35" applyAlignment="1" pivotButton="0" quotePrefix="0" xfId="138">
      <alignment horizontal="left" vertical="center"/>
    </xf>
    <xf numFmtId="167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 shrinkToFit="1"/>
    </xf>
    <xf numFmtId="166" fontId="29" fillId="13" borderId="35" applyAlignment="1" pivotButton="0" quotePrefix="0" xfId="138">
      <alignment vertical="center"/>
    </xf>
    <xf numFmtId="166" fontId="29" fillId="13" borderId="35" applyAlignment="1" pivotButton="0" quotePrefix="0" xfId="4">
      <alignment vertical="center"/>
    </xf>
    <xf numFmtId="166" fontId="29" fillId="13" borderId="35" applyAlignment="1" pivotButton="0" quotePrefix="0" xfId="1">
      <alignment vertical="center"/>
    </xf>
    <xf numFmtId="166" fontId="43" fillId="13" borderId="35" applyAlignment="1" pivotButton="0" quotePrefix="0" xfId="1">
      <alignment vertical="center"/>
    </xf>
    <xf numFmtId="166" fontId="37" fillId="13" borderId="35" applyAlignment="1" pivotButton="0" quotePrefix="0" xfId="1">
      <alignment vertical="center"/>
    </xf>
    <xf numFmtId="177" fontId="37" fillId="13" borderId="35" applyAlignment="1" pivotButton="0" quotePrefix="0" xfId="138">
      <alignment horizontal="left" vertical="center"/>
    </xf>
    <xf numFmtId="167" fontId="33" fillId="13" borderId="35" applyAlignment="1" pivotButton="0" quotePrefix="0" xfId="138">
      <alignment vertical="center" shrinkToFit="1"/>
    </xf>
    <xf numFmtId="166" fontId="36" fillId="0" borderId="0" applyAlignment="1" pivotButton="0" quotePrefix="0" xfId="1">
      <alignment vertical="center"/>
    </xf>
    <xf numFmtId="165" fontId="33" fillId="0" borderId="27" applyAlignment="1" pivotButton="0" quotePrefix="0" xfId="138">
      <alignment horizontal="center" vertical="center" wrapText="1" shrinkToFit="1"/>
    </xf>
    <xf numFmtId="167" fontId="36" fillId="0" borderId="27" applyAlignment="1" pivotButton="0" quotePrefix="0" xfId="138">
      <alignment vertical="center"/>
    </xf>
    <xf numFmtId="166" fontId="33" fillId="0" borderId="27" applyAlignment="1" pivotButton="0" quotePrefix="0" xfId="1">
      <alignment horizontal="center" vertical="center"/>
    </xf>
    <xf numFmtId="174" fontId="30" fillId="0" borderId="27" applyAlignment="1" pivotButton="0" quotePrefix="0" xfId="4">
      <alignment horizontal="right" vertical="center" shrinkToFit="1"/>
    </xf>
    <xf numFmtId="166" fontId="33" fillId="4" borderId="27" applyAlignment="1" pivotButton="0" quotePrefix="0" xfId="4">
      <alignment vertical="center" shrinkToFit="1"/>
    </xf>
    <xf numFmtId="166" fontId="33" fillId="0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horizontal="left" vertical="center" shrinkToFit="1"/>
    </xf>
    <xf numFmtId="167" fontId="33" fillId="0" borderId="27" applyAlignment="1" pivotButton="0" quotePrefix="1" xfId="138">
      <alignment vertical="center" shrinkToFit="1"/>
    </xf>
    <xf numFmtId="166" fontId="33" fillId="0" borderId="0" applyAlignment="1" pivotButton="0" quotePrefix="0" xfId="1">
      <alignment vertical="center"/>
    </xf>
    <xf numFmtId="165" fontId="33" fillId="8" borderId="27" applyAlignment="1" pivotButton="0" quotePrefix="0" xfId="138">
      <alignment horizontal="center" vertical="center" wrapText="1" shrinkToFit="1"/>
    </xf>
    <xf numFmtId="167" fontId="36" fillId="8" borderId="27" applyAlignment="1" pivotButton="0" quotePrefix="0" xfId="138">
      <alignment vertical="center"/>
    </xf>
    <xf numFmtId="166" fontId="33" fillId="8" borderId="27" applyAlignment="1" pivotButton="0" quotePrefix="0" xfId="1">
      <alignment horizontal="center" vertical="center"/>
    </xf>
    <xf numFmtId="174" fontId="30" fillId="8" borderId="27" applyAlignment="1" pivotButton="0" quotePrefix="0" xfId="4">
      <alignment horizontal="right" vertical="center" shrinkToFit="1"/>
    </xf>
    <xf numFmtId="166" fontId="33" fillId="8" borderId="27" applyAlignment="1" pivotButton="0" quotePrefix="0" xfId="4">
      <alignment vertical="center" shrinkToFit="1"/>
    </xf>
    <xf numFmtId="167" fontId="33" fillId="8" borderId="27" applyAlignment="1" pivotButton="0" quotePrefix="0" xfId="138">
      <alignment horizontal="left" vertical="center" shrinkToFit="1"/>
    </xf>
    <xf numFmtId="167" fontId="33" fillId="8" borderId="27" applyAlignment="1" pivotButton="0" quotePrefix="1" xfId="138">
      <alignment vertical="center" shrinkToFit="1"/>
    </xf>
    <xf numFmtId="165" fontId="33" fillId="10" borderId="27" applyAlignment="1" pivotButton="0" quotePrefix="0" xfId="138">
      <alignment horizontal="center" vertical="center" wrapText="1" shrinkToFit="1"/>
    </xf>
    <xf numFmtId="166" fontId="33" fillId="10" borderId="27" applyAlignment="1" pivotButton="0" quotePrefix="0" xfId="1">
      <alignment horizontal="center" vertical="center"/>
    </xf>
    <xf numFmtId="174" fontId="30" fillId="10" borderId="27" applyAlignment="1" pivotButton="0" quotePrefix="0" xfId="4">
      <alignment horizontal="right" vertical="center" shrinkToFit="1"/>
    </xf>
    <xf numFmtId="166" fontId="33" fillId="10" borderId="27" applyAlignment="1" pivotButton="0" quotePrefix="0" xfId="4">
      <alignment vertical="center" shrinkToFit="1"/>
    </xf>
    <xf numFmtId="167" fontId="33" fillId="10" borderId="27" applyAlignment="1" pivotButton="0" quotePrefix="0" xfId="138">
      <alignment horizontal="left" vertical="center" shrinkToFit="1"/>
    </xf>
    <xf numFmtId="167" fontId="33" fillId="10" borderId="27" applyAlignment="1" pivotButton="0" quotePrefix="1" xfId="138">
      <alignment vertical="center" shrinkToFit="1"/>
    </xf>
    <xf numFmtId="165" fontId="30" fillId="0" borderId="27" applyAlignment="1" pivotButton="0" quotePrefix="0" xfId="0">
      <alignment horizontal="left" vertical="center"/>
    </xf>
    <xf numFmtId="166" fontId="33" fillId="0" borderId="27" applyAlignment="1" pivotButton="0" quotePrefix="0" xfId="1">
      <alignment horizontal="center" vertical="center" wrapText="1" shrinkToFit="1"/>
    </xf>
    <xf numFmtId="167" fontId="33" fillId="0" borderId="27" applyAlignment="1" pivotButton="0" quotePrefix="0" xfId="138">
      <alignment vertical="center" shrinkToFit="1"/>
    </xf>
    <xf numFmtId="165" fontId="33" fillId="14" borderId="27" applyAlignment="1" pivotButton="0" quotePrefix="0" xfId="138">
      <alignment horizontal="center" vertical="center" wrapText="1" shrinkToFit="1"/>
    </xf>
    <xf numFmtId="165" fontId="30" fillId="14" borderId="27" applyAlignment="1" pivotButton="0" quotePrefix="0" xfId="0">
      <alignment horizontal="left" vertical="center"/>
    </xf>
    <xf numFmtId="170" fontId="33" fillId="14" borderId="27" applyAlignment="1" pivotButton="0" quotePrefix="0" xfId="1">
      <alignment horizontal="center" vertical="center" wrapText="1" shrinkToFit="1"/>
    </xf>
    <xf numFmtId="166" fontId="33" fillId="14" borderId="27" applyAlignment="1" pivotButton="0" quotePrefix="0" xfId="1">
      <alignment horizontal="center" vertical="center"/>
    </xf>
    <xf numFmtId="174" fontId="30" fillId="14" borderId="27" applyAlignment="1" pivotButton="0" quotePrefix="0" xfId="4">
      <alignment horizontal="right" vertical="center" shrinkToFit="1"/>
    </xf>
    <xf numFmtId="166" fontId="33" fillId="14" borderId="27" applyAlignment="1" pivotButton="0" quotePrefix="0" xfId="4">
      <alignment vertical="center" shrinkToFit="1"/>
    </xf>
    <xf numFmtId="167" fontId="33" fillId="14" borderId="27" applyAlignment="1" pivotButton="0" quotePrefix="0" xfId="138">
      <alignment horizontal="left" vertical="center" shrinkToFit="1"/>
    </xf>
    <xf numFmtId="167" fontId="33" fillId="14" borderId="27" applyAlignment="1" pivotButton="0" quotePrefix="1" xfId="138">
      <alignment vertical="center" shrinkToFit="1"/>
    </xf>
    <xf numFmtId="167" fontId="36" fillId="0" borderId="0" applyAlignment="1" pivotButton="0" quotePrefix="0" xfId="138">
      <alignment vertical="center"/>
    </xf>
    <xf numFmtId="165" fontId="30" fillId="0" borderId="0" applyAlignment="1" pivotButton="0" quotePrefix="0" xfId="137">
      <alignment horizontal="center" vertical="center"/>
    </xf>
    <xf numFmtId="167" fontId="30" fillId="0" borderId="0" applyAlignment="1" pivotButton="0" quotePrefix="0" xfId="137">
      <alignment horizontal="center" vertical="center"/>
    </xf>
    <xf numFmtId="168" fontId="30" fillId="0" borderId="0" applyAlignment="1" pivotButton="0" quotePrefix="0" xfId="4">
      <alignment vertical="center"/>
    </xf>
    <xf numFmtId="169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 shrinkToFit="1"/>
    </xf>
    <xf numFmtId="168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 shrinkToFit="1"/>
    </xf>
    <xf numFmtId="165" fontId="29" fillId="0" borderId="0" applyAlignment="1" pivotButton="0" quotePrefix="0" xfId="138">
      <alignment horizontal="left" vertical="center"/>
    </xf>
    <xf numFmtId="167" fontId="30" fillId="0" borderId="1" applyAlignment="1" pivotButton="0" quotePrefix="0" xfId="138">
      <alignment horizontal="left" vertical="center"/>
    </xf>
    <xf numFmtId="170" fontId="30" fillId="0" borderId="1" applyAlignment="1" pivotButton="0" quotePrefix="0" xfId="4">
      <alignment vertical="center" shrinkToFit="1"/>
    </xf>
    <xf numFmtId="167" fontId="30" fillId="0" borderId="1" applyAlignment="1" pivotButton="0" quotePrefix="0" xfId="138">
      <alignment vertical="center"/>
    </xf>
    <xf numFmtId="167" fontId="30" fillId="3" borderId="1" applyAlignment="1" pivotButton="0" quotePrefix="0" xfId="138">
      <alignment vertical="center"/>
    </xf>
    <xf numFmtId="166" fontId="30" fillId="3" borderId="1" applyAlignment="1" pivotButton="0" quotePrefix="0" xfId="4">
      <alignment vertical="center"/>
    </xf>
    <xf numFmtId="170" fontId="30" fillId="3" borderId="1" applyAlignment="1" pivotButton="0" quotePrefix="0" xfId="4">
      <alignment vertical="center" shrinkToFit="1"/>
    </xf>
    <xf numFmtId="166" fontId="30" fillId="0" borderId="1" applyAlignment="1" pivotButton="0" quotePrefix="0" xfId="4">
      <alignment vertical="center" shrinkToFit="1"/>
    </xf>
    <xf numFmtId="165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/>
    </xf>
    <xf numFmtId="167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 shrinkToFit="1"/>
    </xf>
    <xf numFmtId="168" fontId="28" fillId="2" borderId="27" applyAlignment="1" pivotButton="0" quotePrefix="0" xfId="138">
      <alignment horizontal="center" vertical="center"/>
    </xf>
    <xf numFmtId="0" fontId="0" fillId="0" borderId="54" pivotButton="0" quotePrefix="0" xfId="0"/>
    <xf numFmtId="0" fontId="0" fillId="0" borderId="44" pivotButton="0" quotePrefix="0" xfId="0"/>
    <xf numFmtId="182" fontId="28" fillId="2" borderId="27" applyAlignment="1" pivotButton="0" quotePrefix="0" xfId="138">
      <alignment horizontal="center" vertical="center"/>
    </xf>
    <xf numFmtId="165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167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 shrinkToFit="1"/>
    </xf>
    <xf numFmtId="166" fontId="28" fillId="2" borderId="27" applyAlignment="1" pivotButton="0" quotePrefix="0" xfId="4">
      <alignment horizontal="center" vertical="center"/>
    </xf>
    <xf numFmtId="166" fontId="28" fillId="2" borderId="27" applyAlignment="1" pivotButton="0" quotePrefix="0" xfId="4">
      <alignment horizontal="center" vertical="center" shrinkToFit="1"/>
    </xf>
    <xf numFmtId="175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/>
    </xf>
    <xf numFmtId="167" fontId="29" fillId="13" borderId="27" applyAlignment="1" pivotButton="0" quotePrefix="0" xfId="138">
      <alignment horizontal="left" vertical="center"/>
    </xf>
    <xf numFmtId="167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 shrinkToFit="1"/>
    </xf>
    <xf numFmtId="166" fontId="29" fillId="13" borderId="27" applyAlignment="1" pivotButton="0" quotePrefix="0" xfId="138">
      <alignment vertical="center"/>
    </xf>
    <xf numFmtId="166" fontId="29" fillId="13" borderId="27" applyAlignment="1" pivotButton="0" quotePrefix="0" xfId="4">
      <alignment vertical="center"/>
    </xf>
    <xf numFmtId="166" fontId="29" fillId="13" borderId="27" applyAlignment="1" pivotButton="0" quotePrefix="0" xfId="1">
      <alignment vertical="center"/>
    </xf>
    <xf numFmtId="166" fontId="43" fillId="13" borderId="27" applyAlignment="1" pivotButton="0" quotePrefix="0" xfId="1">
      <alignment vertical="center"/>
    </xf>
    <xf numFmtId="166" fontId="37" fillId="13" borderId="27" applyAlignment="1" pivotButton="0" quotePrefix="0" xfId="1">
      <alignment vertical="center"/>
    </xf>
    <xf numFmtId="177" fontId="37" fillId="13" borderId="27" applyAlignment="1" pivotButton="0" quotePrefix="0" xfId="138">
      <alignment horizontal="left" vertical="center"/>
    </xf>
    <xf numFmtId="167" fontId="33" fillId="13" borderId="27" applyAlignment="1" pivotButton="0" quotePrefix="0" xfId="138">
      <alignment vertical="center" shrinkToFit="1"/>
    </xf>
    <xf numFmtId="165" fontId="33" fillId="8" borderId="27" applyAlignment="1" pivotButton="0" quotePrefix="0" xfId="0">
      <alignment horizontal="center" vertical="center"/>
    </xf>
    <xf numFmtId="166" fontId="33" fillId="16" borderId="27" applyAlignment="1" pivotButton="0" quotePrefix="0" xfId="4">
      <alignment vertical="center" shrinkToFit="1"/>
    </xf>
    <xf numFmtId="165" fontId="33" fillId="0" borderId="27" applyAlignment="1" pivotButton="0" quotePrefix="0" xfId="0">
      <alignment horizontal="center" vertical="center"/>
    </xf>
    <xf numFmtId="166" fontId="33" fillId="11" borderId="27" applyAlignment="1" pivotButton="0" quotePrefix="0" xfId="4">
      <alignment vertical="center" shrinkToFit="1"/>
    </xf>
    <xf numFmtId="179" fontId="33" fillId="0" borderId="27" applyAlignment="1" pivotButton="0" quotePrefix="0" xfId="0">
      <alignment horizontal="center" vertical="center"/>
    </xf>
    <xf numFmtId="166" fontId="30" fillId="0" borderId="27" applyAlignment="1" pivotButton="0" quotePrefix="0" xfId="1">
      <alignment horizontal="center" vertical="center" wrapText="1"/>
    </xf>
    <xf numFmtId="166" fontId="33" fillId="5" borderId="27" applyAlignment="1" pivotButton="0" quotePrefix="0" xfId="4">
      <alignment vertical="center" shrinkToFit="1"/>
    </xf>
    <xf numFmtId="166" fontId="30" fillId="0" borderId="27" applyAlignment="1" pivotButton="0" quotePrefix="0" xfId="1">
      <alignment horizontal="center" vertical="center" wrapText="1" shrinkToFit="1"/>
    </xf>
    <xf numFmtId="166" fontId="33" fillId="0" borderId="27" applyAlignment="1" pivotButton="0" quotePrefix="0" xfId="1">
      <alignment vertical="center" shrinkToFit="1"/>
    </xf>
    <xf numFmtId="167" fontId="30" fillId="0" borderId="0" applyAlignment="1" pivotButton="0" quotePrefix="0" xfId="137">
      <alignment horizontal="left" vertical="center"/>
    </xf>
    <xf numFmtId="168" fontId="30" fillId="0" borderId="0" applyAlignment="1" pivotButton="0" quotePrefix="0" xfId="4">
      <alignment horizontal="center" vertical="center" shrinkToFit="1"/>
    </xf>
    <xf numFmtId="166" fontId="33" fillId="0" borderId="0" applyAlignment="1" pivotButton="0" quotePrefix="0" xfId="4">
      <alignment horizontal="center" vertical="center" shrinkToFit="1"/>
    </xf>
    <xf numFmtId="168" fontId="35" fillId="0" borderId="0" applyAlignment="1" pivotButton="0" quotePrefix="0" xfId="4">
      <alignment horizontal="center" vertical="center" shrinkToFit="1"/>
    </xf>
    <xf numFmtId="168" fontId="28" fillId="2" borderId="1" applyAlignment="1" pivotButton="0" quotePrefix="0" xfId="4">
      <alignment horizontal="left" vertical="center"/>
    </xf>
    <xf numFmtId="166" fontId="30" fillId="0" borderId="1" applyAlignment="1" pivotButton="0" quotePrefix="0" xfId="4">
      <alignment horizontal="center" vertical="center"/>
    </xf>
    <xf numFmtId="167" fontId="33" fillId="3" borderId="1" applyAlignment="1" pivotButton="0" quotePrefix="0" xfId="138">
      <alignment horizontal="left" vertical="center"/>
    </xf>
    <xf numFmtId="166" fontId="36" fillId="3" borderId="1" applyAlignment="1" pivotButton="0" quotePrefix="0" xfId="4">
      <alignment horizontal="center" vertical="center"/>
    </xf>
    <xf numFmtId="166" fontId="33" fillId="0" borderId="1" applyAlignment="1" pivotButton="0" quotePrefix="0" xfId="4">
      <alignment horizontal="center" vertical="center"/>
    </xf>
    <xf numFmtId="167" fontId="28" fillId="2" borderId="4" applyAlignment="1" pivotButton="0" quotePrefix="0" xfId="138">
      <alignment horizontal="left" vertical="center" shrinkToFit="1"/>
    </xf>
    <xf numFmtId="166" fontId="58" fillId="2" borderId="1" applyAlignment="1" pivotButton="0" quotePrefix="0" xfId="4">
      <alignment vertical="center" shrinkToFit="1"/>
    </xf>
    <xf numFmtId="166" fontId="30" fillId="0" borderId="0" applyAlignment="1" pivotButton="0" quotePrefix="0" xfId="4">
      <alignment horizontal="left" vertical="center"/>
    </xf>
    <xf numFmtId="170" fontId="30" fillId="0" borderId="0" applyAlignment="1" pivotButton="0" quotePrefix="0" xfId="1">
      <alignment horizontal="left" vertical="center"/>
    </xf>
    <xf numFmtId="166" fontId="33" fillId="0" borderId="0" applyAlignment="1" pivotButton="0" quotePrefix="0" xfId="1">
      <alignment horizontal="center" vertical="center" shrinkToFit="1"/>
    </xf>
    <xf numFmtId="166" fontId="44" fillId="0" borderId="0" applyAlignment="1" pivotButton="0" quotePrefix="0" xfId="1">
      <alignment horizontal="center" vertical="center"/>
    </xf>
    <xf numFmtId="168" fontId="38" fillId="2" borderId="27" applyAlignment="1" pivotButton="0" quotePrefix="0" xfId="4">
      <alignment horizontal="left" vertical="center"/>
    </xf>
    <xf numFmtId="168" fontId="28" fillId="2" borderId="27" applyAlignment="1" pivotButton="0" quotePrefix="0" xfId="4">
      <alignment horizontal="left" vertical="center"/>
    </xf>
    <xf numFmtId="166" fontId="28" fillId="2" borderId="27" applyAlignment="1" pivotButton="0" quotePrefix="0" xfId="1">
      <alignment horizontal="center" vertical="center"/>
    </xf>
    <xf numFmtId="166" fontId="29" fillId="13" borderId="27" applyAlignment="1" pivotButton="0" quotePrefix="0" xfId="4">
      <alignment horizontal="center" vertical="center"/>
    </xf>
    <xf numFmtId="176" fontId="33" fillId="11" borderId="27" applyAlignment="1" pivotButton="0" quotePrefix="0" xfId="4">
      <alignment vertical="center" shrinkToFit="1"/>
    </xf>
    <xf numFmtId="166" fontId="33" fillId="9" borderId="27" applyAlignment="1" pivotButton="0" quotePrefix="0" xfId="1">
      <alignment vertical="center" shrinkToFit="1"/>
    </xf>
    <xf numFmtId="166" fontId="46" fillId="0" borderId="27" applyAlignment="1" pivotButton="0" quotePrefix="0" xfId="1">
      <alignment horizontal="center" vertical="center"/>
    </xf>
    <xf numFmtId="166" fontId="33" fillId="11" borderId="27" applyAlignment="1" pivotButton="0" quotePrefix="0" xfId="1">
      <alignment vertical="center" shrinkToFit="1"/>
    </xf>
    <xf numFmtId="166" fontId="30" fillId="11" borderId="27" applyAlignment="1" pivotButton="0" quotePrefix="0" xfId="1">
      <alignment vertical="center" shrinkToFit="1"/>
    </xf>
    <xf numFmtId="174" fontId="30" fillId="11" borderId="27" applyAlignment="1" pivotButton="0" quotePrefix="0" xfId="4">
      <alignment horizontal="right" vertical="center" shrinkToFit="1"/>
    </xf>
    <xf numFmtId="166" fontId="30" fillId="9" borderId="27" applyAlignment="1" pivotButton="0" quotePrefix="0" xfId="4">
      <alignment vertical="center" shrinkToFit="1"/>
    </xf>
    <xf numFmtId="166" fontId="33" fillId="4" borderId="0" applyAlignment="1" pivotButton="0" quotePrefix="0" xfId="1">
      <alignment vertical="center"/>
    </xf>
    <xf numFmtId="167" fontId="30" fillId="0" borderId="0" applyAlignment="1" pivotButton="0" quotePrefix="0" xfId="138">
      <alignment vertical="center"/>
    </xf>
    <xf numFmtId="170" fontId="30" fillId="0" borderId="0" applyAlignment="1" pivotButton="0" quotePrefix="0" xfId="1">
      <alignment vertical="center"/>
    </xf>
    <xf numFmtId="166" fontId="29" fillId="13" borderId="27" applyAlignment="1" pivotButton="0" quotePrefix="0" xfId="1">
      <alignment horizontal="center" vertical="center"/>
    </xf>
    <xf numFmtId="166" fontId="48" fillId="0" borderId="27" applyAlignment="1" pivotButton="0" quotePrefix="0" xfId="1">
      <alignment horizontal="center" vertical="center"/>
    </xf>
    <xf numFmtId="165" fontId="33" fillId="11" borderId="27" applyAlignment="1" pivotButton="0" quotePrefix="0" xfId="0">
      <alignment horizontal="center" vertical="center"/>
    </xf>
    <xf numFmtId="167" fontId="36" fillId="11" borderId="27" applyAlignment="1" pivotButton="0" quotePrefix="0" xfId="138">
      <alignment vertical="center"/>
    </xf>
    <xf numFmtId="166" fontId="30" fillId="11" borderId="27" applyAlignment="1" pivotButton="0" quotePrefix="0" xfId="1">
      <alignment horizontal="center" vertical="center"/>
    </xf>
    <xf numFmtId="166" fontId="30" fillId="11" borderId="27" applyAlignment="1" pivotButton="0" quotePrefix="0" xfId="4">
      <alignment vertical="center" shrinkToFit="1"/>
    </xf>
    <xf numFmtId="167" fontId="33" fillId="11" borderId="27" applyAlignment="1" pivotButton="0" quotePrefix="0" xfId="138">
      <alignment horizontal="left" vertical="center" shrinkToFit="1"/>
    </xf>
    <xf numFmtId="167" fontId="33" fillId="11" borderId="27" applyAlignment="1" pivotButton="0" quotePrefix="1" xfId="138">
      <alignment vertical="center" shrinkToFit="1"/>
    </xf>
    <xf numFmtId="166" fontId="30" fillId="4" borderId="27" applyAlignment="1" pivotButton="0" quotePrefix="0" xfId="4">
      <alignment vertical="center" shrinkToFit="1"/>
    </xf>
    <xf numFmtId="167" fontId="33" fillId="0" borderId="27" applyAlignment="1" pivotButton="0" quotePrefix="1" xfId="138">
      <alignment horizontal="left" vertical="center" shrinkToFit="1"/>
    </xf>
    <xf numFmtId="166" fontId="30" fillId="0" borderId="27" applyAlignment="1" pivotButton="0" quotePrefix="0" xfId="1">
      <alignment horizontal="center" vertical="center"/>
    </xf>
    <xf numFmtId="166" fontId="12" fillId="0" borderId="27" applyAlignment="1" pivotButton="0" quotePrefix="0" xfId="1">
      <alignment horizontal="center" vertical="center"/>
    </xf>
    <xf numFmtId="166" fontId="12" fillId="0" borderId="27" applyAlignment="1" pivotButton="0" quotePrefix="0" xfId="1">
      <alignment vertical="center"/>
    </xf>
    <xf numFmtId="166" fontId="17" fillId="0" borderId="27" applyAlignment="1" pivotButton="0" quotePrefix="0" xfId="1">
      <alignment horizontal="center" vertical="center"/>
    </xf>
    <xf numFmtId="167" fontId="36" fillId="11" borderId="0" applyAlignment="1" pivotButton="0" quotePrefix="0" xfId="138">
      <alignment vertical="center"/>
    </xf>
    <xf numFmtId="165" fontId="33" fillId="11" borderId="35" applyAlignment="1" pivotButton="0" quotePrefix="0" xfId="0">
      <alignment horizontal="center" vertical="center"/>
    </xf>
    <xf numFmtId="166" fontId="48" fillId="11" borderId="35" applyAlignment="1" pivotButton="0" quotePrefix="0" xfId="1">
      <alignment horizontal="center" vertical="center"/>
    </xf>
    <xf numFmtId="174" fontId="30" fillId="11" borderId="35" applyAlignment="1" pivotButton="0" quotePrefix="0" xfId="4">
      <alignment horizontal="right" vertical="center" shrinkToFit="1"/>
    </xf>
    <xf numFmtId="166" fontId="30" fillId="11" borderId="35" applyAlignment="1" pivotButton="0" quotePrefix="0" xfId="4">
      <alignment vertical="center" shrinkToFit="1"/>
    </xf>
    <xf numFmtId="166" fontId="33" fillId="11" borderId="35" applyAlignment="1" pivotButton="0" quotePrefix="0" xfId="4">
      <alignment vertical="center" shrinkToFit="1"/>
    </xf>
    <xf numFmtId="167" fontId="33" fillId="11" borderId="35" applyAlignment="1" pivotButton="0" quotePrefix="0" xfId="138">
      <alignment horizontal="left" vertical="center" shrinkToFit="1"/>
    </xf>
    <xf numFmtId="167" fontId="33" fillId="11" borderId="35" applyAlignment="1" pivotButton="0" quotePrefix="1" xfId="138">
      <alignment vertical="center" shrinkToFit="1"/>
    </xf>
    <xf numFmtId="166" fontId="33" fillId="11" borderId="0" applyAlignment="1" pivotButton="0" quotePrefix="0" xfId="1">
      <alignment vertical="center"/>
    </xf>
    <xf numFmtId="167" fontId="33" fillId="11" borderId="0" applyAlignment="1" pivotButton="0" quotePrefix="0" xfId="138">
      <alignment vertical="center"/>
    </xf>
    <xf numFmtId="165" fontId="34" fillId="11" borderId="34" applyAlignment="1" pivotButton="0" quotePrefix="0" xfId="0">
      <alignment horizontal="center" vertical="center"/>
    </xf>
    <xf numFmtId="166" fontId="49" fillId="11" borderId="34" applyAlignment="1" pivotButton="0" quotePrefix="0" xfId="1">
      <alignment horizontal="center" vertical="center"/>
    </xf>
    <xf numFmtId="174" fontId="60" fillId="11" borderId="34" applyAlignment="1" pivotButton="0" quotePrefix="0" xfId="4">
      <alignment horizontal="right" vertical="center" shrinkToFit="1"/>
    </xf>
    <xf numFmtId="166" fontId="60" fillId="5" borderId="34" applyAlignment="1" pivotButton="0" quotePrefix="0" xfId="4">
      <alignment vertical="center" shrinkToFit="1"/>
    </xf>
    <xf numFmtId="166" fontId="34" fillId="11" borderId="34" applyAlignment="1" pivotButton="0" quotePrefix="0" xfId="4">
      <alignment vertical="center" shrinkToFit="1"/>
    </xf>
    <xf numFmtId="167" fontId="34" fillId="11" borderId="34" applyAlignment="1" pivotButton="0" quotePrefix="0" xfId="138">
      <alignment horizontal="left" vertical="center" shrinkToFit="1"/>
    </xf>
    <xf numFmtId="167" fontId="34" fillId="11" borderId="34" applyAlignment="1" pivotButton="0" quotePrefix="1" xfId="138">
      <alignment vertical="center" shrinkToFit="1"/>
    </xf>
    <xf numFmtId="165" fontId="33" fillId="0" borderId="33" applyAlignment="1" pivotButton="0" quotePrefix="0" xfId="0">
      <alignment horizontal="center" vertical="center"/>
    </xf>
    <xf numFmtId="166" fontId="48" fillId="0" borderId="33" applyAlignment="1" pivotButton="0" quotePrefix="0" xfId="1">
      <alignment horizontal="center" vertical="center"/>
    </xf>
    <xf numFmtId="174" fontId="30" fillId="0" borderId="33" applyAlignment="1" pivotButton="0" quotePrefix="0" xfId="4">
      <alignment horizontal="right" vertical="center" shrinkToFit="1"/>
    </xf>
    <xf numFmtId="166" fontId="30" fillId="4" borderId="33" applyAlignment="1" pivotButton="0" quotePrefix="0" xfId="4">
      <alignment vertical="center" shrinkToFit="1"/>
    </xf>
    <xf numFmtId="166" fontId="33" fillId="0" borderId="33" applyAlignment="1" pivotButton="0" quotePrefix="0" xfId="4">
      <alignment vertical="center" shrinkToFit="1"/>
    </xf>
    <xf numFmtId="167" fontId="33" fillId="0" borderId="33" applyAlignment="1" pivotButton="0" quotePrefix="0" xfId="138">
      <alignment horizontal="left" vertical="center" shrinkToFit="1"/>
    </xf>
    <xf numFmtId="167" fontId="33" fillId="0" borderId="33" applyAlignment="1" pivotButton="0" quotePrefix="1" xfId="138">
      <alignment vertical="center" shrinkToFit="1"/>
    </xf>
    <xf numFmtId="166" fontId="46" fillId="0" borderId="27" applyAlignment="1" pivotButton="0" quotePrefix="0" xfId="1">
      <alignment horizontal="center" vertical="center" wrapText="1"/>
    </xf>
    <xf numFmtId="165" fontId="33" fillId="9" borderId="35" applyAlignment="1" pivotButton="0" quotePrefix="0" xfId="0">
      <alignment horizontal="center" vertical="center"/>
    </xf>
    <xf numFmtId="167" fontId="33" fillId="9" borderId="35" applyAlignment="1" pivotButton="0" quotePrefix="0" xfId="138">
      <alignment vertical="center" shrinkToFit="1"/>
    </xf>
    <xf numFmtId="166" fontId="33" fillId="9" borderId="35" applyAlignment="1" pivotButton="0" quotePrefix="0" xfId="1">
      <alignment horizontal="center" vertical="center"/>
    </xf>
    <xf numFmtId="174" fontId="30" fillId="9" borderId="35" applyAlignment="1" pivotButton="0" quotePrefix="0" xfId="4">
      <alignment horizontal="right" vertical="center" shrinkToFit="1"/>
    </xf>
    <xf numFmtId="166" fontId="30" fillId="4" borderId="35" applyAlignment="1" pivotButton="0" quotePrefix="0" xfId="4">
      <alignment vertical="center" shrinkToFit="1"/>
    </xf>
    <xf numFmtId="166" fontId="33" fillId="9" borderId="35" applyAlignment="1" pivotButton="0" quotePrefix="0" xfId="4">
      <alignment vertical="center" shrinkToFit="1"/>
    </xf>
    <xf numFmtId="167" fontId="33" fillId="9" borderId="35" applyAlignment="1" pivotButton="0" quotePrefix="0" xfId="138">
      <alignment horizontal="left" vertical="center" shrinkToFit="1"/>
    </xf>
    <xf numFmtId="167" fontId="33" fillId="9" borderId="35" applyAlignment="1" pivotButton="0" quotePrefix="1" xfId="138">
      <alignment vertical="center" shrinkToFit="1"/>
    </xf>
    <xf numFmtId="165" fontId="34" fillId="9" borderId="34" applyAlignment="1" pivotButton="0" quotePrefix="0" xfId="0">
      <alignment horizontal="center" vertical="center"/>
    </xf>
    <xf numFmtId="167" fontId="34" fillId="9" borderId="34" applyAlignment="1" pivotButton="0" quotePrefix="0" xfId="138">
      <alignment vertical="center" shrinkToFit="1"/>
    </xf>
    <xf numFmtId="166" fontId="34" fillId="9" borderId="34" applyAlignment="1" pivotButton="0" quotePrefix="0" xfId="1">
      <alignment horizontal="center" vertical="center"/>
    </xf>
    <xf numFmtId="174" fontId="60" fillId="9" borderId="34" applyAlignment="1" pivotButton="0" quotePrefix="0" xfId="4">
      <alignment horizontal="right" vertical="center" shrinkToFit="1"/>
    </xf>
    <xf numFmtId="166" fontId="34" fillId="9" borderId="34" applyAlignment="1" pivotButton="0" quotePrefix="0" xfId="4">
      <alignment vertical="center" shrinkToFit="1"/>
    </xf>
    <xf numFmtId="167" fontId="34" fillId="9" borderId="34" applyAlignment="1" pivotButton="0" quotePrefix="0" xfId="138">
      <alignment horizontal="left" vertical="center" shrinkToFit="1"/>
    </xf>
    <xf numFmtId="167" fontId="34" fillId="9" borderId="34" applyAlignment="1" pivotButton="0" quotePrefix="1" xfId="138">
      <alignment vertical="center" shrinkToFit="1"/>
    </xf>
    <xf numFmtId="165" fontId="34" fillId="0" borderId="34" applyAlignment="1" pivotButton="0" quotePrefix="0" xfId="0">
      <alignment horizontal="center" vertical="center"/>
    </xf>
    <xf numFmtId="167" fontId="34" fillId="0" borderId="34" applyAlignment="1" pivotButton="0" quotePrefix="0" xfId="138">
      <alignment vertical="center" shrinkToFit="1"/>
    </xf>
    <xf numFmtId="166" fontId="34" fillId="0" borderId="34" applyAlignment="1" pivotButton="0" quotePrefix="0" xfId="1">
      <alignment horizontal="center" vertical="center"/>
    </xf>
    <xf numFmtId="174" fontId="60" fillId="0" borderId="34" applyAlignment="1" pivotButton="0" quotePrefix="0" xfId="4">
      <alignment horizontal="right" vertical="center" shrinkToFit="1"/>
    </xf>
    <xf numFmtId="166" fontId="34" fillId="0" borderId="34" applyAlignment="1" pivotButton="0" quotePrefix="0" xfId="4">
      <alignment vertical="center" shrinkToFit="1"/>
    </xf>
    <xf numFmtId="167" fontId="34" fillId="0" borderId="34" applyAlignment="1" pivotButton="0" quotePrefix="0" xfId="138">
      <alignment horizontal="left" vertical="center" shrinkToFit="1"/>
    </xf>
    <xf numFmtId="167" fontId="34" fillId="0" borderId="34" applyAlignment="1" pivotButton="0" quotePrefix="1" xfId="138">
      <alignment vertical="center" shrinkToFit="1"/>
    </xf>
    <xf numFmtId="167" fontId="61" fillId="0" borderId="34" applyAlignment="1" pivotButton="0" quotePrefix="0" xfId="138">
      <alignment vertical="center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 wrapText="1"/>
    </xf>
    <xf numFmtId="0" fontId="0" fillId="0" borderId="56" pivotButton="0" quotePrefix="0" xfId="0"/>
    <xf numFmtId="0" fontId="0" fillId="0" borderId="57" pivotButton="0" quotePrefix="0" xfId="0"/>
    <xf numFmtId="166" fontId="12" fillId="0" borderId="34" applyAlignment="1" pivotButton="0" quotePrefix="0" xfId="1">
      <alignment horizontal="center" vertical="center"/>
    </xf>
    <xf numFmtId="166" fontId="12" fillId="0" borderId="34" applyAlignment="1" pivotButton="0" quotePrefix="0" xfId="1">
      <alignment vertical="center"/>
    </xf>
    <xf numFmtId="166" fontId="17" fillId="0" borderId="34" applyAlignment="1" pivotButton="0" quotePrefix="0" xfId="1">
      <alignment horizontal="center" vertical="center"/>
    </xf>
    <xf numFmtId="170" fontId="12" fillId="0" borderId="34" applyAlignment="1" pivotButton="0" quotePrefix="0" xfId="1">
      <alignment vertical="center"/>
    </xf>
    <xf numFmtId="170" fontId="60" fillId="0" borderId="34" applyAlignment="1" pivotButton="0" quotePrefix="0" xfId="1">
      <alignment horizontal="center" vertical="center" wrapText="1"/>
    </xf>
    <xf numFmtId="170" fontId="47" fillId="0" borderId="34" applyAlignment="1" pivotButton="0" quotePrefix="0" xfId="1">
      <alignment horizontal="center" vertical="center" wrapText="1"/>
    </xf>
    <xf numFmtId="180" fontId="60" fillId="5" borderId="34" applyAlignment="1" pivotButton="0" quotePrefix="0" xfId="4">
      <alignment vertical="center" shrinkToFit="1"/>
    </xf>
    <xf numFmtId="166" fontId="61" fillId="0" borderId="34" applyAlignment="1" pivotButton="0" quotePrefix="0" xfId="4">
      <alignment vertical="center" shrinkToFit="1"/>
    </xf>
    <xf numFmtId="165" fontId="72" fillId="0" borderId="0" applyAlignment="1" pivotButton="0" quotePrefix="0" xfId="138">
      <alignment horizontal="center" vertical="center"/>
    </xf>
    <xf numFmtId="167" fontId="72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 shrinkToFit="1"/>
    </xf>
    <xf numFmtId="167" fontId="72" fillId="0" borderId="0" applyAlignment="1" pivotButton="0" quotePrefix="0" xfId="138">
      <alignment horizontal="center" vertical="center" shrinkToFit="1"/>
    </xf>
    <xf numFmtId="165" fontId="70" fillId="0" borderId="0" applyAlignment="1" pivotButton="0" quotePrefix="0" xfId="137">
      <alignment horizontal="center" vertical="center"/>
    </xf>
    <xf numFmtId="167" fontId="70" fillId="0" borderId="0" applyAlignment="1" pivotButton="0" quotePrefix="0" xfId="137">
      <alignment horizontal="left" vertical="center"/>
    </xf>
    <xf numFmtId="167" fontId="70" fillId="0" borderId="0" applyAlignment="1" pivotButton="0" quotePrefix="0" xfId="137">
      <alignment horizontal="center" vertical="center"/>
    </xf>
    <xf numFmtId="168" fontId="70" fillId="0" borderId="0" applyAlignment="1" pivotButton="0" quotePrefix="0" xfId="4">
      <alignment vertical="center"/>
    </xf>
    <xf numFmtId="169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horizontal="center" vertical="center" shrinkToFit="1"/>
    </xf>
    <xf numFmtId="168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 shrinkToFit="1"/>
    </xf>
    <xf numFmtId="165" fontId="74" fillId="0" borderId="0" applyAlignment="1" pivotButton="0" quotePrefix="0" xfId="138">
      <alignment horizontal="left" vertical="center"/>
    </xf>
    <xf numFmtId="171" fontId="72" fillId="0" borderId="0" applyAlignment="1" pivotButton="0" quotePrefix="0" xfId="138">
      <alignment horizontal="left" vertical="center"/>
    </xf>
    <xf numFmtId="166" fontId="72" fillId="0" borderId="0" applyAlignment="1" pivotButton="0" quotePrefix="0" xfId="4">
      <alignment vertical="center"/>
    </xf>
    <xf numFmtId="166" fontId="72" fillId="0" borderId="0" applyAlignment="1" pivotButton="0" quotePrefix="0" xfId="4">
      <alignment horizontal="center" vertical="center" shrinkToFit="1"/>
    </xf>
    <xf numFmtId="168" fontId="76" fillId="0" borderId="0" applyAlignment="1" pivotButton="0" quotePrefix="1" xfId="4">
      <alignment horizontal="left" vertical="center"/>
    </xf>
    <xf numFmtId="167" fontId="72" fillId="0" borderId="0" applyAlignment="1" pivotButton="0" quotePrefix="0" xfId="138">
      <alignment horizontal="center" vertical="center"/>
    </xf>
    <xf numFmtId="167" fontId="77" fillId="0" borderId="0" applyAlignment="1" pivotButton="0" quotePrefix="0" xfId="138">
      <alignment vertical="center"/>
    </xf>
    <xf numFmtId="168" fontId="77" fillId="0" borderId="0" applyAlignment="1" pivotButton="0" quotePrefix="1" xfId="4">
      <alignment horizontal="left" vertical="center"/>
    </xf>
    <xf numFmtId="168" fontId="77" fillId="0" borderId="0" applyAlignment="1" pivotButton="0" quotePrefix="0" xfId="4">
      <alignment horizontal="left" vertical="center"/>
    </xf>
    <xf numFmtId="168" fontId="77" fillId="0" borderId="0" applyAlignment="1" pivotButton="0" quotePrefix="0" xfId="4">
      <alignment vertical="center"/>
    </xf>
    <xf numFmtId="168" fontId="77" fillId="0" borderId="0" applyAlignment="1" pivotButton="0" quotePrefix="0" xfId="137">
      <alignment horizontal="left" vertical="center" shrinkToFit="1"/>
    </xf>
    <xf numFmtId="168" fontId="77" fillId="0" borderId="0" applyAlignment="1" pivotButton="0" quotePrefix="0" xfId="4">
      <alignment horizontal="center" vertical="center" shrinkToFit="1"/>
    </xf>
    <xf numFmtId="167" fontId="77" fillId="0" borderId="0" applyAlignment="1" pivotButton="0" quotePrefix="0" xfId="138">
      <alignment horizontal="center" vertical="center"/>
    </xf>
    <xf numFmtId="165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left" vertical="center"/>
    </xf>
    <xf numFmtId="168" fontId="76" fillId="2" borderId="1" applyAlignment="1" pivotButton="0" quotePrefix="0" xfId="4">
      <alignment horizontal="center" vertical="center"/>
    </xf>
    <xf numFmtId="166" fontId="76" fillId="2" borderId="1" applyAlignment="1" pivotButton="0" quotePrefix="0" xfId="4">
      <alignment vertical="center" wrapText="1"/>
    </xf>
    <xf numFmtId="168" fontId="76" fillId="2" borderId="1" applyAlignment="1" pivotButton="0" quotePrefix="0" xfId="4">
      <alignment horizontal="center" vertical="center" wrapText="1"/>
    </xf>
    <xf numFmtId="168" fontId="76" fillId="2" borderId="1" applyAlignment="1" pivotButton="0" quotePrefix="0" xfId="4">
      <alignment horizontal="center" vertical="center" shrinkToFit="1"/>
    </xf>
    <xf numFmtId="166" fontId="76" fillId="2" borderId="1" applyAlignment="1" pivotButton="0" quotePrefix="0" xfId="4">
      <alignment horizontal="center" vertical="center" shrinkToFit="1"/>
    </xf>
    <xf numFmtId="165" fontId="72" fillId="0" borderId="1" applyAlignment="1" pivotButton="0" quotePrefix="0" xfId="138">
      <alignment horizontal="left" vertical="center"/>
    </xf>
    <xf numFmtId="167" fontId="72" fillId="0" borderId="1" applyAlignment="1" pivotButton="0" quotePrefix="0" xfId="138">
      <alignment horizontal="left" vertical="center"/>
    </xf>
    <xf numFmtId="166" fontId="72" fillId="0" borderId="1" applyAlignment="1" pivotButton="0" quotePrefix="0" xfId="4">
      <alignment vertical="center"/>
    </xf>
    <xf numFmtId="166" fontId="72" fillId="0" borderId="2" applyAlignment="1" pivotButton="0" quotePrefix="0" xfId="4">
      <alignment vertical="center"/>
    </xf>
    <xf numFmtId="170" fontId="72" fillId="0" borderId="1" applyAlignment="1" pivotButton="0" quotePrefix="0" xfId="4">
      <alignment vertical="center" shrinkToFit="1"/>
    </xf>
    <xf numFmtId="167" fontId="70" fillId="0" borderId="0" applyAlignment="1" pivotButton="0" quotePrefix="0" xfId="4">
      <alignment vertical="center" shrinkToFit="1"/>
    </xf>
    <xf numFmtId="167" fontId="72" fillId="0" borderId="1" applyAlignment="1" pivotButton="0" quotePrefix="0" xfId="138">
      <alignment vertical="center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70" fontId="71" fillId="0" borderId="0" applyAlignment="1" pivotButton="0" quotePrefix="0" xfId="138">
      <alignment horizontal="center" vertical="center"/>
    </xf>
    <xf numFmtId="167" fontId="72" fillId="0" borderId="0" applyAlignment="1" pivotButton="0" quotePrefix="0" xfId="4">
      <alignment vertical="center" shrinkToFit="1"/>
    </xf>
    <xf numFmtId="167" fontId="73" fillId="0" borderId="0" applyAlignment="1" pivotButton="0" quotePrefix="0" xfId="4">
      <alignment vertical="center" shrinkToFit="1"/>
    </xf>
    <xf numFmtId="167" fontId="71" fillId="0" borderId="0" applyAlignment="1" pivotButton="0" quotePrefix="0" xfId="4">
      <alignment vertical="center" shrinkToFit="1"/>
    </xf>
    <xf numFmtId="171" fontId="71" fillId="0" borderId="0" applyAlignment="1" pivotButton="0" quotePrefix="0" xfId="138">
      <alignment vertical="center" shrinkToFit="1"/>
    </xf>
    <xf numFmtId="167" fontId="12" fillId="0" borderId="0" applyAlignment="1" pivotButton="0" quotePrefix="0" xfId="138">
      <alignment vertical="center"/>
    </xf>
    <xf numFmtId="167" fontId="17" fillId="0" borderId="1" applyAlignment="1" pivotButton="0" quotePrefix="0" xfId="138">
      <alignment vertical="center"/>
    </xf>
    <xf numFmtId="166" fontId="17" fillId="0" borderId="1" applyAlignment="1" pivotButton="0" quotePrefix="0" xfId="564">
      <alignment vertical="center"/>
    </xf>
    <xf numFmtId="166" fontId="17" fillId="0" borderId="1" applyAlignment="1" pivotButton="0" quotePrefix="0" xfId="564">
      <alignment horizontal="center" vertical="center"/>
    </xf>
    <xf numFmtId="170" fontId="17" fillId="0" borderId="1" applyAlignment="1" pivotButton="0" quotePrefix="0" xfId="563">
      <alignment vertical="center" shrinkToFit="1"/>
    </xf>
    <xf numFmtId="167" fontId="12" fillId="0" borderId="0" applyAlignment="1" pivotButton="0" quotePrefix="0" xfId="138">
      <alignment horizontal="center" vertical="center"/>
    </xf>
    <xf numFmtId="167" fontId="72" fillId="3" borderId="1" applyAlignment="1" pivotButton="0" quotePrefix="0" xfId="138">
      <alignment vertical="center"/>
    </xf>
    <xf numFmtId="167" fontId="72" fillId="3" borderId="1" applyAlignment="1" pivotButton="0" quotePrefix="0" xfId="138">
      <alignment horizontal="left" vertical="center"/>
    </xf>
    <xf numFmtId="170" fontId="72" fillId="3" borderId="1" applyAlignment="1" pivotButton="0" quotePrefix="0" xfId="4">
      <alignment vertical="center" shrinkToFit="1"/>
    </xf>
    <xf numFmtId="171" fontId="71" fillId="0" borderId="0" applyAlignment="1" pivotButton="0" quotePrefix="0" xfId="138">
      <alignment horizontal="right" vertical="center" shrinkToFit="1"/>
    </xf>
    <xf numFmtId="166" fontId="72" fillId="3" borderId="1" applyAlignment="1" pivotButton="0" quotePrefix="0" xfId="4">
      <alignment vertical="center"/>
    </xf>
    <xf numFmtId="166" fontId="73" fillId="3" borderId="1" applyAlignment="1" pivotButton="0" quotePrefix="0" xfId="4">
      <alignment horizontal="center" vertical="center"/>
    </xf>
    <xf numFmtId="170" fontId="73" fillId="3" borderId="1" applyAlignment="1" pivotButton="0" quotePrefix="0" xfId="4">
      <alignment vertical="center" shrinkToFit="1"/>
    </xf>
    <xf numFmtId="166" fontId="71" fillId="0" borderId="0" applyAlignment="1" pivotButton="0" quotePrefix="0" xfId="4">
      <alignment vertical="center" shrinkToFit="1"/>
    </xf>
    <xf numFmtId="172" fontId="71" fillId="0" borderId="0" applyAlignment="1" pivotButton="0" quotePrefix="0" xfId="138">
      <alignment horizontal="right" vertical="center" shrinkToFit="1"/>
    </xf>
    <xf numFmtId="166" fontId="72" fillId="0" borderId="1" applyAlignment="1" pivotButton="0" quotePrefix="0" xfId="4">
      <alignment vertical="center" shrinkToFit="1"/>
    </xf>
    <xf numFmtId="166" fontId="72" fillId="0" borderId="1" applyAlignment="1" pivotButton="0" quotePrefix="0" xfId="4">
      <alignment horizontal="center" vertical="center"/>
    </xf>
    <xf numFmtId="165" fontId="76" fillId="2" borderId="3" applyAlignment="1" pivotButton="0" quotePrefix="0" xfId="138">
      <alignment horizontal="center" vertical="center" shrinkToFit="1"/>
    </xf>
    <xf numFmtId="167" fontId="76" fillId="2" borderId="4" applyAlignment="1" pivotButton="0" quotePrefix="0" xfId="138">
      <alignment horizontal="left" vertical="center" shrinkToFit="1"/>
    </xf>
    <xf numFmtId="166" fontId="76" fillId="2" borderId="1" applyAlignment="1" pivotButton="0" quotePrefix="0" xfId="4">
      <alignment vertical="center" shrinkToFit="1"/>
    </xf>
    <xf numFmtId="166" fontId="79" fillId="2" borderId="1" applyAlignment="1" pivotButton="0" quotePrefix="0" xfId="4">
      <alignment vertical="center" shrinkToFit="1"/>
    </xf>
    <xf numFmtId="170" fontId="76" fillId="2" borderId="1" applyAlignment="1" pivotButton="0" quotePrefix="0" xfId="4">
      <alignment vertical="center" shrinkToFit="1"/>
    </xf>
    <xf numFmtId="173" fontId="71" fillId="0" borderId="0" applyAlignment="1" pivotButton="0" quotePrefix="0" xfId="138">
      <alignment horizontal="right" vertical="center" shrinkToFit="1"/>
    </xf>
    <xf numFmtId="167" fontId="76" fillId="2" borderId="4" applyAlignment="1" pivotButton="0" quotePrefix="0" xfId="138">
      <alignment horizontal="center" vertical="center" shrinkToFit="1"/>
    </xf>
    <xf numFmtId="166" fontId="72" fillId="0" borderId="0" applyAlignment="1" pivotButton="0" quotePrefix="0" xfId="4">
      <alignment vertical="center" shrinkToFit="1"/>
    </xf>
    <xf numFmtId="166" fontId="70" fillId="0" borderId="0" applyAlignment="1" pivotButton="0" quotePrefix="0" xfId="4">
      <alignment horizontal="left" vertical="center"/>
    </xf>
    <xf numFmtId="166" fontId="70" fillId="0" borderId="0" applyAlignment="1" pivotButton="0" quotePrefix="0" xfId="4">
      <alignment vertical="center"/>
    </xf>
    <xf numFmtId="170" fontId="70" fillId="0" borderId="0" applyAlignment="1" pivotButton="0" quotePrefix="0" xfId="1">
      <alignment horizontal="left" vertical="center"/>
    </xf>
    <xf numFmtId="167" fontId="73" fillId="0" borderId="0" applyAlignment="1" pivotButton="0" quotePrefix="0" xfId="138">
      <alignment horizontal="right" vertical="center" shrinkToFit="1"/>
    </xf>
    <xf numFmtId="166" fontId="12" fillId="0" borderId="0" applyAlignment="1" pivotButton="0" quotePrefix="0" xfId="563">
      <alignment vertical="center" shrinkToFit="1"/>
    </xf>
    <xf numFmtId="167" fontId="71" fillId="0" borderId="0" applyAlignment="1" pivotButton="0" quotePrefix="0" xfId="138">
      <alignment vertical="center" shrinkToFit="1"/>
    </xf>
    <xf numFmtId="167" fontId="73" fillId="0" borderId="0" applyAlignment="1" pivotButton="0" quotePrefix="0" xfId="138">
      <alignment vertical="center" shrinkToFit="1"/>
    </xf>
    <xf numFmtId="170" fontId="71" fillId="0" borderId="0" applyAlignment="1" pivotButton="0" quotePrefix="0" xfId="1">
      <alignment vertical="center" shrinkToFit="1"/>
    </xf>
    <xf numFmtId="170" fontId="72" fillId="0" borderId="0" applyAlignment="1" pivotButton="0" quotePrefix="0" xfId="4">
      <alignment vertical="center"/>
    </xf>
    <xf numFmtId="170" fontId="72" fillId="0" borderId="0" applyAlignment="1" pivotButton="0" quotePrefix="0" xfId="4">
      <alignment horizontal="left" vertical="center"/>
    </xf>
    <xf numFmtId="166" fontId="17" fillId="0" borderId="0" applyAlignment="1" pivotButton="0" quotePrefix="0" xfId="563">
      <alignment horizontal="center" vertical="center"/>
    </xf>
    <xf numFmtId="166" fontId="80" fillId="0" borderId="0" applyAlignment="1" pivotButton="0" quotePrefix="0" xfId="1">
      <alignment horizontal="center" vertical="center"/>
    </xf>
    <xf numFmtId="165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left" vertical="center"/>
    </xf>
    <xf numFmtId="168" fontId="81" fillId="2" borderId="27" applyAlignment="1" pivotButton="0" quotePrefix="0" xfId="4">
      <alignment horizontal="center" vertical="center"/>
    </xf>
    <xf numFmtId="167" fontId="81" fillId="2" borderId="27" applyAlignment="1" pivotButton="0" quotePrefix="0" xfId="4">
      <alignment vertical="center"/>
    </xf>
    <xf numFmtId="168" fontId="81" fillId="2" borderId="27" applyAlignment="1" pivotButton="0" quotePrefix="0" xfId="4">
      <alignment horizontal="center" vertical="center" shrinkToFit="1"/>
    </xf>
    <xf numFmtId="168" fontId="76" fillId="2" borderId="27" applyAlignment="1" pivotButton="0" quotePrefix="0" xfId="138">
      <alignment horizontal="center" vertical="center"/>
    </xf>
    <xf numFmtId="182" fontId="76" fillId="2" borderId="27" applyAlignment="1" pivotButton="0" quotePrefix="0" xfId="138">
      <alignment horizontal="center" vertical="center"/>
    </xf>
    <xf numFmtId="168" fontId="76" fillId="2" borderId="43" applyAlignment="1" pivotButton="0" quotePrefix="0" xfId="4">
      <alignment horizontal="center" vertical="center"/>
    </xf>
    <xf numFmtId="168" fontId="76" fillId="2" borderId="44" applyAlignment="1" pivotButton="0" quotePrefix="0" xfId="4">
      <alignment horizontal="center" vertical="center"/>
    </xf>
    <xf numFmtId="165" fontId="24" fillId="12" borderId="27" applyAlignment="1" pivotButton="0" quotePrefix="0" xfId="564">
      <alignment horizontal="center" vertical="center"/>
    </xf>
    <xf numFmtId="168" fontId="76" fillId="2" borderId="27" applyAlignment="1" pivotButton="0" quotePrefix="0" xfId="4">
      <alignment horizontal="center" vertical="center"/>
    </xf>
    <xf numFmtId="167" fontId="76" fillId="2" borderId="27" applyAlignment="1" pivotButton="0" quotePrefix="0" xfId="4">
      <alignment horizontal="center" vertical="center"/>
    </xf>
    <xf numFmtId="168" fontId="82" fillId="4" borderId="27" applyAlignment="1" pivotButton="0" quotePrefix="0" xfId="4">
      <alignment horizontal="center" vertical="center"/>
    </xf>
    <xf numFmtId="168" fontId="86" fillId="4" borderId="27" applyAlignment="1" pivotButton="0" quotePrefix="0" xfId="4">
      <alignment horizontal="center" vertical="center" shrinkToFit="1"/>
    </xf>
    <xf numFmtId="166" fontId="76" fillId="2" borderId="27" applyAlignment="1" pivotButton="0" quotePrefix="0" xfId="4">
      <alignment horizontal="center" vertical="center"/>
    </xf>
    <xf numFmtId="166" fontId="76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1">
      <alignment horizontal="center" vertical="center"/>
    </xf>
    <xf numFmtId="167" fontId="73" fillId="0" borderId="0" applyAlignment="1" pivotButton="0" quotePrefix="0" xfId="138">
      <alignment vertical="center"/>
    </xf>
    <xf numFmtId="165" fontId="12" fillId="15" borderId="27" applyAlignment="1" pivotButton="0" quotePrefix="0" xfId="0">
      <alignment horizontal="center" vertical="center"/>
    </xf>
    <xf numFmtId="166" fontId="17" fillId="15" borderId="27" applyAlignment="1" pivotButton="0" quotePrefix="0" xfId="563">
      <alignment horizontal="center" vertical="center"/>
    </xf>
    <xf numFmtId="174" fontId="17" fillId="15" borderId="27" applyAlignment="1" pivotButton="0" quotePrefix="0" xfId="564">
      <alignment horizontal="right" vertical="center" shrinkToFit="1"/>
    </xf>
    <xf numFmtId="166" fontId="17" fillId="15" borderId="27" applyAlignment="1" pivotButton="0" quotePrefix="0" xfId="564">
      <alignment vertical="center" shrinkToFit="1"/>
    </xf>
    <xf numFmtId="166" fontId="12" fillId="15" borderId="27" applyAlignment="1" pivotButton="0" quotePrefix="0" xfId="564">
      <alignment vertical="center" shrinkToFit="1"/>
    </xf>
    <xf numFmtId="167" fontId="12" fillId="15" borderId="27" applyAlignment="1" pivotButton="0" quotePrefix="1" xfId="138">
      <alignment vertical="center" shrinkToFit="1"/>
    </xf>
    <xf numFmtId="167" fontId="12" fillId="15" borderId="27" applyAlignment="1" pivotButton="0" quotePrefix="1" xfId="138">
      <alignment horizontal="center" vertical="center" shrinkToFit="1"/>
    </xf>
    <xf numFmtId="166" fontId="72" fillId="0" borderId="0" applyAlignment="1" pivotButton="0" quotePrefix="0" xfId="1">
      <alignment vertical="center"/>
    </xf>
    <xf numFmtId="165" fontId="12" fillId="0" borderId="27" applyAlignment="1" pivotButton="0" quotePrefix="0" xfId="0">
      <alignment horizontal="center" vertical="center"/>
    </xf>
    <xf numFmtId="166" fontId="17" fillId="0" borderId="27" applyAlignment="1" pivotButton="0" quotePrefix="0" xfId="563">
      <alignment horizontal="center" vertical="center"/>
    </xf>
    <xf numFmtId="174" fontId="17" fillId="0" borderId="27" applyAlignment="1" pivotButton="0" quotePrefix="0" xfId="564">
      <alignment horizontal="right" vertical="center" shrinkToFit="1"/>
    </xf>
    <xf numFmtId="166" fontId="17" fillId="0" borderId="27" applyAlignment="1" pivotButton="0" quotePrefix="0" xfId="564">
      <alignment vertical="center" shrinkToFit="1"/>
    </xf>
    <xf numFmtId="166" fontId="12" fillId="0" borderId="27" applyAlignment="1" pivotButton="0" quotePrefix="0" xfId="564">
      <alignment vertical="center" shrinkToFit="1"/>
    </xf>
    <xf numFmtId="167" fontId="12" fillId="0" borderId="27" applyAlignment="1" pivotButton="0" quotePrefix="1" xfId="138">
      <alignment vertical="center" shrinkToFit="1"/>
    </xf>
    <xf numFmtId="167" fontId="12" fillId="0" borderId="27" applyAlignment="1" pivotButton="0" quotePrefix="1" xfId="138">
      <alignment horizontal="center" vertical="center" shrinkToFit="1"/>
    </xf>
    <xf numFmtId="167" fontId="12" fillId="17" borderId="27" applyAlignment="1" pivotButton="0" quotePrefix="1" xfId="138">
      <alignment horizontal="center" vertical="center" shrinkToFit="1"/>
    </xf>
    <xf numFmtId="166" fontId="65" fillId="0" borderId="0" applyAlignment="1" pivotButton="0" quotePrefix="0" xfId="177">
      <alignment vertical="center"/>
    </xf>
    <xf numFmtId="166" fontId="66" fillId="0" borderId="0" applyAlignment="1" pivotButton="0" quotePrefix="0" xfId="177">
      <alignment horizontal="center" vertical="center"/>
    </xf>
    <xf numFmtId="0" fontId="67" fillId="2" borderId="59" applyAlignment="1" pivotButton="0" quotePrefix="0" xfId="176">
      <alignment horizontal="center" vertical="center"/>
    </xf>
    <xf numFmtId="0" fontId="0" fillId="0" borderId="4" pivotButton="0" quotePrefix="0" xfId="0"/>
    <xf numFmtId="0" fontId="0" fillId="0" borderId="58" pivotButton="0" quotePrefix="0" xfId="0"/>
    <xf numFmtId="0" fontId="0" fillId="0" borderId="60" pivotButton="0" quotePrefix="0" xfId="0"/>
    <xf numFmtId="166" fontId="67" fillId="2" borderId="1" applyAlignment="1" pivotButton="0" quotePrefix="0" xfId="4">
      <alignment horizontal="center" vertical="center" wrapText="1"/>
    </xf>
    <xf numFmtId="179" fontId="65" fillId="0" borderId="15" applyAlignment="1" pivotButton="0" quotePrefix="0" xfId="176">
      <alignment vertical="center"/>
    </xf>
    <xf numFmtId="179" fontId="69" fillId="0" borderId="15" applyAlignment="1" pivotButton="0" quotePrefix="0" xfId="0">
      <alignment horizontal="center" vertical="center"/>
    </xf>
    <xf numFmtId="179" fontId="69" fillId="6" borderId="15" applyAlignment="1" pivotButton="0" quotePrefix="0" xfId="0">
      <alignment horizontal="center" vertical="center"/>
    </xf>
    <xf numFmtId="166" fontId="47" fillId="6" borderId="16" applyAlignment="1" pivotButton="0" quotePrefix="0" xfId="0">
      <alignment horizontal="center" vertical="center"/>
    </xf>
    <xf numFmtId="170" fontId="47" fillId="0" borderId="15" applyAlignment="1" pivotButton="0" quotePrefix="0" xfId="4">
      <alignment horizontal="center" vertical="center"/>
    </xf>
    <xf numFmtId="179" fontId="84" fillId="0" borderId="15" applyAlignment="1" pivotButton="0" quotePrefix="0" xfId="0">
      <alignment horizontal="center" vertical="center"/>
    </xf>
    <xf numFmtId="166" fontId="47" fillId="0" borderId="16" applyAlignment="1" pivotButton="0" quotePrefix="0" xfId="0">
      <alignment horizontal="center" vertical="center"/>
    </xf>
    <xf numFmtId="166" fontId="65" fillId="12" borderId="0" applyAlignment="1" pivotButton="0" quotePrefix="0" xfId="176">
      <alignment vertical="center"/>
    </xf>
    <xf numFmtId="166" fontId="65" fillId="0" borderId="0" applyAlignment="1" pivotButton="0" quotePrefix="0" xfId="4">
      <alignment vertical="center"/>
    </xf>
    <xf numFmtId="179" fontId="12" fillId="0" borderId="1" applyAlignment="1" pivotButton="0" quotePrefix="0" xfId="176">
      <alignment horizontal="center" vertical="center"/>
    </xf>
    <xf numFmtId="179" fontId="57" fillId="0" borderId="1" applyAlignment="1" pivotButton="0" quotePrefix="0" xfId="176">
      <alignment vertical="center"/>
    </xf>
  </cellXfs>
  <cellStyles count="565">
    <cellStyle name="표준" xfId="0" builtinId="0"/>
    <cellStyle name="쉼표 [0]" xfId="1" builtinId="6"/>
    <cellStyle name="표준_2010 대만전도금_100208" xfId="2"/>
    <cellStyle name="표준 2" xfId="3"/>
    <cellStyle name="쉼표 [0] 2" xfId="4"/>
    <cellStyle name="쉼표 [0] 2 2" xfId="5"/>
    <cellStyle name="쉼표 [0] 2 2 2" xfId="6"/>
    <cellStyle name="쉼표 [0] 2 2 2 2" xfId="7"/>
    <cellStyle name="쉼표 [0] 2 2 2 2 2" xfId="8"/>
    <cellStyle name="쉼표 [0] 2 2 2 2 2 2" xfId="9"/>
    <cellStyle name="쉼표 [0] 2 2 2 2 3" xfId="10"/>
    <cellStyle name="쉼표 [0] 2 2 2 3" xfId="11"/>
    <cellStyle name="쉼표 [0] 2 2 2 3 2" xfId="12"/>
    <cellStyle name="쉼표 [0] 2 2 2 4" xfId="13"/>
    <cellStyle name="쉼표 [0] 2 2 3" xfId="14"/>
    <cellStyle name="쉼표 [0] 2 2 3 2" xfId="15"/>
    <cellStyle name="쉼표 [0] 2 2 3 2 2" xfId="16"/>
    <cellStyle name="쉼표 [0] 2 2 3 3" xfId="17"/>
    <cellStyle name="쉼표 [0] 2 2 4" xfId="18"/>
    <cellStyle name="쉼표 [0] 2 2 4 2" xfId="19"/>
    <cellStyle name="쉼표 [0] 2 2 5" xfId="20"/>
    <cellStyle name="쉼표 [0] 2 3" xfId="21"/>
    <cellStyle name="쉼표 [0] 2 3 2" xfId="22"/>
    <cellStyle name="쉼표 [0] 2 3 2 2" xfId="23"/>
    <cellStyle name="쉼표 [0] 2 3 2 2 2" xfId="24"/>
    <cellStyle name="쉼표 [0] 2 3 2 3" xfId="25"/>
    <cellStyle name="쉼표 [0] 2 3 3" xfId="26"/>
    <cellStyle name="쉼표 [0] 2 3 3 2" xfId="27"/>
    <cellStyle name="쉼표 [0] 2 3 4" xfId="28"/>
    <cellStyle name="쉼표 [0] 2 4" xfId="29"/>
    <cellStyle name="쉼표 [0] 2 4 2" xfId="30"/>
    <cellStyle name="쉼표 [0] 2 4 2 2" xfId="31"/>
    <cellStyle name="쉼표 [0] 2 4 3" xfId="32"/>
    <cellStyle name="쉼표 [0] 2 5" xfId="33"/>
    <cellStyle name="쉼표 [0] 2 5 2" xfId="34"/>
    <cellStyle name="쉼표 [0] 2 6" xfId="35"/>
    <cellStyle name="표준 2 2" xfId="36"/>
    <cellStyle name="표준 2 2 2" xfId="37"/>
    <cellStyle name="표준 2 2 2 2" xfId="38"/>
    <cellStyle name="표준 2 2 2 2 2" xfId="39"/>
    <cellStyle name="표준 2 2 2 2 2 2" xfId="40"/>
    <cellStyle name="표준 2 2 2 2 3" xfId="41"/>
    <cellStyle name="표준 2 2 2 3" xfId="42"/>
    <cellStyle name="표준 2 2 2 3 2" xfId="43"/>
    <cellStyle name="표준 2 2 2 4" xfId="44"/>
    <cellStyle name="표준 2 2 3" xfId="45"/>
    <cellStyle name="표준 2 2 3 2" xfId="46"/>
    <cellStyle name="표준 2 2 3 2 2" xfId="47"/>
    <cellStyle name="표준 2 2 3 3" xfId="48"/>
    <cellStyle name="표준 2 2 4" xfId="49"/>
    <cellStyle name="표준 2 2 4 2" xfId="50"/>
    <cellStyle name="표준 2 2 5" xfId="51"/>
    <cellStyle name="표준 2 3" xfId="52"/>
    <cellStyle name="표준 2 3 2" xfId="53"/>
    <cellStyle name="표준 2 3 2 2" xfId="54"/>
    <cellStyle name="표준 2 3 2 2 2" xfId="55"/>
    <cellStyle name="표준 2 3 2 3" xfId="56"/>
    <cellStyle name="표준 2 3 3" xfId="57"/>
    <cellStyle name="표준 2 3 3 2" xfId="58"/>
    <cellStyle name="표준 2 3 4" xfId="59"/>
    <cellStyle name="표준 2 4" xfId="60"/>
    <cellStyle name="표준 2 4 2" xfId="61"/>
    <cellStyle name="표준 2 4 2 2" xfId="62"/>
    <cellStyle name="표준 2 4 3" xfId="63"/>
    <cellStyle name="표준 2 5" xfId="64"/>
    <cellStyle name="표준 2 5 2" xfId="65"/>
    <cellStyle name="표준 2 6" xfId="66"/>
    <cellStyle name="표준 3" xfId="67"/>
    <cellStyle name="표준 3 2" xfId="68"/>
    <cellStyle name="표준 3 2 2" xfId="69"/>
    <cellStyle name="표준 3 2 2 2" xfId="70"/>
    <cellStyle name="표준 3 2 2 2 2" xfId="71"/>
    <cellStyle name="표준 3 2 2 2 2 2" xfId="72"/>
    <cellStyle name="표준 3 2 2 2 3" xfId="73"/>
    <cellStyle name="표준 3 2 2 3" xfId="74"/>
    <cellStyle name="표준 3 2 2 3 2" xfId="75"/>
    <cellStyle name="표준 3 2 2 4" xfId="76"/>
    <cellStyle name="표준 3 2 3" xfId="77"/>
    <cellStyle name="표준 3 2 3 2" xfId="78"/>
    <cellStyle name="표준 3 2 3 2 2" xfId="79"/>
    <cellStyle name="표준 3 2 3 3" xfId="80"/>
    <cellStyle name="표준 3 2 4" xfId="81"/>
    <cellStyle name="표준 3 2 4 2" xfId="82"/>
    <cellStyle name="표준 3 2 5" xfId="83"/>
    <cellStyle name="표준 3 3" xfId="84"/>
    <cellStyle name="표준 3 3 2" xfId="85"/>
    <cellStyle name="표준 3 3 2 2" xfId="86"/>
    <cellStyle name="표준 3 3 2 2 2" xfId="87"/>
    <cellStyle name="표준 3 3 2 3" xfId="88"/>
    <cellStyle name="표준 3 3 3" xfId="89"/>
    <cellStyle name="표준 3 3 3 2" xfId="90"/>
    <cellStyle name="표준 3 3 4" xfId="91"/>
    <cellStyle name="표준 3 4" xfId="92"/>
    <cellStyle name="표준 3 4 2" xfId="93"/>
    <cellStyle name="표준 3 4 2 2" xfId="94"/>
    <cellStyle name="표준 3 4 3" xfId="95"/>
    <cellStyle name="표준 3 5" xfId="96"/>
    <cellStyle name="표준 3 5 2" xfId="97"/>
    <cellStyle name="표준 3 6" xfId="98"/>
    <cellStyle name="표준 4" xfId="99"/>
    <cellStyle name="표준 4 2" xfId="100"/>
    <cellStyle name="표준 4 2 2" xfId="101"/>
    <cellStyle name="표준 4 2 2 2" xfId="102"/>
    <cellStyle name="표준 4 2 2 2 2" xfId="103"/>
    <cellStyle name="표준 4 2 2 3" xfId="104"/>
    <cellStyle name="표준 4 2 3" xfId="105"/>
    <cellStyle name="표준 4 2 3 2" xfId="106"/>
    <cellStyle name="표준 4 2 4" xfId="107"/>
    <cellStyle name="표준 4 3" xfId="108"/>
    <cellStyle name="표준 4 3 2" xfId="109"/>
    <cellStyle name="표준 4 3 2 2" xfId="110"/>
    <cellStyle name="표준 4 3 3" xfId="111"/>
    <cellStyle name="표준 4 4" xfId="112"/>
    <cellStyle name="표준 4 4 2" xfId="113"/>
    <cellStyle name="표준 4 5" xfId="114"/>
    <cellStyle name="표준 5" xfId="115"/>
    <cellStyle name="표준 5 2" xfId="116"/>
    <cellStyle name="표준 5 2 2" xfId="117"/>
    <cellStyle name="표준 5 2 2 2" xfId="118"/>
    <cellStyle name="표준 5 2 2 2 2" xfId="119"/>
    <cellStyle name="표준 5 2 2 3" xfId="120"/>
    <cellStyle name="표준 5 2 3" xfId="121"/>
    <cellStyle name="표준 5 2 3 2" xfId="122"/>
    <cellStyle name="표준 5 2 4" xfId="123"/>
    <cellStyle name="표준 5 3" xfId="124"/>
    <cellStyle name="표준 5 3 2" xfId="125"/>
    <cellStyle name="표준 5 3 2 2" xfId="126"/>
    <cellStyle name="표준 5 3 3" xfId="127"/>
    <cellStyle name="표준 5 4" xfId="128"/>
    <cellStyle name="표준 5 4 2" xfId="129"/>
    <cellStyle name="표준 5 5" xfId="130"/>
    <cellStyle name="표준 6" xfId="131"/>
    <cellStyle name="常规 3" xfId="132"/>
    <cellStyle name="표준 7" xfId="133"/>
    <cellStyle name="쉼표 [0] 3" xfId="134"/>
    <cellStyle name="쉼표 [0] 2 7" xfId="135"/>
    <cellStyle name="표준 8" xfId="136"/>
    <cellStyle name="표준_2010 대만전도금_100208 2" xfId="137"/>
    <cellStyle name="표준 9" xfId="138"/>
    <cellStyle name="표준 7 2" xfId="139"/>
    <cellStyle name="쉼표 [0] 3 2" xfId="140"/>
    <cellStyle name="쉼표 [0] 4" xfId="141"/>
    <cellStyle name="쉼표 [0] 2 4 4" xfId="142"/>
    <cellStyle name="쉼표 [0] 2 2 2 2 4" xfId="143"/>
    <cellStyle name="쉼표 [0] 2 2 2 2 2 3" xfId="144"/>
    <cellStyle name="쉼표 [0] 2 2 2 2 2 2 2" xfId="145"/>
    <cellStyle name="쉼표 [0] 2 2 3 2 3" xfId="146"/>
    <cellStyle name="쉼표 [0] 2 2 2 5" xfId="147"/>
    <cellStyle name="쉼표 [0] 2 2 2 4 2" xfId="148"/>
    <cellStyle name="쉼표 [0] 2 2 6" xfId="149"/>
    <cellStyle name="쉼표 [0] 2 2 3 2 2 2" xfId="150"/>
    <cellStyle name="쉼표 [0] 2 2 3 3 2" xfId="151"/>
    <cellStyle name="쉼표 [0] 2 8" xfId="152"/>
    <cellStyle name="쉼표 [0] 2 2 2 2 3 2" xfId="153"/>
    <cellStyle name="쉼표 [0] 2 2 2 3 3" xfId="154"/>
    <cellStyle name="쉼표 [0] 2 2 2 3 2 2" xfId="155"/>
    <cellStyle name="쉼표 [0] 2 2 3 4" xfId="156"/>
    <cellStyle name="쉼표 [0] 2 2 4 3" xfId="157"/>
    <cellStyle name="쉼표 [0] 2 2 4 2 2" xfId="158"/>
    <cellStyle name="쉼표 [0] 2 2 5 2" xfId="159"/>
    <cellStyle name="쉼표 [0] 2 3 5" xfId="160"/>
    <cellStyle name="쉼표 [0] 2 3 2 4" xfId="161"/>
    <cellStyle name="쉼표 [0] 2 3 2 2 3" xfId="162"/>
    <cellStyle name="쉼표 [0] 2 3 2 2 2 2" xfId="163"/>
    <cellStyle name="쉼표 [0] 2 3 2 3 2" xfId="164"/>
    <cellStyle name="쉼표 [0] 2 3 3 3" xfId="165"/>
    <cellStyle name="쉼표 [0] 2 3 3 2 2" xfId="166"/>
    <cellStyle name="쉼표 [0] 2 3 4 2" xfId="167"/>
    <cellStyle name="쉼표 [0] 2 4 2 3" xfId="168"/>
    <cellStyle name="쉼표 [0] 2 4 2 2 2" xfId="169"/>
    <cellStyle name="쉼표 [0] 2 4 3 2" xfId="170"/>
    <cellStyle name="쉼표 [0] 2 5 3" xfId="171"/>
    <cellStyle name="쉼표 [0] 2 5 2 2" xfId="172"/>
    <cellStyle name="쉼표 [0] 2 6 2" xfId="173"/>
    <cellStyle name="쉼표 2" xfId="174"/>
    <cellStyle name="쉼표 3" xfId="175"/>
    <cellStyle name="常规 2" xfId="176"/>
    <cellStyle name="千位分隔[0] 2" xfId="177"/>
    <cellStyle name="표준 8 2" xfId="178"/>
    <cellStyle name="쉼표 2 2" xfId="179"/>
    <cellStyle name="쉼표 3 2" xfId="180"/>
    <cellStyle name="쉼표 2 3" xfId="181"/>
    <cellStyle name="쉼표 3 3" xfId="182"/>
    <cellStyle name="쉼표 2 2 2" xfId="183"/>
    <cellStyle name="쉼표 3 2 2" xfId="184"/>
    <cellStyle name="常规 4" xfId="185"/>
    <cellStyle name="千位分隔 2" xfId="186"/>
    <cellStyle name="千位分隔[0] 3" xfId="187"/>
    <cellStyle name="常规 5" xfId="188"/>
    <cellStyle name="常规 6" xfId="189"/>
    <cellStyle name="쉼표 2 4" xfId="190"/>
    <cellStyle name="쉼표 3 4" xfId="191"/>
    <cellStyle name="쉼표 2 2 3" xfId="192"/>
    <cellStyle name="쉼표 3 2 3" xfId="193"/>
    <cellStyle name="쉼표 2 3 2" xfId="194"/>
    <cellStyle name="쉼표 3 3 2" xfId="195"/>
    <cellStyle name="쉼표 2 2 2 2" xfId="196"/>
    <cellStyle name="쉼표 3 2 2 2" xfId="197"/>
    <cellStyle name="千位分隔 2 2" xfId="198"/>
    <cellStyle name="千位分隔[0] 3 2" xfId="199"/>
    <cellStyle name="常规 5 2" xfId="200"/>
    <cellStyle name="常规 6 2" xfId="201"/>
    <cellStyle name="쉼표 2 5" xfId="202"/>
    <cellStyle name="쉼표 3 5" xfId="203"/>
    <cellStyle name="쉼표 2 2 4" xfId="204"/>
    <cellStyle name="쉼표 3 2 4" xfId="205"/>
    <cellStyle name="쉼표 2 3 3" xfId="206"/>
    <cellStyle name="쉼표 3 3 3" xfId="207"/>
    <cellStyle name="쉼표 2 2 2 3" xfId="208"/>
    <cellStyle name="쉼표 3 2 2 3" xfId="209"/>
    <cellStyle name="千位分隔 2 3" xfId="210"/>
    <cellStyle name="千位分隔[0] 3 3" xfId="211"/>
    <cellStyle name="常规 5 3" xfId="212"/>
    <cellStyle name="常规 6 3" xfId="213"/>
    <cellStyle name="쉼표 2 4 2" xfId="214"/>
    <cellStyle name="쉼표 3 4 2" xfId="215"/>
    <cellStyle name="쉼표 2 2 3 2" xfId="216"/>
    <cellStyle name="쉼표 3 2 3 2" xfId="217"/>
    <cellStyle name="쉼표 2 3 2 2" xfId="218"/>
    <cellStyle name="쉼표 3 3 2 2" xfId="219"/>
    <cellStyle name="쉼표 2 2 2 2 2" xfId="220"/>
    <cellStyle name="쉼표 3 2 2 2 2" xfId="221"/>
    <cellStyle name="千位分隔 2 2 2" xfId="222"/>
    <cellStyle name="千位分隔[0] 3 2 2" xfId="223"/>
    <cellStyle name="常规 5 2 2" xfId="224"/>
    <cellStyle name="常规 6 2 2" xfId="225"/>
    <cellStyle name="쉼표 2 6" xfId="226"/>
    <cellStyle name="쉼표 3 6" xfId="227"/>
    <cellStyle name="쉼표 2 2 5" xfId="228"/>
    <cellStyle name="쉼표 3 2 5" xfId="229"/>
    <cellStyle name="쉼표 2 3 4" xfId="230"/>
    <cellStyle name="쉼표 3 3 4" xfId="231"/>
    <cellStyle name="쉼표 2 2 2 4" xfId="232"/>
    <cellStyle name="쉼표 3 2 2 4" xfId="233"/>
    <cellStyle name="千位分隔 2 4" xfId="234"/>
    <cellStyle name="千位分隔[0] 3 4" xfId="235"/>
    <cellStyle name="常规 5 4" xfId="236"/>
    <cellStyle name="常规 6 4" xfId="237"/>
    <cellStyle name="쉼표 2 4 3" xfId="238"/>
    <cellStyle name="쉼표 3 4 3" xfId="239"/>
    <cellStyle name="쉼표 2 2 3 3" xfId="240"/>
    <cellStyle name="쉼표 3 2 3 3" xfId="241"/>
    <cellStyle name="쉼표 2 3 2 3" xfId="242"/>
    <cellStyle name="쉼표 3 3 2 3" xfId="243"/>
    <cellStyle name="쉼표 2 2 2 2 3" xfId="244"/>
    <cellStyle name="쉼표 3 2 2 2 3" xfId="245"/>
    <cellStyle name="千位分隔 2 2 3" xfId="246"/>
    <cellStyle name="千位分隔[0] 3 2 3" xfId="247"/>
    <cellStyle name="常规 5 2 3" xfId="248"/>
    <cellStyle name="常规 6 2 3" xfId="249"/>
    <cellStyle name="쉼표 2 5 2" xfId="250"/>
    <cellStyle name="쉼표 3 5 2" xfId="251"/>
    <cellStyle name="쉼표 2 2 4 2" xfId="252"/>
    <cellStyle name="쉼표 3 2 4 2" xfId="253"/>
    <cellStyle name="쉼표 2 3 3 2" xfId="254"/>
    <cellStyle name="쉼표 3 3 3 2" xfId="255"/>
    <cellStyle name="쉼표 2 2 2 3 2" xfId="256"/>
    <cellStyle name="쉼표 3 2 2 3 2" xfId="257"/>
    <cellStyle name="千位分隔 2 3 2" xfId="258"/>
    <cellStyle name="千位分隔[0] 3 3 2" xfId="259"/>
    <cellStyle name="常规 5 3 2" xfId="260"/>
    <cellStyle name="常规 6 3 2" xfId="261"/>
    <cellStyle name="쉼표 2 4 2 2" xfId="262"/>
    <cellStyle name="쉼표 3 4 2 2" xfId="263"/>
    <cellStyle name="쉼표 2 2 3 2 2" xfId="264"/>
    <cellStyle name="쉼표 3 2 3 2 2" xfId="265"/>
    <cellStyle name="쉼표 2 3 2 2 2" xfId="266"/>
    <cellStyle name="쉼표 3 3 2 2 2" xfId="267"/>
    <cellStyle name="쉼표 2 2 2 2 2 2" xfId="268"/>
    <cellStyle name="쉼표 3 2 2 2 2 2" xfId="269"/>
    <cellStyle name="千位分隔 2 2 2 2" xfId="270"/>
    <cellStyle name="千位分隔[0] 3 2 2 2" xfId="271"/>
    <cellStyle name="常规 5 2 2 2" xfId="272"/>
    <cellStyle name="常规 6 2 2 2" xfId="273"/>
    <cellStyle name="쉼표 2 7" xfId="274"/>
    <cellStyle name="쉼표 3 7" xfId="275"/>
    <cellStyle name="쉼표 2 2 6" xfId="276"/>
    <cellStyle name="쉼표 3 2 6" xfId="277"/>
    <cellStyle name="쉼표 2 3 5" xfId="278"/>
    <cellStyle name="쉼표 3 3 5" xfId="279"/>
    <cellStyle name="쉼표 2 2 2 5" xfId="280"/>
    <cellStyle name="쉼표 3 2 2 5" xfId="281"/>
    <cellStyle name="千位分隔 2 5" xfId="282"/>
    <cellStyle name="千位分隔[0] 3 5" xfId="283"/>
    <cellStyle name="常规 5 5" xfId="284"/>
    <cellStyle name="常规 6 5" xfId="285"/>
    <cellStyle name="쉼표 2 4 4" xfId="286"/>
    <cellStyle name="쉼표 3 4 4" xfId="287"/>
    <cellStyle name="쉼표 2 2 3 4" xfId="288"/>
    <cellStyle name="쉼표 3 2 3 4" xfId="289"/>
    <cellStyle name="쉼표 2 3 2 4" xfId="290"/>
    <cellStyle name="쉼표 3 3 2 4" xfId="291"/>
    <cellStyle name="쉼표 2 2 2 2 4" xfId="292"/>
    <cellStyle name="쉼표 3 2 2 2 4" xfId="293"/>
    <cellStyle name="千位分隔 2 2 4" xfId="294"/>
    <cellStyle name="千位分隔[0] 3 2 4" xfId="295"/>
    <cellStyle name="常规 5 2 4" xfId="296"/>
    <cellStyle name="常规 6 2 4" xfId="297"/>
    <cellStyle name="쉼표 2 5 3" xfId="298"/>
    <cellStyle name="쉼표 3 5 3" xfId="299"/>
    <cellStyle name="쉼표 2 2 4 3" xfId="300"/>
    <cellStyle name="쉼표 3 2 4 3" xfId="301"/>
    <cellStyle name="쉼표 2 3 3 3" xfId="302"/>
    <cellStyle name="쉼표 3 3 3 3" xfId="303"/>
    <cellStyle name="쉼표 2 2 2 3 3" xfId="304"/>
    <cellStyle name="쉼표 3 2 2 3 3" xfId="305"/>
    <cellStyle name="千位分隔 2 3 3" xfId="306"/>
    <cellStyle name="千位分隔[0] 3 3 3" xfId="307"/>
    <cellStyle name="常规 5 3 3" xfId="308"/>
    <cellStyle name="常规 6 3 3" xfId="309"/>
    <cellStyle name="쉼표 2 4 2 3" xfId="310"/>
    <cellStyle name="쉼표 3 4 2 3" xfId="311"/>
    <cellStyle name="쉼표 2 2 3 2 3" xfId="312"/>
    <cellStyle name="쉼표 3 2 3 2 3" xfId="313"/>
    <cellStyle name="쉼표 2 3 2 2 3" xfId="314"/>
    <cellStyle name="쉼표 3 3 2 2 3" xfId="315"/>
    <cellStyle name="쉼표 2 2 2 2 2 3" xfId="316"/>
    <cellStyle name="쉼표 3 2 2 2 2 3" xfId="317"/>
    <cellStyle name="千位分隔 2 2 2 3" xfId="318"/>
    <cellStyle name="千位分隔[0] 3 2 2 3" xfId="319"/>
    <cellStyle name="常规 5 2 2 3" xfId="320"/>
    <cellStyle name="常规 6 2 2 3" xfId="321"/>
    <cellStyle name="쉼표 2 6 2" xfId="322"/>
    <cellStyle name="쉼표 3 6 2" xfId="323"/>
    <cellStyle name="쉼표 2 2 5 2" xfId="324"/>
    <cellStyle name="쉼표 3 2 5 2" xfId="325"/>
    <cellStyle name="쉼표 2 3 4 2" xfId="326"/>
    <cellStyle name="쉼표 3 3 4 2" xfId="327"/>
    <cellStyle name="쉼표 2 2 2 4 2" xfId="328"/>
    <cellStyle name="쉼표 3 2 2 4 2" xfId="329"/>
    <cellStyle name="千位分隔 2 4 2" xfId="330"/>
    <cellStyle name="千位分隔[0] 3 4 2" xfId="331"/>
    <cellStyle name="常规 5 4 2" xfId="332"/>
    <cellStyle name="常规 6 4 2" xfId="333"/>
    <cellStyle name="쉼표 2 4 3 2" xfId="334"/>
    <cellStyle name="쉼표 3 4 3 2" xfId="335"/>
    <cellStyle name="쉼표 2 2 3 3 2" xfId="336"/>
    <cellStyle name="쉼표 3 2 3 3 2" xfId="337"/>
    <cellStyle name="쉼표 2 3 2 3 2" xfId="338"/>
    <cellStyle name="쉼표 3 3 2 3 2" xfId="339"/>
    <cellStyle name="쉼표 2 2 2 2 3 2" xfId="340"/>
    <cellStyle name="쉼표 3 2 2 2 3 2" xfId="341"/>
    <cellStyle name="千位分隔 2 2 3 2" xfId="342"/>
    <cellStyle name="千位分隔[0] 3 2 3 2" xfId="343"/>
    <cellStyle name="常规 5 2 3 2" xfId="344"/>
    <cellStyle name="常规 6 2 3 2" xfId="345"/>
    <cellStyle name="쉼표 2 5 2 2" xfId="346"/>
    <cellStyle name="쉼표 3 5 2 2" xfId="347"/>
    <cellStyle name="쉼표 2 2 4 2 2" xfId="348"/>
    <cellStyle name="쉼표 3 2 4 2 2" xfId="349"/>
    <cellStyle name="쉼표 2 3 3 2 2" xfId="350"/>
    <cellStyle name="쉼표 3 3 3 2 2" xfId="351"/>
    <cellStyle name="쉼표 2 2 2 3 2 2" xfId="352"/>
    <cellStyle name="쉼표 3 2 2 3 2 2" xfId="353"/>
    <cellStyle name="千位分隔 2 3 2 2" xfId="354"/>
    <cellStyle name="千位分隔[0] 3 3 2 2" xfId="355"/>
    <cellStyle name="常规 5 3 2 2" xfId="356"/>
    <cellStyle name="常规 6 3 2 2" xfId="357"/>
    <cellStyle name="쉼표 2 4 2 2 2" xfId="358"/>
    <cellStyle name="쉼표 3 4 2 2 2" xfId="359"/>
    <cellStyle name="쉼표 2 2 3 2 2 2" xfId="360"/>
    <cellStyle name="쉼표 3 2 3 2 2 2" xfId="361"/>
    <cellStyle name="쉼표 2 3 2 2 2 2" xfId="362"/>
    <cellStyle name="쉼표 3 3 2 2 2 2" xfId="363"/>
    <cellStyle name="쉼표 2 2 2 2 2 2 2" xfId="364"/>
    <cellStyle name="쉼표 3 2 2 2 2 2 2" xfId="365"/>
    <cellStyle name="千位分隔 2 2 2 2 2" xfId="366"/>
    <cellStyle name="千位分隔[0] 3 2 2 2 2" xfId="367"/>
    <cellStyle name="常规 5 2 2 2 2" xfId="368"/>
    <cellStyle name="常规 6 2 2 2 2" xfId="369"/>
    <cellStyle name="쉼표 2 8" xfId="370"/>
    <cellStyle name="쉼표 3 8" xfId="371"/>
    <cellStyle name="쉼표 2 2 7" xfId="372"/>
    <cellStyle name="쉼표 3 2 7" xfId="373"/>
    <cellStyle name="쉼표 2 3 6" xfId="374"/>
    <cellStyle name="쉼표 3 3 6" xfId="375"/>
    <cellStyle name="쉼표 2 2 2 6" xfId="376"/>
    <cellStyle name="쉼표 3 2 2 6" xfId="377"/>
    <cellStyle name="千位分隔 2 6" xfId="378"/>
    <cellStyle name="千位分隔[0] 3 6" xfId="379"/>
    <cellStyle name="常规 5 6" xfId="380"/>
    <cellStyle name="常规 6 6" xfId="381"/>
    <cellStyle name="쉼표 2 4 5" xfId="382"/>
    <cellStyle name="쉼표 3 4 5" xfId="383"/>
    <cellStyle name="쉼표 2 2 3 5" xfId="384"/>
    <cellStyle name="쉼표 3 2 3 5" xfId="385"/>
    <cellStyle name="쉼표 2 3 2 5" xfId="386"/>
    <cellStyle name="쉼표 3 3 2 5" xfId="387"/>
    <cellStyle name="쉼표 2 2 2 2 5" xfId="388"/>
    <cellStyle name="쉼표 3 2 2 2 5" xfId="389"/>
    <cellStyle name="千位分隔 2 2 5" xfId="390"/>
    <cellStyle name="千位分隔[0] 3 2 5" xfId="391"/>
    <cellStyle name="常规 5 2 5" xfId="392"/>
    <cellStyle name="常规 6 2 5" xfId="393"/>
    <cellStyle name="쉼표 2 5 4" xfId="394"/>
    <cellStyle name="쉼표 3 5 4" xfId="395"/>
    <cellStyle name="쉼표 2 2 4 4" xfId="396"/>
    <cellStyle name="쉼표 3 2 4 4" xfId="397"/>
    <cellStyle name="쉼표 2 3 3 4" xfId="398"/>
    <cellStyle name="쉼표 3 3 3 4" xfId="399"/>
    <cellStyle name="쉼표 2 2 2 3 4" xfId="400"/>
    <cellStyle name="쉼표 3 2 2 3 4" xfId="401"/>
    <cellStyle name="千位分隔 2 3 4" xfId="402"/>
    <cellStyle name="千位分隔[0] 3 3 4" xfId="403"/>
    <cellStyle name="常规 5 3 4" xfId="404"/>
    <cellStyle name="常规 6 3 4" xfId="405"/>
    <cellStyle name="쉼표 2 4 2 4" xfId="406"/>
    <cellStyle name="쉼표 3 4 2 4" xfId="407"/>
    <cellStyle name="쉼표 2 2 3 2 4" xfId="408"/>
    <cellStyle name="쉼표 3 2 3 2 4" xfId="409"/>
    <cellStyle name="쉼표 2 3 2 2 4" xfId="410"/>
    <cellStyle name="쉼표 3 3 2 2 4" xfId="411"/>
    <cellStyle name="쉼표 2 2 2 2 2 4" xfId="412"/>
    <cellStyle name="쉼표 3 2 2 2 2 4" xfId="413"/>
    <cellStyle name="千位分隔 2 2 2 4" xfId="414"/>
    <cellStyle name="千位分隔[0] 3 2 2 4" xfId="415"/>
    <cellStyle name="常规 5 2 2 4" xfId="416"/>
    <cellStyle name="常规 6 2 2 4" xfId="417"/>
    <cellStyle name="쉼표 2 6 3" xfId="418"/>
    <cellStyle name="쉼표 3 6 3" xfId="419"/>
    <cellStyle name="쉼표 2 2 5 3" xfId="420"/>
    <cellStyle name="쉼표 3 2 5 3" xfId="421"/>
    <cellStyle name="쉼표 2 3 4 3" xfId="422"/>
    <cellStyle name="쉼표 3 3 4 3" xfId="423"/>
    <cellStyle name="쉼표 2 2 2 4 3" xfId="424"/>
    <cellStyle name="쉼표 3 2 2 4 3" xfId="425"/>
    <cellStyle name="千位分隔 2 4 3" xfId="426"/>
    <cellStyle name="千位分隔[0] 3 4 3" xfId="427"/>
    <cellStyle name="常规 5 4 3" xfId="428"/>
    <cellStyle name="常规 6 4 3" xfId="429"/>
    <cellStyle name="쉼표 2 4 3 3" xfId="430"/>
    <cellStyle name="쉼표 3 4 3 3" xfId="431"/>
    <cellStyle name="쉼표 2 2 3 3 3" xfId="432"/>
    <cellStyle name="쉼표 3 2 3 3 3" xfId="433"/>
    <cellStyle name="쉼표 2 3 2 3 3" xfId="434"/>
    <cellStyle name="쉼표 3 3 2 3 3" xfId="435"/>
    <cellStyle name="쉼표 2 2 2 2 3 3" xfId="436"/>
    <cellStyle name="쉼표 3 2 2 2 3 3" xfId="437"/>
    <cellStyle name="千位分隔 2 2 3 3" xfId="438"/>
    <cellStyle name="千位分隔[0] 3 2 3 3" xfId="439"/>
    <cellStyle name="常规 5 2 3 3" xfId="440"/>
    <cellStyle name="常规 6 2 3 3" xfId="441"/>
    <cellStyle name="쉼표 2 5 2 3" xfId="442"/>
    <cellStyle name="쉼표 3 5 2 3" xfId="443"/>
    <cellStyle name="쉼표 2 2 4 2 3" xfId="444"/>
    <cellStyle name="쉼표 3 2 4 2 3" xfId="445"/>
    <cellStyle name="쉼표 2 3 3 2 3" xfId="446"/>
    <cellStyle name="쉼표 3 3 3 2 3" xfId="447"/>
    <cellStyle name="쉼표 2 2 2 3 2 3" xfId="448"/>
    <cellStyle name="쉼표 3 2 2 3 2 3" xfId="449"/>
    <cellStyle name="千位分隔 2 3 2 3" xfId="450"/>
    <cellStyle name="千位分隔[0] 3 3 2 3" xfId="451"/>
    <cellStyle name="常规 5 3 2 3" xfId="452"/>
    <cellStyle name="常规 6 3 2 3" xfId="453"/>
    <cellStyle name="쉼표 2 4 2 2 3" xfId="454"/>
    <cellStyle name="쉼표 3 4 2 2 3" xfId="455"/>
    <cellStyle name="쉼표 2 2 3 2 2 3" xfId="456"/>
    <cellStyle name="쉼표 3 2 3 2 2 3" xfId="457"/>
    <cellStyle name="쉼표 2 3 2 2 2 3" xfId="458"/>
    <cellStyle name="쉼표 3 3 2 2 2 3" xfId="459"/>
    <cellStyle name="쉼표 2 2 2 2 2 2 3" xfId="460"/>
    <cellStyle name="쉼표 3 2 2 2 2 2 3" xfId="461"/>
    <cellStyle name="千位分隔 2 2 2 2 3" xfId="462"/>
    <cellStyle name="千位分隔[0] 3 2 2 2 3" xfId="463"/>
    <cellStyle name="常规 5 2 2 2 3" xfId="464"/>
    <cellStyle name="常规 6 2 2 2 3" xfId="465"/>
    <cellStyle name="쉼표 2 7 2" xfId="466"/>
    <cellStyle name="쉼표 3 7 2" xfId="467"/>
    <cellStyle name="쉼표 2 2 6 2" xfId="468"/>
    <cellStyle name="쉼표 3 2 6 2" xfId="469"/>
    <cellStyle name="쉼표 2 3 5 2" xfId="470"/>
    <cellStyle name="쉼표 3 3 5 2" xfId="471"/>
    <cellStyle name="쉼표 2 2 2 5 2" xfId="472"/>
    <cellStyle name="쉼표 3 2 2 5 2" xfId="473"/>
    <cellStyle name="千位分隔 2 5 2" xfId="474"/>
    <cellStyle name="千位分隔[0] 3 5 2" xfId="475"/>
    <cellStyle name="常规 5 5 2" xfId="476"/>
    <cellStyle name="常规 6 5 2" xfId="477"/>
    <cellStyle name="쉼표 2 4 4 2" xfId="478"/>
    <cellStyle name="쉼표 3 4 4 2" xfId="479"/>
    <cellStyle name="쉼표 2 2 3 4 2" xfId="480"/>
    <cellStyle name="쉼표 3 2 3 4 2" xfId="481"/>
    <cellStyle name="쉼표 2 3 2 4 2" xfId="482"/>
    <cellStyle name="쉼표 3 3 2 4 2" xfId="483"/>
    <cellStyle name="쉼표 2 2 2 2 4 2" xfId="484"/>
    <cellStyle name="쉼표 3 2 2 2 4 2" xfId="485"/>
    <cellStyle name="千位分隔 2 2 4 2" xfId="486"/>
    <cellStyle name="千位分隔[0] 3 2 4 2" xfId="487"/>
    <cellStyle name="常规 5 2 4 2" xfId="488"/>
    <cellStyle name="常规 6 2 4 2" xfId="489"/>
    <cellStyle name="쉼표 2 5 3 2" xfId="490"/>
    <cellStyle name="쉼표 3 5 3 2" xfId="491"/>
    <cellStyle name="쉼표 2 2 4 3 2" xfId="492"/>
    <cellStyle name="쉼표 3 2 4 3 2" xfId="493"/>
    <cellStyle name="쉼표 2 3 3 3 2" xfId="494"/>
    <cellStyle name="쉼표 3 3 3 3 2" xfId="495"/>
    <cellStyle name="쉼표 2 2 2 3 3 2" xfId="496"/>
    <cellStyle name="쉼표 3 2 2 3 3 2" xfId="497"/>
    <cellStyle name="千位分隔 2 3 3 2" xfId="498"/>
    <cellStyle name="千位分隔[0] 3 3 3 2" xfId="499"/>
    <cellStyle name="常规 5 3 3 2" xfId="500"/>
    <cellStyle name="常规 6 3 3 2" xfId="501"/>
    <cellStyle name="쉼표 2 4 2 3 2" xfId="502"/>
    <cellStyle name="쉼표 3 4 2 3 2" xfId="503"/>
    <cellStyle name="쉼표 2 2 3 2 3 2" xfId="504"/>
    <cellStyle name="쉼표 3 2 3 2 3 2" xfId="505"/>
    <cellStyle name="쉼표 2 3 2 2 3 2" xfId="506"/>
    <cellStyle name="쉼표 3 3 2 2 3 2" xfId="507"/>
    <cellStyle name="쉼표 2 2 2 2 2 3 2" xfId="508"/>
    <cellStyle name="쉼표 3 2 2 2 2 3 2" xfId="509"/>
    <cellStyle name="千位分隔 2 2 2 3 2" xfId="510"/>
    <cellStyle name="千位分隔[0] 3 2 2 3 2" xfId="511"/>
    <cellStyle name="常规 5 2 2 3 2" xfId="512"/>
    <cellStyle name="常规 6 2 2 3 2" xfId="513"/>
    <cellStyle name="쉼표 2 6 2 2" xfId="514"/>
    <cellStyle name="쉼표 3 6 2 2" xfId="515"/>
    <cellStyle name="쉼표 2 2 5 2 2" xfId="516"/>
    <cellStyle name="쉼표 3 2 5 2 2" xfId="517"/>
    <cellStyle name="쉼표 2 3 4 2 2" xfId="518"/>
    <cellStyle name="쉼표 3 3 4 2 2" xfId="519"/>
    <cellStyle name="쉼표 2 2 2 4 2 2" xfId="520"/>
    <cellStyle name="쉼표 3 2 2 4 2 2" xfId="521"/>
    <cellStyle name="千位分隔 2 4 2 2" xfId="522"/>
    <cellStyle name="千位分隔[0] 3 4 2 2" xfId="523"/>
    <cellStyle name="常规 5 4 2 2" xfId="524"/>
    <cellStyle name="常规 6 4 2 2" xfId="525"/>
    <cellStyle name="쉼표 2 4 3 2 2" xfId="526"/>
    <cellStyle name="쉼표 3 4 3 2 2" xfId="527"/>
    <cellStyle name="쉼표 2 2 3 3 2 2" xfId="528"/>
    <cellStyle name="쉼표 3 2 3 3 2 2" xfId="529"/>
    <cellStyle name="쉼표 2 3 2 3 2 2" xfId="530"/>
    <cellStyle name="쉼표 3 3 2 3 2 2" xfId="531"/>
    <cellStyle name="쉼표 2 2 2 2 3 2 2" xfId="532"/>
    <cellStyle name="쉼표 3 2 2 2 3 2 2" xfId="533"/>
    <cellStyle name="千位分隔 2 2 3 2 2" xfId="534"/>
    <cellStyle name="千位分隔[0] 3 2 3 2 2" xfId="535"/>
    <cellStyle name="常规 5 2 3 2 2" xfId="536"/>
    <cellStyle name="常规 6 2 3 2 2" xfId="537"/>
    <cellStyle name="쉼표 2 5 2 2 2" xfId="538"/>
    <cellStyle name="쉼표 3 5 2 2 2" xfId="539"/>
    <cellStyle name="쉼표 2 2 4 2 2 2" xfId="540"/>
    <cellStyle name="쉼표 3 2 4 2 2 2" xfId="541"/>
    <cellStyle name="쉼표 2 3 3 2 2 2" xfId="542"/>
    <cellStyle name="쉼표 3 3 3 2 2 2" xfId="543"/>
    <cellStyle name="쉼표 2 2 2 3 2 2 2" xfId="544"/>
    <cellStyle name="쉼표 3 2 2 3 2 2 2" xfId="545"/>
    <cellStyle name="千位分隔 2 3 2 2 2" xfId="546"/>
    <cellStyle name="千位分隔[0] 3 3 2 2 2" xfId="547"/>
    <cellStyle name="常规 5 3 2 2 2" xfId="548"/>
    <cellStyle name="常规 6 3 2 2 2" xfId="549"/>
    <cellStyle name="쉼표 2 4 2 2 2 2" xfId="550"/>
    <cellStyle name="쉼표 3 4 2 2 2 2" xfId="551"/>
    <cellStyle name="쉼표 2 2 3 2 2 2 2" xfId="552"/>
    <cellStyle name="쉼표 3 2 3 2 2 2 2" xfId="553"/>
    <cellStyle name="쉼표 2 3 2 2 2 2 2" xfId="554"/>
    <cellStyle name="쉼표 3 3 2 2 2 2 2" xfId="555"/>
    <cellStyle name="쉼표 2 2 2 2 2 2 2 2" xfId="556"/>
    <cellStyle name="쉼표 3 2 2 2 2 2 2 2" xfId="557"/>
    <cellStyle name="千位分隔 2 2 2 2 2 2" xfId="558"/>
    <cellStyle name="千位分隔[0] 3 2 2 2 2 2" xfId="559"/>
    <cellStyle name="常规 5 2 2 2 2 2" xfId="560"/>
    <cellStyle name="常规 6 2 2 2 2 2" xfId="561"/>
    <cellStyle name="常规 7" xfId="562"/>
    <cellStyle name="쉼표 [0] 5" xfId="563"/>
    <cellStyle name="쉼표 [0] 2 9" xfId="564"/>
  </cellStyles>
  <dxfs count="6">
    <dxf>
      <fill>
        <patternFill patternType="solid">
          <fgColor rgb="FFFFCCCC"/>
          <bgColor rgb="FF000000"/>
        </patternFill>
      </fill>
    </dxf>
    <dxf>
      <fill>
        <patternFill>
          <fgColor indexed="64"/>
          <bgColor indexed="65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externalLink" Target="/xl/externalLinks/externalLink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  <comment ref="N11" authorId="0" shapeId="0">
      <text>
        <t>생산성향상 격려금 (PI : Productivity Incentive) : 전도금 송금환율 반영하여 정산</t>
      </text>
    </comment>
  </commentList>
</comments>
</file>

<file path=xl/comments/comment2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  <comment ref="N11" authorId="0" shapeId="0">
      <text>
        <t>생산성향상 격려금 (PI : Productivity Incentive) : 전도금 송금환율 반영하여 정산</t>
      </text>
    </comment>
  </commentList>
</comments>
</file>

<file path=xl/comments/comment3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4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5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6.xml><?xml version="1.0" encoding="utf-8"?>
<comments xmlns="http://schemas.openxmlformats.org/spreadsheetml/2006/main">
  <authors>
    <author>이미순 (LEE MI SUN)</author>
    <author>이선희 (LEE SUN HEE)</author>
  </authors>
  <commentList>
    <comment ref="B12" authorId="0" shapeId="0">
      <text>
        <t>생산성향상 격려금 (PI : Productivity Incentive) : 전도금 송금환율 반영하여 정산</t>
      </text>
    </comment>
    <comment ref="H12" authorId="0" shapeId="0">
      <text>
        <t>생산성향상 격려금 (PI : Productivity Incentive) : 전도금 송금환율 반영하여 정산</t>
      </text>
    </comment>
    <comment ref="H20" authorId="1" shapeId="0">
      <text>
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38</row>
      <rowOff>158750</rowOff>
    </from>
    <to>
      <col>10</col>
      <colOff>603249</colOff>
      <row>83</row>
      <rowOff>36703</rowOff>
    </to>
    <pic>
      <nvPicPr>
        <cNvPr id="15" name="图片 1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0" y="6953250"/>
          <a:ext cx="9405937" cy="77360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142876</colOff>
      <row>0</row>
      <rowOff>0</rowOff>
    </from>
    <to>
      <col>9</col>
      <colOff>127000</colOff>
      <row>36</row>
      <rowOff>165491</rowOff>
    </to>
    <pic>
      <nvPicPr>
        <cNvPr id="14" name="图片 1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42876" y="0"/>
          <a:ext cx="8159749" cy="65869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619124</colOff>
      <row>0</row>
      <rowOff>119063</rowOff>
    </from>
    <to>
      <col>20</col>
      <colOff>395384</colOff>
      <row>33</row>
      <rowOff>111125</rowOff>
    </to>
    <pic>
      <nvPicPr>
        <cNvPr id="13" name="图片 12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8167687" y="119063"/>
          <a:ext cx="7324822" cy="58896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83</row>
      <rowOff>31750</rowOff>
    </from>
    <to>
      <col>10</col>
      <colOff>476250</colOff>
      <row>97</row>
      <rowOff>105569</rowOff>
    </to>
    <pic>
      <nvPicPr>
        <cNvPr id="16" name="图片 1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0" y="14684375"/>
          <a:ext cx="9278938" cy="251856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97</row>
      <rowOff>87313</rowOff>
    </from>
    <to>
      <col>10</col>
      <colOff>484186</colOff>
      <row>112</row>
      <rowOff>2441</rowOff>
    </to>
    <pic>
      <nvPicPr>
        <cNvPr id="17" name="图片 1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0" y="17184688"/>
          <a:ext cx="9286874" cy="253450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111</row>
      <rowOff>75406</rowOff>
    </from>
    <to>
      <col>10</col>
      <colOff>508000</colOff>
      <row>120</row>
      <rowOff>69712</rowOff>
    </to>
    <pic>
      <nvPicPr>
        <cNvPr id="22" name="图片 21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0" y="23911719"/>
          <a:ext cx="10175875" cy="1923118"/>
        </a:xfrm>
        <a:prstGeom prst="rect">
          <avLst/>
        </a:prstGeom>
        <a:ln>
          <a:prstDash val="solid"/>
        </a:ln>
      </spPr>
    </pic>
    <clientData/>
  </twoCellAnchor>
  <oneCellAnchor>
    <from>
      <col>12</col>
      <colOff>371515</colOff>
      <row>66</row>
      <rowOff>3669</rowOff>
    </from>
    <ext cx="7263148" cy="8509715"/>
    <pic>
      <nvPicPr>
        <cNvPr id="4" name="그림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601115" y="13833969"/>
          <a:ext cx="7263148" cy="8509715"/>
        </a:xfrm>
        <a:prstGeom prst="rect">
          <avLst/>
        </a:prstGeom>
        <a:ln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fs01\TEAM\&#50689;&#50629;&#44288;&#47532;&#54028;&#53944;\&#50689;&#50629;&#44288;&#47532;%20&#44592;&#54925;&#50868;&#50689;\&#50689;&#50629;&#50868;&#50689;\6.%20&#54644;&#50808;&#51648;&#49324;%20&#44288;&#47532;%20(&#51204;&#46020;&#44552;)\&#50672;&#46020;&#48324;%20&#47928;&#49436;%20(&#51221;&#49328;%20&#48143;%20&#50696;&#49328;)\'2019\'19&#45380;%205&#50900;\(&#49345;&#54644;&#51648;&#49324;)%205&#50900;%20&#51221;&#49328;\201905Shanghai%20Office%20Expense%20Report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20000177/Desktop/Wooktigravity/260630_shenzhen_restart_step_1/&#44284;&#44144;%20&#52280;&#44256;&#45936;&#51060;&#53552;/26&#45380;%205&#50900;/&#49900;&#52380;&#51648;&#49324;%20&#51204;&#46020;&#44552;%20&#51221;&#49328;%20&#50577;&#49885;%20&#48320;&#44221;%20&#50836;&#52397;_260525%20v1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port"/>
      <sheetName val="classification"/>
      <sheetName val="Report Summary"/>
      <sheetName val="Budget vs Remittance vs Expense"/>
      <sheetName val="Sheet3"/>
    </sheetNames>
    <sheetDataSet>
      <sheetData sheetId="0"/>
      <sheetData sheetId="1"/>
      <sheetData sheetId="2"/>
      <sheetData sheetId="3"/>
      <sheetData sheetId="4">
        <row r="4">
          <cell r="C4" t="str">
            <v>Trip_Expense</v>
          </cell>
        </row>
        <row r="5">
          <cell r="C5" t="str">
            <v>Communication_Expense</v>
          </cell>
        </row>
        <row r="6">
          <cell r="C6" t="str">
            <v xml:space="preserve">Business_Expense </v>
          </cell>
        </row>
        <row r="7">
          <cell r="C7" t="str">
            <v>Rent</v>
          </cell>
        </row>
        <row r="8">
          <cell r="C8" t="str">
            <v>Oversea_Branch_Expense</v>
          </cell>
        </row>
        <row r="9">
          <cell r="C9" t="str">
            <v>DBH_Remittance</v>
          </cell>
        </row>
        <row r="10">
          <cell r="C10" t="str">
            <v>Brought_or_Carried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내역_24.01"/>
      <sheetName val="내역_24.02"/>
      <sheetName val="내역_24.03"/>
      <sheetName val="내역_24.04"/>
      <sheetName val="내역_24.05"/>
      <sheetName val="내역_24.06"/>
      <sheetName val="내역_24.07"/>
      <sheetName val="내역_24.08"/>
      <sheetName val="내역_24.09"/>
      <sheetName val="내역_24.10"/>
      <sheetName val="내역_24.11"/>
      <sheetName val="내역_24.12"/>
      <sheetName val="내역_25.01"/>
      <sheetName val="내역_25.02"/>
      <sheetName val="내역_25.03"/>
      <sheetName val="내역_25.04"/>
      <sheetName val="내역_25.05"/>
      <sheetName val="26.05"/>
      <sheetName val="통장지급내역"/>
      <sheetName val="당월 업무추진비"/>
      <sheetName val="기사 야근 일지"/>
      <sheetName val="업무추진비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>
        <row r="238">
          <cell r="D238">
            <v>7.2637000065386541</v>
          </cell>
        </row>
        <row r="246">
          <cell r="D246">
            <v>7.3190999922785887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99"/>
  <sheetViews>
    <sheetView showGridLines="0" topLeftCell="A64" zoomScaleNormal="100" workbookViewId="0">
      <selection activeCell="E105" sqref="E105"/>
    </sheetView>
  </sheetViews>
  <sheetFormatPr baseColWidth="8" defaultColWidth="9" defaultRowHeight="13.5" outlineLevelRow="1"/>
  <cols>
    <col width="2.25" customWidth="1" style="5" min="1" max="1"/>
    <col width="13.5" bestFit="1" customWidth="1" style="1" min="2" max="2"/>
    <col width="9" customWidth="1" style="1" min="3" max="3"/>
    <col width="11.75" bestFit="1" customWidth="1" style="1" min="4" max="4"/>
    <col width="11.625" bestFit="1" customWidth="1" style="1" min="5" max="5"/>
    <col width="13.25" customWidth="1" style="1" min="6" max="6"/>
    <col width="10.5" bestFit="1" customWidth="1" style="1" min="7" max="7"/>
    <col width="10.75" bestFit="1" customWidth="1" style="1" min="8" max="8"/>
    <col width="11.75" bestFit="1" customWidth="1" style="1" min="9" max="10"/>
    <col width="10.5" bestFit="1" customWidth="1" style="1" min="11" max="13"/>
    <col width="12.5" customWidth="1" style="1" min="14" max="14"/>
    <col width="10.5" bestFit="1" customWidth="1" style="1" min="15" max="16"/>
    <col width="9" customWidth="1" style="1" min="17" max="18"/>
    <col width="9" customWidth="1" style="1" min="19" max="16384"/>
  </cols>
  <sheetData>
    <row r="1" ht="6.6" customHeight="1" s="654" thickBot="1"/>
    <row r="2" ht="16.5" customHeight="1" s="654">
      <c r="B2" s="655" t="inlineStr">
        <is>
          <t xml:space="preserve">통장 일자 </t>
        </is>
      </c>
      <c r="C2" s="656" t="inlineStr">
        <is>
          <t>지급</t>
        </is>
      </c>
      <c r="D2" s="624" t="n"/>
      <c r="E2" s="620" t="n"/>
      <c r="F2" s="656" t="inlineStr">
        <is>
          <t>송금액</t>
        </is>
      </c>
      <c r="G2" s="624" t="n"/>
      <c r="H2" s="620" t="n"/>
      <c r="I2" s="656" t="inlineStr">
        <is>
          <t>입금</t>
        </is>
      </c>
      <c r="J2" s="620" t="n"/>
      <c r="K2" s="656" t="inlineStr">
        <is>
          <t>출금</t>
        </is>
      </c>
      <c r="L2" s="620" t="n"/>
      <c r="M2" s="619" t="inlineStr">
        <is>
          <t>잔액</t>
        </is>
      </c>
      <c r="N2" s="620" t="n"/>
    </row>
    <row r="3" ht="27" customHeight="1" s="654">
      <c r="B3" s="622" t="n"/>
      <c r="C3" s="657" t="inlineStr">
        <is>
          <t>지급시
환율</t>
        </is>
      </c>
      <c r="D3" s="657" t="inlineStr">
        <is>
          <t>환산요율</t>
        </is>
      </c>
      <c r="E3" s="658" t="inlineStr">
        <is>
          <t>전표번호</t>
        </is>
      </c>
      <c r="F3" s="659" t="inlineStr">
        <is>
          <t>USD</t>
        </is>
      </c>
      <c r="G3" s="659" t="inlineStr">
        <is>
          <t>수수료</t>
        </is>
      </c>
      <c r="H3" s="544" t="inlineStr">
        <is>
          <t>RMB</t>
        </is>
      </c>
      <c r="I3" s="659" t="inlineStr">
        <is>
          <t>USD</t>
        </is>
      </c>
      <c r="J3" s="659" t="inlineStr">
        <is>
          <t>RMB</t>
        </is>
      </c>
      <c r="K3" s="659" t="inlineStr">
        <is>
          <t>USD</t>
        </is>
      </c>
      <c r="L3" s="659" t="inlineStr">
        <is>
          <t>RMB</t>
        </is>
      </c>
      <c r="M3" s="660" t="inlineStr">
        <is>
          <t>USD</t>
        </is>
      </c>
      <c r="N3" s="9" t="inlineStr">
        <is>
          <t>RMB</t>
        </is>
      </c>
    </row>
    <row r="4" outlineLevel="1" ht="16.5" customHeight="1" s="654">
      <c r="B4" s="661" t="n">
        <v>45854</v>
      </c>
      <c r="C4" s="2" t="n"/>
      <c r="D4" s="2" t="n"/>
      <c r="E4" s="2" t="n"/>
      <c r="F4" s="662" t="n">
        <v>74022.44</v>
      </c>
      <c r="G4" s="662" t="n"/>
      <c r="H4" s="662" t="n"/>
      <c r="I4" s="662" t="n"/>
      <c r="J4" s="662" t="n"/>
      <c r="K4" s="662" t="n"/>
      <c r="L4" s="662" t="n"/>
      <c r="M4" s="662" t="n"/>
      <c r="N4" s="663">
        <f>H4-L4</f>
        <v/>
      </c>
    </row>
    <row r="5" outlineLevel="1" ht="16.5" customHeight="1" s="654">
      <c r="B5" s="661" t="n">
        <v>45854</v>
      </c>
      <c r="C5" s="4" t="n">
        <v>1373.8</v>
      </c>
      <c r="D5" s="664">
        <f>-H5/F5</f>
        <v/>
      </c>
      <c r="E5" s="2" t="n">
        <v>2000001679</v>
      </c>
      <c r="F5" s="662" t="n">
        <v>-73987.44</v>
      </c>
      <c r="G5" s="662" t="n"/>
      <c r="H5" s="662" t="n">
        <v>530297.5800000001</v>
      </c>
      <c r="I5" s="662" t="n"/>
      <c r="J5" s="662" t="n"/>
      <c r="K5" s="662" t="n">
        <v>35</v>
      </c>
      <c r="L5" s="662" t="n">
        <v>73092</v>
      </c>
      <c r="M5" s="662" t="n"/>
      <c r="N5" s="663">
        <f>H5-L5</f>
        <v/>
      </c>
    </row>
    <row r="6" outlineLevel="1" ht="16.5" customHeight="1" s="654">
      <c r="B6" s="661" t="n">
        <v>45855</v>
      </c>
      <c r="C6" s="4" t="n"/>
      <c r="D6" s="2" t="n"/>
      <c r="E6" s="2" t="n"/>
      <c r="F6" s="662" t="n"/>
      <c r="G6" s="662" t="n"/>
      <c r="H6" s="662" t="n"/>
      <c r="I6" s="662" t="n"/>
      <c r="J6" s="662" t="n"/>
      <c r="K6" s="662" t="n"/>
      <c r="L6" s="662" t="n">
        <v>2403.6</v>
      </c>
      <c r="M6" s="662" t="n"/>
      <c r="N6" s="663">
        <f>N5-L6</f>
        <v/>
      </c>
    </row>
    <row r="7" outlineLevel="1" ht="16.5" customHeight="1" s="654">
      <c r="B7" s="661" t="n">
        <v>45860</v>
      </c>
      <c r="C7" s="4" t="n"/>
      <c r="D7" s="2" t="n"/>
      <c r="E7" s="2" t="n"/>
      <c r="F7" s="662" t="n"/>
      <c r="G7" s="662" t="n"/>
      <c r="H7" s="662" t="n"/>
      <c r="I7" s="662" t="n"/>
      <c r="J7" s="662" t="n"/>
      <c r="K7" s="662" t="n"/>
      <c r="L7" s="662" t="n">
        <v>28287.2</v>
      </c>
      <c r="M7" s="662" t="n"/>
      <c r="N7" s="663">
        <f>N6-L7</f>
        <v/>
      </c>
    </row>
    <row r="8" outlineLevel="1" ht="16.5" customHeight="1" s="654">
      <c r="B8" s="661" t="n">
        <v>45862</v>
      </c>
      <c r="C8" s="4" t="n"/>
      <c r="D8" s="2" t="n"/>
      <c r="E8" s="2" t="n"/>
      <c r="F8" s="662" t="n"/>
      <c r="G8" s="662" t="n"/>
      <c r="H8" s="662" t="n"/>
      <c r="I8" s="662" t="n"/>
      <c r="J8" s="662" t="n"/>
      <c r="K8" s="662" t="n"/>
      <c r="L8" s="662" t="n">
        <v>345390.3799999999</v>
      </c>
      <c r="M8" s="662" t="n"/>
      <c r="N8" s="663">
        <f>N7-L8</f>
        <v/>
      </c>
    </row>
    <row r="9" outlineLevel="1" ht="16.5" customHeight="1" s="654">
      <c r="B9" s="661" t="n">
        <v>45863</v>
      </c>
      <c r="C9" s="4" t="n"/>
      <c r="D9" s="2" t="n"/>
      <c r="E9" s="2" t="n"/>
      <c r="F9" s="662" t="n"/>
      <c r="G9" s="662" t="n"/>
      <c r="H9" s="662" t="n"/>
      <c r="I9" s="662" t="n"/>
      <c r="J9" s="662" t="n"/>
      <c r="K9" s="662" t="n"/>
      <c r="L9" s="662" t="n">
        <v>80014.39999999999</v>
      </c>
      <c r="M9" s="662" t="n"/>
      <c r="N9" s="663">
        <f>N8-L9</f>
        <v/>
      </c>
    </row>
    <row r="10" outlineLevel="1" s="654">
      <c r="B10" s="11" t="n"/>
      <c r="C10" s="6" t="n"/>
      <c r="D10" s="6" t="n"/>
      <c r="E10" s="6" t="n"/>
      <c r="F10" s="665" t="n"/>
      <c r="G10" s="665" t="n"/>
      <c r="H10" s="549" t="n"/>
      <c r="I10" s="549" t="n"/>
      <c r="J10" s="549" t="n"/>
      <c r="K10" s="665" t="n"/>
      <c r="L10" s="666" t="n"/>
      <c r="M10" s="667" t="n"/>
      <c r="N10" s="668">
        <f>N9</f>
        <v/>
      </c>
    </row>
    <row r="11" outlineLevel="1" collapsed="1" s="654">
      <c r="B11" s="661" t="n">
        <v>45881</v>
      </c>
      <c r="C11" s="2" t="n"/>
      <c r="D11" s="2" t="n"/>
      <c r="E11" s="2" t="n"/>
      <c r="F11" s="662" t="n">
        <v>66958.92999999999</v>
      </c>
      <c r="G11" s="662" t="n"/>
      <c r="H11" s="662" t="n"/>
      <c r="I11" s="662" t="n"/>
      <c r="J11" s="662" t="n"/>
      <c r="K11" s="662" t="n"/>
      <c r="L11" s="662" t="n"/>
      <c r="M11" s="662" t="n"/>
      <c r="N11" s="663">
        <f>N10+H11-L11</f>
        <v/>
      </c>
    </row>
    <row r="12" outlineLevel="1" s="654">
      <c r="B12" s="661" t="n">
        <v>45881</v>
      </c>
      <c r="C12" s="4" t="n">
        <v>1384.2</v>
      </c>
      <c r="D12" s="664">
        <f>-H12/F12</f>
        <v/>
      </c>
      <c r="E12" s="2" t="n">
        <v>2000001943</v>
      </c>
      <c r="F12" s="662" t="n">
        <v>-66933.92999999999</v>
      </c>
      <c r="G12" s="662" t="n"/>
      <c r="H12" s="662" t="n">
        <v>480471.83</v>
      </c>
      <c r="I12" s="662" t="n"/>
      <c r="J12" s="662" t="n"/>
      <c r="K12" s="662" t="n">
        <v>25</v>
      </c>
      <c r="L12" s="662" t="n"/>
      <c r="M12" s="662" t="n"/>
      <c r="N12" s="663">
        <f>N11+H12-L12</f>
        <v/>
      </c>
    </row>
    <row r="13" outlineLevel="1" s="654">
      <c r="B13" s="661" t="n">
        <v>45883</v>
      </c>
      <c r="C13" s="4" t="n"/>
      <c r="D13" s="2" t="n"/>
      <c r="E13" s="2" t="n"/>
      <c r="F13" s="662" t="n"/>
      <c r="G13" s="662" t="n"/>
      <c r="H13" s="662" t="n"/>
      <c r="I13" s="662" t="n"/>
      <c r="J13" s="662" t="n"/>
      <c r="K13" s="662" t="n"/>
      <c r="L13" s="669" t="n">
        <v>1110.056783802901</v>
      </c>
      <c r="M13" s="662" t="n"/>
      <c r="N13" s="663">
        <f>N12+H13-L13</f>
        <v/>
      </c>
    </row>
    <row r="14" outlineLevel="1" s="654">
      <c r="B14" s="661" t="n">
        <v>45883</v>
      </c>
      <c r="C14" s="4" t="n"/>
      <c r="D14" s="2" t="n"/>
      <c r="E14" s="2" t="n"/>
      <c r="F14" s="662" t="n"/>
      <c r="G14" s="662" t="n"/>
      <c r="H14" s="662" t="n"/>
      <c r="I14" s="662" t="n"/>
      <c r="J14" s="662" t="n"/>
      <c r="K14" s="662" t="n"/>
      <c r="L14" s="669" t="n">
        <v>26430.74</v>
      </c>
      <c r="M14" s="662" t="n"/>
      <c r="N14" s="663">
        <f>N13+H14-L14</f>
        <v/>
      </c>
    </row>
    <row r="15" outlineLevel="1" s="654">
      <c r="B15" s="661" t="n">
        <v>45887</v>
      </c>
      <c r="C15" s="4" t="n"/>
      <c r="D15" s="2" t="n"/>
      <c r="E15" s="2" t="n"/>
      <c r="F15" s="662" t="n"/>
      <c r="G15" s="662" t="n"/>
      <c r="H15" s="662" t="n"/>
      <c r="I15" s="662" t="n"/>
      <c r="J15" s="662" t="n"/>
      <c r="K15" s="662" t="n"/>
      <c r="L15" s="662" t="n">
        <v>33.6</v>
      </c>
      <c r="M15" s="662" t="n"/>
      <c r="N15" s="663">
        <f>N14+H15-L15</f>
        <v/>
      </c>
    </row>
    <row r="16" outlineLevel="1" s="654">
      <c r="B16" s="661" t="n">
        <v>45888</v>
      </c>
      <c r="C16" s="4" t="n"/>
      <c r="D16" s="2" t="n"/>
      <c r="E16" s="2" t="n"/>
      <c r="F16" s="662" t="n"/>
      <c r="G16" s="662" t="n"/>
      <c r="H16" s="662" t="n"/>
      <c r="I16" s="662" t="n"/>
      <c r="J16" s="662" t="n"/>
      <c r="K16" s="662" t="n"/>
      <c r="L16" s="662" t="n">
        <v>148030.1800000001</v>
      </c>
      <c r="M16" s="662" t="n"/>
      <c r="N16" s="663">
        <f>N15+H16-L16</f>
        <v/>
      </c>
    </row>
    <row r="17" outlineLevel="1" s="654">
      <c r="B17" s="661" t="n">
        <v>45889</v>
      </c>
      <c r="C17" s="4" t="n"/>
      <c r="D17" s="2" t="n"/>
      <c r="E17" s="2" t="n"/>
      <c r="F17" s="662" t="n"/>
      <c r="G17" s="662" t="n"/>
      <c r="H17" s="662" t="n"/>
      <c r="I17" s="662" t="n"/>
      <c r="J17" s="662" t="n"/>
      <c r="K17" s="662" t="n"/>
      <c r="L17" s="662" t="n">
        <v>292153.69</v>
      </c>
      <c r="M17" s="662" t="n"/>
      <c r="N17" s="663">
        <f>N16+H17-L17</f>
        <v/>
      </c>
    </row>
    <row r="18" outlineLevel="1" ht="14.25" customHeight="1" s="654" thickBot="1">
      <c r="B18" s="552" t="n"/>
      <c r="C18" s="553" t="n"/>
      <c r="D18" s="553" t="n"/>
      <c r="E18" s="553" t="n"/>
      <c r="F18" s="670" t="n"/>
      <c r="G18" s="670" t="n"/>
      <c r="H18" s="555" t="n"/>
      <c r="I18" s="555" t="n"/>
      <c r="J18" s="555" t="n"/>
      <c r="K18" s="670" t="n"/>
      <c r="L18" s="671" t="n"/>
      <c r="M18" s="672" t="n"/>
      <c r="N18" s="673">
        <f>N17+H18-L18</f>
        <v/>
      </c>
    </row>
    <row r="19" outlineLevel="1" s="654">
      <c r="B19" s="661" t="n">
        <v>45910</v>
      </c>
      <c r="C19" s="4" t="n"/>
      <c r="D19" s="2" t="n"/>
      <c r="E19" s="2" t="n"/>
      <c r="F19" s="662" t="n"/>
      <c r="G19" s="662" t="n"/>
      <c r="H19" s="662" t="n"/>
      <c r="I19" s="662" t="n"/>
      <c r="J19" s="662" t="n"/>
      <c r="K19" s="662" t="n"/>
      <c r="L19" s="662" t="n">
        <v>243.6</v>
      </c>
      <c r="M19" s="662" t="n"/>
      <c r="N19" s="663">
        <f>N18+H19-L19</f>
        <v/>
      </c>
    </row>
    <row r="20" outlineLevel="1" s="654">
      <c r="B20" s="661" t="n">
        <v>45911</v>
      </c>
      <c r="C20" s="4" t="n"/>
      <c r="D20" s="2" t="n"/>
      <c r="E20" s="2" t="n"/>
      <c r="F20" s="662" t="n">
        <v>58404.05</v>
      </c>
      <c r="G20" s="662" t="n"/>
      <c r="H20" s="662" t="n"/>
      <c r="I20" s="662" t="n"/>
      <c r="J20" s="662" t="n"/>
      <c r="K20" s="662" t="n"/>
      <c r="L20" s="662" t="n"/>
      <c r="M20" s="662" t="n"/>
      <c r="N20" s="663">
        <f>N19+H20-L20</f>
        <v/>
      </c>
    </row>
    <row r="21" outlineLevel="1" s="654">
      <c r="B21" s="661" t="n">
        <v>45911</v>
      </c>
      <c r="C21" s="4" t="n">
        <v>1386.6</v>
      </c>
      <c r="D21" s="664">
        <f>-H21/F21</f>
        <v/>
      </c>
      <c r="E21" s="2" t="n">
        <v>2000002211</v>
      </c>
      <c r="F21" s="662" t="n">
        <v>-58379.05</v>
      </c>
      <c r="G21" s="662" t="n"/>
      <c r="H21" s="662" t="n">
        <v>415110.07</v>
      </c>
      <c r="I21" s="662" t="n"/>
      <c r="J21" s="662" t="n"/>
      <c r="K21" s="662" t="n">
        <v>25</v>
      </c>
      <c r="L21" s="662" t="n"/>
      <c r="M21" s="662" t="n"/>
      <c r="N21" s="663">
        <f>N20+H21-L21</f>
        <v/>
      </c>
    </row>
    <row r="22" outlineLevel="1" s="654">
      <c r="B22" s="661" t="n">
        <v>45915</v>
      </c>
      <c r="C22" s="4" t="n"/>
      <c r="D22" s="2" t="n"/>
      <c r="E22" s="2" t="n"/>
      <c r="F22" s="662" t="n"/>
      <c r="G22" s="662" t="n"/>
      <c r="H22" s="662" t="n"/>
      <c r="I22" s="662" t="n"/>
      <c r="J22" s="662" t="n"/>
      <c r="K22" s="662" t="n"/>
      <c r="L22" s="669" t="n">
        <v>13580.05795001729</v>
      </c>
      <c r="M22" s="662" t="n"/>
      <c r="N22" s="663">
        <f>N21+H22-L22</f>
        <v/>
      </c>
    </row>
    <row r="23" outlineLevel="1" s="654">
      <c r="B23" s="661" t="n">
        <v>45915</v>
      </c>
      <c r="C23" s="4" t="n"/>
      <c r="D23" s="2" t="n"/>
      <c r="E23" s="2" t="n"/>
      <c r="F23" s="662" t="n"/>
      <c r="G23" s="662" t="n"/>
      <c r="H23" s="662" t="n"/>
      <c r="I23" s="662" t="n"/>
      <c r="J23" s="662" t="n"/>
      <c r="K23" s="662" t="n"/>
      <c r="L23" s="669" t="n">
        <v>13975.74</v>
      </c>
      <c r="M23" s="662" t="n"/>
      <c r="N23" s="663">
        <f>N22+H23-L23</f>
        <v/>
      </c>
    </row>
    <row r="24" outlineLevel="1" s="654">
      <c r="B24" s="661" t="n">
        <v>45921</v>
      </c>
      <c r="C24" s="4" t="n"/>
      <c r="D24" s="2" t="n"/>
      <c r="E24" s="2" t="n"/>
      <c r="F24" s="662" t="n"/>
      <c r="G24" s="662" t="n"/>
      <c r="H24" s="662" t="n"/>
      <c r="I24" s="662" t="n"/>
      <c r="J24" s="662" t="n">
        <v>32.36</v>
      </c>
      <c r="K24" s="662" t="n"/>
      <c r="L24" s="669" t="n"/>
      <c r="M24" s="662" t="n"/>
      <c r="N24" s="663">
        <f>N23+H24-L24+J24</f>
        <v/>
      </c>
    </row>
    <row r="25" outlineLevel="1" s="654">
      <c r="B25" s="661" t="n">
        <v>45923</v>
      </c>
      <c r="C25" s="4" t="n"/>
      <c r="D25" s="2" t="n"/>
      <c r="E25" s="2" t="n"/>
      <c r="F25" s="662" t="n"/>
      <c r="G25" s="662" t="n"/>
      <c r="H25" s="662" t="n"/>
      <c r="I25" s="662" t="n"/>
      <c r="J25" s="662" t="n"/>
      <c r="K25" s="662" t="n"/>
      <c r="L25" s="662" t="n">
        <v>399903.2</v>
      </c>
      <c r="M25" s="662" t="n"/>
      <c r="N25" s="663">
        <f>N24+H25-L25</f>
        <v/>
      </c>
    </row>
    <row r="26" outlineLevel="1" ht="14.25" customHeight="1" s="654" thickBot="1">
      <c r="B26" s="552" t="n"/>
      <c r="C26" s="553" t="n"/>
      <c r="D26" s="553" t="n"/>
      <c r="E26" s="553" t="n"/>
      <c r="F26" s="670" t="n"/>
      <c r="G26" s="670" t="n"/>
      <c r="H26" s="555" t="n"/>
      <c r="I26" s="555" t="n"/>
      <c r="J26" s="555" t="n"/>
      <c r="K26" s="670" t="n"/>
      <c r="L26" s="671" t="n"/>
      <c r="M26" s="672" t="n"/>
      <c r="N26" s="673">
        <f>N25+H26-L26</f>
        <v/>
      </c>
    </row>
    <row r="27" outlineLevel="1" collapsed="1" s="654">
      <c r="B27" s="661" t="n">
        <v>45943</v>
      </c>
      <c r="C27" s="4" t="n"/>
      <c r="D27" s="2" t="n"/>
      <c r="E27" s="2" t="n"/>
      <c r="F27" s="662" t="n">
        <v>76124.42999999999</v>
      </c>
      <c r="G27" s="662" t="n"/>
      <c r="H27" s="662" t="n"/>
      <c r="I27" s="662" t="n"/>
      <c r="J27" s="662" t="n"/>
      <c r="K27" s="662" t="n"/>
      <c r="L27" s="662" t="n"/>
      <c r="M27" s="662" t="n"/>
      <c r="N27" s="663">
        <f>N26+H27-L27</f>
        <v/>
      </c>
    </row>
    <row r="28" outlineLevel="1" s="654">
      <c r="B28" s="661" t="n">
        <v>45943</v>
      </c>
      <c r="C28" s="4" t="n">
        <v>1401.9</v>
      </c>
      <c r="D28" s="664">
        <f>-H28/F28</f>
        <v/>
      </c>
      <c r="E28" s="2" t="n">
        <v>2000002505</v>
      </c>
      <c r="F28" s="662" t="n">
        <v>-76099.42999999999</v>
      </c>
      <c r="G28" s="662" t="n"/>
      <c r="H28" s="662" t="n">
        <v>541561.59</v>
      </c>
      <c r="I28" s="662" t="n"/>
      <c r="J28" s="662" t="n"/>
      <c r="K28" s="662" t="n">
        <v>25</v>
      </c>
      <c r="L28" s="662" t="n"/>
      <c r="M28" s="662" t="n"/>
      <c r="N28" s="663">
        <f>N27+H28-L28</f>
        <v/>
      </c>
    </row>
    <row r="29" outlineLevel="1" s="654">
      <c r="B29" s="661" t="n">
        <v>45945</v>
      </c>
      <c r="C29" s="4" t="n"/>
      <c r="D29" s="2" t="n"/>
      <c r="E29" s="2" t="n"/>
      <c r="F29" s="662" t="n"/>
      <c r="G29" s="662" t="n"/>
      <c r="H29" s="662" t="n"/>
      <c r="I29" s="662" t="n"/>
      <c r="J29" s="662" t="n"/>
      <c r="K29" s="662" t="n"/>
      <c r="L29" s="669" t="n">
        <v>1263.482505081874</v>
      </c>
      <c r="M29" s="662" t="n"/>
      <c r="N29" s="663">
        <f>N28+H29-L29</f>
        <v/>
      </c>
    </row>
    <row r="30" outlineLevel="1" s="654">
      <c r="B30" s="661" t="n">
        <v>45945</v>
      </c>
      <c r="C30" s="4" t="n"/>
      <c r="D30" s="2" t="n"/>
      <c r="E30" s="2" t="n"/>
      <c r="F30" s="662" t="n"/>
      <c r="G30" s="662" t="n"/>
      <c r="H30" s="662" t="n"/>
      <c r="I30" s="662" t="n"/>
      <c r="J30" s="662" t="n"/>
      <c r="L30" s="669" t="n">
        <v>26248.32</v>
      </c>
      <c r="M30" s="662" t="n"/>
      <c r="N30" s="663">
        <f>N29+H30-L30</f>
        <v/>
      </c>
    </row>
    <row r="31" outlineLevel="1" s="654">
      <c r="B31" s="661" t="n">
        <v>45952</v>
      </c>
      <c r="C31" s="4" t="n"/>
      <c r="D31" s="2" t="n"/>
      <c r="E31" s="2" t="n"/>
      <c r="F31" s="662" t="n"/>
      <c r="G31" s="662" t="n"/>
      <c r="H31" s="662" t="n"/>
      <c r="I31" s="662" t="n"/>
      <c r="J31" s="662" t="n"/>
      <c r="K31" s="662" t="n"/>
      <c r="L31" s="662" t="n">
        <v>57279.62</v>
      </c>
      <c r="M31" s="662" t="n"/>
      <c r="N31" s="663">
        <f>N30+H31-L31</f>
        <v/>
      </c>
    </row>
    <row r="32" outlineLevel="1" s="654">
      <c r="B32" s="661" t="n">
        <v>45953</v>
      </c>
      <c r="C32" s="4" t="n"/>
      <c r="D32" s="2" t="n"/>
      <c r="E32" s="2" t="n"/>
      <c r="F32" s="662" t="n"/>
      <c r="G32" s="662" t="n"/>
      <c r="H32" s="662" t="n"/>
      <c r="I32" s="662" t="n"/>
      <c r="J32" s="662" t="n"/>
      <c r="K32" s="662" t="n"/>
      <c r="L32" s="662" t="n">
        <v>435679.23</v>
      </c>
      <c r="M32" s="662" t="n"/>
      <c r="N32" s="663">
        <f>N31+H32-L32</f>
        <v/>
      </c>
    </row>
    <row r="33" outlineLevel="1" ht="14.25" customHeight="1" s="654" thickBot="1">
      <c r="B33" s="552" t="n"/>
      <c r="C33" s="553" t="n"/>
      <c r="D33" s="553" t="n"/>
      <c r="E33" s="553" t="n"/>
      <c r="F33" s="670" t="n"/>
      <c r="G33" s="670" t="n"/>
      <c r="H33" s="555" t="n"/>
      <c r="I33" s="555" t="n"/>
      <c r="J33" s="555" t="n"/>
      <c r="K33" s="670" t="n"/>
      <c r="L33" s="671" t="n"/>
      <c r="M33" s="672" t="n"/>
      <c r="N33" s="673">
        <f>N32+H33-L33</f>
        <v/>
      </c>
    </row>
    <row r="34" outlineLevel="1" s="654">
      <c r="B34" s="661" t="n">
        <v>45974</v>
      </c>
      <c r="C34" s="4" t="n"/>
      <c r="D34" s="2" t="n"/>
      <c r="E34" s="2" t="n"/>
      <c r="F34" s="662" t="n">
        <v>58100.87</v>
      </c>
      <c r="G34" s="662" t="n"/>
      <c r="H34" s="662" t="n"/>
      <c r="I34" s="662" t="n"/>
      <c r="J34" s="662" t="n"/>
      <c r="K34" s="662" t="n"/>
      <c r="L34" s="662" t="n"/>
      <c r="M34" s="662" t="n"/>
      <c r="N34" s="663">
        <f>N33+H34-L34</f>
        <v/>
      </c>
    </row>
    <row r="35" outlineLevel="1" s="654">
      <c r="B35" s="661" t="n">
        <v>45974</v>
      </c>
      <c r="C35" s="4" t="n">
        <v>1454</v>
      </c>
      <c r="D35" s="664">
        <f>-H35/F35</f>
        <v/>
      </c>
      <c r="E35" s="2" t="n">
        <v>2000002746</v>
      </c>
      <c r="F35" s="662" t="n">
        <v>-58075.87</v>
      </c>
      <c r="G35" s="662" t="n"/>
      <c r="H35" s="662" t="n">
        <v>411415.27</v>
      </c>
      <c r="I35" s="662" t="n"/>
      <c r="J35" s="662" t="n"/>
      <c r="K35" s="662" t="n">
        <v>25</v>
      </c>
      <c r="L35" s="662" t="n"/>
      <c r="M35" s="662" t="n"/>
      <c r="N35" s="663">
        <f>N34+H35-L35</f>
        <v/>
      </c>
    </row>
    <row r="36" outlineLevel="1" s="654">
      <c r="B36" s="661" t="n">
        <v>45975</v>
      </c>
      <c r="C36" s="4" t="n"/>
      <c r="D36" s="2" t="n"/>
      <c r="E36" s="2" t="n"/>
      <c r="F36" s="662" t="n"/>
      <c r="G36" s="662" t="n"/>
      <c r="H36" s="662" t="n"/>
      <c r="I36" s="662" t="n"/>
      <c r="J36" s="662" t="n"/>
      <c r="K36" s="662" t="n"/>
      <c r="L36" s="669" t="n">
        <v>22335.89</v>
      </c>
      <c r="M36" s="662" t="n"/>
      <c r="N36" s="663">
        <f>N35+H36-L36</f>
        <v/>
      </c>
    </row>
    <row r="37" outlineLevel="1" s="654">
      <c r="B37" s="661" t="n">
        <v>45975</v>
      </c>
      <c r="C37" s="4" t="n"/>
      <c r="D37" s="2" t="n"/>
      <c r="E37" s="2" t="n"/>
      <c r="F37" s="662" t="n"/>
      <c r="G37" s="662" t="n"/>
      <c r="H37" s="662" t="n"/>
      <c r="I37" s="662" t="n"/>
      <c r="J37" s="662" t="n"/>
      <c r="L37" s="669" t="n">
        <v>5111.91</v>
      </c>
      <c r="M37" s="662" t="n"/>
      <c r="N37" s="663">
        <f>N36+H37-L37</f>
        <v/>
      </c>
    </row>
    <row r="38" outlineLevel="1" ht="14.25" customHeight="1" s="654">
      <c r="B38" s="661" t="n">
        <v>45985</v>
      </c>
      <c r="C38" s="4" t="n"/>
      <c r="D38" s="2" t="n"/>
      <c r="E38" s="2" t="n"/>
      <c r="F38" s="662" t="n"/>
      <c r="G38" s="662" t="n"/>
      <c r="H38" s="662" t="n"/>
      <c r="I38" s="662" t="n"/>
      <c r="J38" s="662" t="n"/>
      <c r="K38" s="662" t="n"/>
      <c r="L38" s="662" t="n">
        <v>377571.91</v>
      </c>
      <c r="M38" s="662" t="n"/>
      <c r="N38" s="663">
        <f>N37+H38-L38</f>
        <v/>
      </c>
    </row>
    <row r="39" outlineLevel="1" ht="14.25" customHeight="1" s="654" thickBot="1">
      <c r="B39" s="552" t="n"/>
      <c r="C39" s="553" t="n"/>
      <c r="D39" s="553" t="n"/>
      <c r="E39" s="553" t="n"/>
      <c r="F39" s="670" t="n"/>
      <c r="G39" s="670" t="n"/>
      <c r="H39" s="555" t="n"/>
      <c r="I39" s="555" t="n"/>
      <c r="J39" s="555" t="n"/>
      <c r="K39" s="670" t="n"/>
      <c r="L39" s="671" t="n"/>
      <c r="M39" s="672" t="n"/>
      <c r="N39" s="673">
        <f>N38</f>
        <v/>
      </c>
    </row>
    <row r="40" outlineLevel="1" collapsed="1" s="654">
      <c r="B40" s="661" t="n">
        <v>46002</v>
      </c>
      <c r="C40" s="4" t="n"/>
      <c r="D40" s="2" t="n"/>
      <c r="E40" s="2" t="n"/>
      <c r="F40" s="662" t="n">
        <v>60766.8</v>
      </c>
      <c r="G40" s="662" t="n"/>
      <c r="H40" s="662" t="n"/>
      <c r="I40" s="662" t="n"/>
      <c r="J40" s="662" t="n"/>
      <c r="K40" s="662" t="n"/>
      <c r="L40" s="662" t="n"/>
      <c r="M40" s="662" t="n"/>
      <c r="N40" s="663">
        <f>N39+H40-L40</f>
        <v/>
      </c>
    </row>
    <row r="41" outlineLevel="1" s="654">
      <c r="B41" s="661" t="n">
        <v>46002</v>
      </c>
      <c r="C41" s="4" t="n">
        <v>1470.4</v>
      </c>
      <c r="D41" s="2">
        <f>-H41/F41</f>
        <v/>
      </c>
      <c r="E41" s="2" t="n">
        <v>2000003021</v>
      </c>
      <c r="F41" s="662" t="n">
        <v>-60741.8</v>
      </c>
      <c r="G41" s="662" t="n"/>
      <c r="H41" s="662" t="n">
        <v>428211.47</v>
      </c>
      <c r="I41" s="662" t="n"/>
      <c r="J41" s="662" t="n"/>
      <c r="K41" s="662" t="n">
        <v>25</v>
      </c>
      <c r="L41" s="662" t="n"/>
      <c r="M41" s="662" t="n"/>
      <c r="N41" s="663">
        <f>N40+H41-L41</f>
        <v/>
      </c>
    </row>
    <row r="42" outlineLevel="1" s="654">
      <c r="B42" s="661" t="n">
        <v>46006</v>
      </c>
      <c r="C42" s="4" t="n"/>
      <c r="D42" s="2" t="n"/>
      <c r="E42" s="2" t="n"/>
      <c r="F42" s="662" t="n"/>
      <c r="G42" s="662" t="n"/>
      <c r="H42" s="662" t="n"/>
      <c r="I42" s="662" t="n"/>
      <c r="J42" s="662" t="n"/>
      <c r="K42" s="662" t="n"/>
      <c r="L42" s="662" t="n">
        <v>27509.8</v>
      </c>
      <c r="M42" s="662" t="n"/>
      <c r="N42" s="663">
        <f>N41+H42-L42</f>
        <v/>
      </c>
    </row>
    <row r="43" outlineLevel="1" s="654">
      <c r="B43" s="661" t="n">
        <v>46012</v>
      </c>
      <c r="C43" s="4" t="n"/>
      <c r="D43" s="2" t="n"/>
      <c r="E43" s="2" t="n"/>
      <c r="F43" s="662" t="n"/>
      <c r="G43" s="662" t="n"/>
      <c r="H43" s="662" t="n"/>
      <c r="I43" s="662" t="n">
        <v>6.209680844612306</v>
      </c>
      <c r="J43" s="662" t="n">
        <v>43.99</v>
      </c>
      <c r="K43" s="662" t="n"/>
      <c r="L43" s="662" t="n"/>
      <c r="M43" s="662" t="n"/>
      <c r="N43" s="663">
        <f>N42+H43-L43+J43</f>
        <v/>
      </c>
    </row>
    <row r="44" outlineLevel="1" s="654">
      <c r="B44" s="661" t="n">
        <v>46013</v>
      </c>
      <c r="C44" s="4" t="n"/>
      <c r="D44" s="2" t="n"/>
      <c r="E44" s="2" t="n"/>
      <c r="F44" s="662" t="n"/>
      <c r="G44" s="662" t="n"/>
      <c r="H44" s="662" t="n"/>
      <c r="I44" s="662" t="n"/>
      <c r="J44" s="662" t="n"/>
      <c r="K44" s="662" t="n"/>
      <c r="L44" s="669" t="n">
        <v>1284.14</v>
      </c>
      <c r="M44" s="662" t="n"/>
      <c r="N44" s="663">
        <f>N43+H44-L44</f>
        <v/>
      </c>
    </row>
    <row r="45" outlineLevel="1" s="654">
      <c r="B45" s="661" t="n">
        <v>46013</v>
      </c>
      <c r="C45" s="4" t="n"/>
      <c r="D45" s="2" t="n"/>
      <c r="E45" s="2" t="n"/>
      <c r="F45" s="662" t="n"/>
      <c r="G45" s="662" t="n"/>
      <c r="H45" s="662" t="n"/>
      <c r="I45" s="662" t="n"/>
      <c r="J45" s="662" t="n"/>
      <c r="K45" s="662" t="n"/>
      <c r="L45" s="669" t="n">
        <v>146684.94</v>
      </c>
      <c r="M45" s="662" t="n"/>
      <c r="N45" s="663">
        <f>N44+H45-L45</f>
        <v/>
      </c>
    </row>
    <row r="46" outlineLevel="1" s="654">
      <c r="B46" s="661" t="n">
        <v>46015</v>
      </c>
      <c r="C46" s="4" t="n"/>
      <c r="D46" s="2" t="n"/>
      <c r="E46" s="2" t="n"/>
      <c r="F46" s="662" t="n"/>
      <c r="G46" s="662" t="n"/>
      <c r="H46" s="662" t="n"/>
      <c r="I46" s="662" t="n"/>
      <c r="J46" s="662" t="n"/>
      <c r="K46" s="662" t="n"/>
      <c r="L46" s="662" t="n">
        <v>251327.53</v>
      </c>
      <c r="M46" s="662" t="n"/>
      <c r="N46" s="663">
        <f>N45+H46-L46</f>
        <v/>
      </c>
    </row>
    <row r="47" outlineLevel="1" ht="14.25" customHeight="1" s="654" thickBot="1">
      <c r="B47" s="552" t="n"/>
      <c r="C47" s="553" t="n"/>
      <c r="D47" s="553" t="n"/>
      <c r="E47" s="553" t="n"/>
      <c r="F47" s="670" t="n"/>
      <c r="G47" s="670" t="n"/>
      <c r="H47" s="555" t="n"/>
      <c r="I47" s="555" t="n"/>
      <c r="J47" s="555" t="n"/>
      <c r="K47" s="670" t="n"/>
      <c r="L47" s="671" t="n"/>
      <c r="M47" s="672" t="n"/>
      <c r="N47" s="673">
        <f>N46</f>
        <v/>
      </c>
    </row>
    <row r="48" outlineLevel="1" s="654">
      <c r="B48" s="661" t="n">
        <v>46035</v>
      </c>
      <c r="C48" s="4" t="n"/>
      <c r="D48" s="2" t="n"/>
      <c r="E48" s="2" t="n"/>
      <c r="F48" s="662" t="n">
        <v>63822.55</v>
      </c>
      <c r="G48" s="662" t="n"/>
      <c r="H48" s="662" t="n"/>
      <c r="I48" s="662" t="n"/>
      <c r="J48" s="662" t="n"/>
      <c r="K48" s="662" t="n"/>
      <c r="L48" s="662" t="n"/>
      <c r="M48" s="662" t="n"/>
      <c r="N48" s="663">
        <f>N47+H48-L48</f>
        <v/>
      </c>
    </row>
    <row r="49" outlineLevel="1" s="654">
      <c r="B49" s="661" t="n">
        <v>46035</v>
      </c>
      <c r="C49" s="4" t="n">
        <v>1449.4</v>
      </c>
      <c r="D49" s="2">
        <f>-H49/F49</f>
        <v/>
      </c>
      <c r="E49" s="2" t="n">
        <v>2000000038</v>
      </c>
      <c r="F49" s="662" t="n">
        <v>-63797.55</v>
      </c>
      <c r="G49" s="662" t="n"/>
      <c r="H49" s="662" t="n">
        <v>444337.18</v>
      </c>
      <c r="I49" s="662" t="n"/>
      <c r="J49" s="662" t="n"/>
      <c r="K49" s="662" t="n">
        <v>25</v>
      </c>
      <c r="L49" s="662" t="n"/>
      <c r="M49" s="662" t="n"/>
      <c r="N49" s="663">
        <f>N48+H49-L49</f>
        <v/>
      </c>
    </row>
    <row r="50" outlineLevel="1" s="654">
      <c r="B50" s="661" t="n">
        <v>46035</v>
      </c>
      <c r="C50" s="4" t="n"/>
      <c r="D50" s="2" t="n"/>
      <c r="E50" s="2" t="n"/>
      <c r="F50" s="662" t="n"/>
      <c r="G50" s="662" t="n"/>
      <c r="H50" s="662" t="n"/>
      <c r="I50" s="662" t="n"/>
      <c r="J50" s="662" t="n"/>
      <c r="K50" s="662" t="n"/>
      <c r="L50" s="662" t="n">
        <v>25054.2</v>
      </c>
      <c r="M50" s="662" t="n"/>
      <c r="N50" s="663">
        <f>N49+H50-L50</f>
        <v/>
      </c>
    </row>
    <row r="51" outlineLevel="1" s="654">
      <c r="B51" s="661" t="n">
        <v>46037</v>
      </c>
      <c r="C51" s="4" t="n"/>
      <c r="D51" s="2" t="n"/>
      <c r="E51" s="2" t="n"/>
      <c r="F51" s="662" t="n"/>
      <c r="G51" s="662" t="n"/>
      <c r="H51" s="662" t="n"/>
      <c r="I51" s="662" t="n"/>
      <c r="J51" s="662" t="n"/>
      <c r="K51" s="662" t="n"/>
      <c r="L51" s="662" t="n">
        <v>2403.6</v>
      </c>
      <c r="M51" s="662" t="n"/>
      <c r="N51" s="663">
        <f>N50+H51-L51</f>
        <v/>
      </c>
    </row>
    <row r="52" outlineLevel="1" s="654">
      <c r="B52" s="661" t="n">
        <v>46038</v>
      </c>
      <c r="C52" s="4" t="n"/>
      <c r="D52" s="2" t="n"/>
      <c r="E52" s="2" t="n"/>
      <c r="F52" s="662" t="n"/>
      <c r="G52" s="662" t="n"/>
      <c r="H52" s="662" t="n"/>
      <c r="I52" s="662" t="n"/>
      <c r="J52" s="662" t="n"/>
      <c r="K52" s="662" t="n"/>
      <c r="L52" s="669" t="n">
        <v>2741.20212012001</v>
      </c>
      <c r="M52" s="662" t="n"/>
      <c r="N52" s="663">
        <f>N51+H52-L52</f>
        <v/>
      </c>
    </row>
    <row r="53" outlineLevel="1" s="654">
      <c r="B53" s="661" t="n">
        <v>46038</v>
      </c>
      <c r="C53" s="4" t="n"/>
      <c r="D53" s="2" t="n"/>
      <c r="E53" s="2" t="n"/>
      <c r="F53" s="662" t="n"/>
      <c r="G53" s="662" t="n"/>
      <c r="H53" s="662" t="n"/>
      <c r="I53" s="662" t="n"/>
      <c r="J53" s="662" t="n"/>
      <c r="K53" s="662" t="n"/>
      <c r="L53" s="669" t="n">
        <v>54391.90787987999</v>
      </c>
      <c r="M53" s="662" t="n"/>
      <c r="N53" s="663">
        <f>N52+H53-L53</f>
        <v/>
      </c>
    </row>
    <row r="54" outlineLevel="1" s="654">
      <c r="B54" s="661" t="n">
        <v>46044</v>
      </c>
      <c r="C54" s="4" t="n"/>
      <c r="D54" s="2" t="n"/>
      <c r="E54" s="2" t="n"/>
      <c r="F54" s="662" t="n"/>
      <c r="G54" s="662" t="n"/>
      <c r="H54" s="662" t="n"/>
      <c r="I54" s="662" t="n"/>
      <c r="J54" s="662" t="n"/>
      <c r="K54" s="662" t="n"/>
      <c r="L54" s="662" t="n">
        <v>348537.1</v>
      </c>
      <c r="M54" s="662" t="n"/>
      <c r="N54" s="663">
        <f>N53+H54-L54</f>
        <v/>
      </c>
    </row>
    <row r="55" outlineLevel="1" ht="14.25" customHeight="1" s="654" thickBot="1">
      <c r="B55" s="552" t="n"/>
      <c r="C55" s="553" t="n"/>
      <c r="D55" s="553" t="n"/>
      <c r="E55" s="553" t="n"/>
      <c r="F55" s="670" t="n"/>
      <c r="G55" s="670" t="n"/>
      <c r="H55" s="555" t="n"/>
      <c r="I55" s="555" t="n"/>
      <c r="J55" s="555" t="n"/>
      <c r="K55" s="670" t="n"/>
      <c r="L55" s="671" t="n"/>
      <c r="M55" s="672" t="n"/>
      <c r="N55" s="673">
        <f>N54</f>
        <v/>
      </c>
    </row>
    <row r="56" outlineLevel="1" collapsed="1" s="654">
      <c r="B56" s="661" t="n">
        <v>46055</v>
      </c>
      <c r="C56" s="4" t="n"/>
      <c r="D56" s="2" t="n"/>
      <c r="E56" s="2" t="n"/>
      <c r="F56" s="662" t="n"/>
      <c r="G56" s="662" t="n"/>
      <c r="H56" s="662" t="n"/>
      <c r="I56" s="662" t="n"/>
      <c r="J56" s="662" t="n"/>
      <c r="K56" s="662" t="n"/>
      <c r="L56" s="662" t="n">
        <v>140</v>
      </c>
      <c r="M56" s="662" t="n"/>
      <c r="N56" s="663">
        <f>N55+H56-L56</f>
        <v/>
      </c>
    </row>
    <row r="57" outlineLevel="1" s="654">
      <c r="B57" s="661" t="n">
        <v>46062</v>
      </c>
      <c r="C57" s="4" t="n"/>
      <c r="D57" s="2" t="n"/>
      <c r="E57" s="2" t="n"/>
      <c r="F57" s="662" t="n">
        <v>75630.62</v>
      </c>
      <c r="G57" s="662" t="n"/>
      <c r="H57" s="662" t="n"/>
      <c r="I57" s="662" t="n"/>
      <c r="J57" s="662" t="n"/>
      <c r="K57" s="662" t="n"/>
      <c r="L57" s="662" t="n"/>
      <c r="M57" s="662" t="n"/>
      <c r="N57" s="663">
        <f>N56+H57-L57</f>
        <v/>
      </c>
    </row>
    <row r="58" outlineLevel="1" s="654">
      <c r="B58" s="661" t="n">
        <v>46062</v>
      </c>
      <c r="C58" s="4" t="n">
        <v>1451.2</v>
      </c>
      <c r="D58" s="2">
        <f>-H58/F58</f>
        <v/>
      </c>
      <c r="E58" s="2" t="n">
        <v>2000000421</v>
      </c>
      <c r="F58" s="662" t="n">
        <v>-75605.62</v>
      </c>
      <c r="G58" s="662" t="n"/>
      <c r="H58" s="662" t="n">
        <v>522918.71</v>
      </c>
      <c r="I58" s="662" t="n"/>
      <c r="J58" s="662" t="n"/>
      <c r="K58" s="662" t="n">
        <v>25</v>
      </c>
      <c r="L58" s="662" t="n"/>
      <c r="M58" s="662" t="n"/>
      <c r="N58" s="663">
        <f>N57+H58-L58</f>
        <v/>
      </c>
    </row>
    <row r="59" outlineLevel="1" s="654">
      <c r="B59" s="661" t="n">
        <v>46063</v>
      </c>
      <c r="C59" s="4" t="n"/>
      <c r="D59" s="2" t="n"/>
      <c r="E59" s="2" t="n"/>
      <c r="F59" s="662" t="n"/>
      <c r="G59" s="662" t="n"/>
      <c r="H59" s="662" t="n"/>
      <c r="I59" s="662" t="n"/>
      <c r="J59" s="662" t="n"/>
      <c r="K59" s="662" t="n"/>
      <c r="L59" s="662" t="n">
        <v>80846.2</v>
      </c>
      <c r="M59" s="662" t="n"/>
      <c r="N59" s="663">
        <f>N58+H59-L59</f>
        <v/>
      </c>
    </row>
    <row r="60" outlineLevel="1" s="654">
      <c r="B60" s="661" t="n">
        <v>46065</v>
      </c>
      <c r="C60" s="4" t="n"/>
      <c r="D60" s="2" t="n"/>
      <c r="E60" s="2" t="n"/>
      <c r="F60" s="662" t="n"/>
      <c r="G60" s="662" t="n"/>
      <c r="H60" s="662" t="n"/>
      <c r="I60" s="662" t="n"/>
      <c r="J60" s="662" t="n"/>
      <c r="K60" s="662" t="n"/>
      <c r="L60" s="662" t="n">
        <v>20007.2</v>
      </c>
      <c r="M60" s="662" t="n"/>
      <c r="N60" s="663">
        <f>N59+H60-L60</f>
        <v/>
      </c>
    </row>
    <row r="61" outlineLevel="1" s="654">
      <c r="B61" s="661" t="n">
        <v>46066</v>
      </c>
      <c r="C61" s="4" t="n"/>
      <c r="D61" s="2" t="n"/>
      <c r="E61" s="2" t="n"/>
      <c r="F61" s="662" t="n"/>
      <c r="G61" s="662" t="n"/>
      <c r="H61" s="662" t="n"/>
      <c r="I61" s="662" t="n"/>
      <c r="J61" s="662" t="n"/>
      <c r="K61" s="662" t="n"/>
      <c r="L61" s="662" t="n">
        <v>65112.39999999999</v>
      </c>
      <c r="M61" s="662" t="n"/>
      <c r="N61" s="663">
        <f>N60+H61-L61</f>
        <v/>
      </c>
    </row>
    <row r="62" outlineLevel="1" s="654">
      <c r="B62" s="661" t="n">
        <v>46067</v>
      </c>
      <c r="C62" s="4" t="n"/>
      <c r="D62" s="2" t="n"/>
      <c r="E62" s="2" t="n"/>
      <c r="F62" s="662" t="n"/>
      <c r="G62" s="662" t="n"/>
      <c r="H62" s="662" t="n"/>
      <c r="I62" s="662" t="n"/>
      <c r="J62" s="662" t="n"/>
      <c r="K62" s="662" t="n"/>
      <c r="L62" s="662" t="n">
        <v>89777.56000000006</v>
      </c>
      <c r="M62" s="662" t="n"/>
      <c r="N62" s="663">
        <f>N61+H62-L62</f>
        <v/>
      </c>
    </row>
    <row r="63" outlineLevel="1" s="654">
      <c r="B63" s="661" t="n">
        <v>46077</v>
      </c>
      <c r="C63" s="4" t="n"/>
      <c r="D63" s="2" t="n"/>
      <c r="E63" s="2" t="n"/>
      <c r="F63" s="662" t="n"/>
      <c r="G63" s="662" t="n"/>
      <c r="H63" s="662" t="n"/>
      <c r="I63" s="662" t="n"/>
      <c r="J63" s="662" t="n"/>
      <c r="K63" s="662" t="n"/>
      <c r="L63" s="662" t="n">
        <v>252472.24</v>
      </c>
      <c r="M63" s="662" t="n"/>
      <c r="N63" s="663">
        <f>N62+H63-L63</f>
        <v/>
      </c>
    </row>
    <row r="64" outlineLevel="1" s="654">
      <c r="B64" s="661" t="n">
        <v>46079</v>
      </c>
      <c r="C64" s="4" t="n"/>
      <c r="D64" s="2" t="n"/>
      <c r="E64" s="2" t="n"/>
      <c r="F64" s="662" t="n"/>
      <c r="G64" s="662" t="n"/>
      <c r="H64" s="662" t="n"/>
      <c r="I64" s="662" t="n"/>
      <c r="J64" s="662" t="n"/>
      <c r="K64" s="662" t="n"/>
      <c r="L64" s="662" t="n">
        <v>553.6</v>
      </c>
      <c r="M64" s="662" t="n"/>
      <c r="N64" s="663">
        <f>N63+H64-L64</f>
        <v/>
      </c>
    </row>
    <row r="65" outlineLevel="1" ht="14.25" customHeight="1" s="654" thickBot="1">
      <c r="B65" s="552" t="n"/>
      <c r="C65" s="553" t="n"/>
      <c r="D65" s="553" t="n"/>
      <c r="E65" s="553" t="n"/>
      <c r="F65" s="670" t="n"/>
      <c r="G65" s="670" t="n"/>
      <c r="H65" s="555" t="n"/>
      <c r="I65" s="555" t="n"/>
      <c r="J65" s="555" t="n"/>
      <c r="K65" s="670" t="n"/>
      <c r="L65" s="671" t="n"/>
      <c r="M65" s="672" t="n"/>
      <c r="N65" s="673">
        <f>N64</f>
        <v/>
      </c>
    </row>
    <row r="66" outlineLevel="1" s="654">
      <c r="B66" s="661" t="n">
        <v>46093</v>
      </c>
      <c r="C66" s="4" t="n"/>
      <c r="D66" s="2" t="n"/>
      <c r="E66" s="2" t="n"/>
      <c r="F66" s="662" t="n"/>
      <c r="G66" s="662" t="n"/>
      <c r="H66" s="662" t="n"/>
      <c r="I66" s="662" t="n">
        <v>48000</v>
      </c>
      <c r="J66" s="662" t="n"/>
      <c r="L66" s="662" t="n">
        <v>612</v>
      </c>
      <c r="M66" s="662" t="n"/>
      <c r="N66" s="663">
        <f>N65+I66-L66</f>
        <v/>
      </c>
    </row>
    <row r="67" outlineLevel="1" s="654">
      <c r="B67" s="661" t="n">
        <v>46098</v>
      </c>
      <c r="C67" s="4" t="n"/>
      <c r="D67" s="2" t="n"/>
      <c r="E67" s="2" t="n"/>
      <c r="F67" s="662" t="n">
        <v>73089.83</v>
      </c>
      <c r="G67" s="662" t="n"/>
      <c r="H67" s="662" t="n"/>
      <c r="I67" s="662" t="n"/>
      <c r="J67" s="662" t="n"/>
      <c r="K67" s="662" t="n"/>
      <c r="L67" s="662" t="n"/>
      <c r="M67" s="662" t="n"/>
      <c r="N67" s="663">
        <f>N66+H67-L67</f>
        <v/>
      </c>
    </row>
    <row r="68" outlineLevel="1" s="654">
      <c r="B68" s="661" t="n">
        <v>46098</v>
      </c>
      <c r="C68" s="4" t="n">
        <v>1479.8</v>
      </c>
      <c r="D68" s="2">
        <f>-H68/F68</f>
        <v/>
      </c>
      <c r="E68" s="2" t="n">
        <v>2000000732</v>
      </c>
      <c r="F68" s="662" t="n">
        <v>-73064.83</v>
      </c>
      <c r="G68" s="662" t="n"/>
      <c r="H68" s="662" t="n">
        <v>502240.33</v>
      </c>
      <c r="I68" s="662" t="n"/>
      <c r="J68" s="662" t="n"/>
      <c r="K68" s="662" t="n">
        <v>25</v>
      </c>
      <c r="L68" s="662" t="n"/>
      <c r="M68" s="662" t="n"/>
      <c r="N68" s="663">
        <f>N67+H68-L68</f>
        <v/>
      </c>
    </row>
    <row r="69" outlineLevel="1" s="654">
      <c r="B69" s="661" t="n">
        <v>46102</v>
      </c>
      <c r="C69" s="4" t="n"/>
      <c r="D69" s="2" t="n"/>
      <c r="E69" s="2" t="n"/>
      <c r="F69" s="662" t="n"/>
      <c r="G69" s="662" t="n"/>
      <c r="H69" s="662" t="n"/>
      <c r="I69" s="662" t="n">
        <v>42.57</v>
      </c>
      <c r="J69" s="662" t="n">
        <v>6.154936095899111</v>
      </c>
      <c r="K69" s="662" t="n"/>
      <c r="L69" s="662" t="n"/>
      <c r="M69" s="662" t="n"/>
      <c r="N69" s="663">
        <f>N68+I69-L69</f>
        <v/>
      </c>
    </row>
    <row r="70" outlineLevel="1" s="654">
      <c r="B70" s="661" t="n">
        <v>46104</v>
      </c>
      <c r="C70" s="4" t="n"/>
      <c r="D70" s="2" t="n"/>
      <c r="E70" s="2" t="n"/>
      <c r="F70" s="662" t="n"/>
      <c r="G70" s="662" t="n"/>
      <c r="H70" s="662" t="n"/>
      <c r="I70" s="662" t="n"/>
      <c r="J70" s="662" t="n"/>
      <c r="K70" s="662" t="n"/>
      <c r="L70" s="674" t="n">
        <v>54848.29414619575</v>
      </c>
      <c r="M70" s="662" t="n"/>
      <c r="N70" s="663">
        <f>N69+I70-L70</f>
        <v/>
      </c>
    </row>
    <row r="71" outlineLevel="1" s="654">
      <c r="B71" s="661" t="n">
        <v>46104</v>
      </c>
      <c r="C71" s="4" t="n"/>
      <c r="D71" s="2" t="n"/>
      <c r="E71" s="2" t="n"/>
      <c r="F71" s="662" t="n"/>
      <c r="G71" s="662" t="n"/>
      <c r="H71" s="662" t="n"/>
      <c r="I71" s="662" t="n"/>
      <c r="J71" s="662" t="n"/>
      <c r="K71" s="662" t="n"/>
      <c r="L71" s="674" t="n">
        <v>142377.9858538042</v>
      </c>
      <c r="M71" s="662" t="n"/>
      <c r="N71" s="663">
        <f>N70+I71-L71</f>
        <v/>
      </c>
    </row>
    <row r="72" outlineLevel="1" s="654">
      <c r="B72" s="661" t="n">
        <v>46105</v>
      </c>
      <c r="C72" s="4" t="n"/>
      <c r="D72" s="2" t="n"/>
      <c r="E72" s="2" t="n"/>
      <c r="F72" s="662" t="n"/>
      <c r="G72" s="662" t="n"/>
      <c r="H72" s="662" t="n"/>
      <c r="I72" s="662" t="n"/>
      <c r="J72" s="662" t="n"/>
      <c r="K72" s="662" t="n"/>
      <c r="L72" s="662" t="n">
        <v>269648.75</v>
      </c>
      <c r="M72" s="662" t="n"/>
      <c r="N72" s="663">
        <f>N71+I72-L72</f>
        <v/>
      </c>
    </row>
    <row r="73" outlineLevel="1" ht="14.25" customHeight="1" s="654" thickBot="1">
      <c r="B73" s="552" t="n"/>
      <c r="C73" s="553" t="n"/>
      <c r="D73" s="553" t="n"/>
      <c r="E73" s="553" t="n"/>
      <c r="F73" s="670" t="n"/>
      <c r="G73" s="670" t="n"/>
      <c r="H73" s="555" t="n"/>
      <c r="I73" s="555" t="n"/>
      <c r="J73" s="555" t="n"/>
      <c r="K73" s="670" t="n"/>
      <c r="L73" s="671" t="n"/>
      <c r="M73" s="672" t="n"/>
      <c r="N73" s="673">
        <f>N72</f>
        <v/>
      </c>
    </row>
    <row r="74" outlineLevel="1" s="654">
      <c r="B74" s="661" t="n">
        <v>46128</v>
      </c>
      <c r="C74" s="4" t="n"/>
      <c r="D74" s="2" t="n"/>
      <c r="E74" s="2" t="n"/>
      <c r="F74" s="662" t="n">
        <v>55078.72</v>
      </c>
      <c r="G74" s="662" t="n"/>
      <c r="H74" s="662" t="n"/>
      <c r="I74" s="662" t="n"/>
      <c r="J74" s="662" t="n"/>
      <c r="K74" s="662" t="n"/>
      <c r="L74" s="662" t="n"/>
      <c r="M74" s="662" t="n"/>
      <c r="N74" s="663">
        <f>N73+H74-L74</f>
        <v/>
      </c>
    </row>
    <row r="75" outlineLevel="1" s="654">
      <c r="B75" s="661" t="n">
        <v>46128</v>
      </c>
      <c r="C75" s="4" t="n">
        <v>1479.8</v>
      </c>
      <c r="D75" s="2">
        <f>-H75/F75</f>
        <v/>
      </c>
      <c r="E75" s="2" t="n">
        <v>2000000992</v>
      </c>
      <c r="F75" s="662" t="n">
        <v>-55053.72</v>
      </c>
      <c r="G75" s="662" t="n"/>
      <c r="H75" s="662" t="n">
        <v>374695.62</v>
      </c>
      <c r="I75" s="662" t="n"/>
      <c r="J75" s="662" t="n"/>
      <c r="K75" s="662" t="n">
        <v>25</v>
      </c>
      <c r="L75" s="662" t="n"/>
      <c r="M75" s="662" t="n"/>
      <c r="N75" s="663">
        <f>N74+H75-L75</f>
        <v/>
      </c>
    </row>
    <row r="76" outlineLevel="1" s="654">
      <c r="B76" s="661" t="n">
        <v>46129</v>
      </c>
      <c r="C76" s="4" t="n"/>
      <c r="D76" s="2" t="n"/>
      <c r="E76" s="2" t="n"/>
      <c r="F76" s="662" t="n"/>
      <c r="G76" s="662" t="n"/>
      <c r="H76" s="662" t="n"/>
      <c r="I76" s="662" t="n"/>
      <c r="J76" s="662" t="n"/>
      <c r="K76" s="662" t="n"/>
      <c r="L76" s="662" t="n">
        <v>58139.61</v>
      </c>
      <c r="M76" s="662" t="n"/>
      <c r="N76" s="663">
        <f>N75+H76-L76</f>
        <v/>
      </c>
    </row>
    <row r="77" outlineLevel="1" s="654">
      <c r="B77" s="661" t="n">
        <v>46132</v>
      </c>
      <c r="C77" s="4" t="n"/>
      <c r="D77" s="2" t="n"/>
      <c r="E77" s="2" t="n"/>
      <c r="F77" s="662" t="n"/>
      <c r="G77" s="662" t="n"/>
      <c r="H77" s="662" t="n"/>
      <c r="I77" s="662" t="n"/>
      <c r="J77" s="662" t="n"/>
      <c r="L77" s="662" t="n">
        <v>20007.2</v>
      </c>
      <c r="M77" s="662" t="n"/>
      <c r="N77" s="663">
        <f>N76+H77-L77</f>
        <v/>
      </c>
    </row>
    <row r="78" outlineLevel="1" s="654">
      <c r="B78" s="661" t="n">
        <v>46135</v>
      </c>
      <c r="C78" s="4" t="n"/>
      <c r="D78" s="2" t="n"/>
      <c r="E78" s="2" t="n"/>
      <c r="F78" s="662" t="n"/>
      <c r="G78" s="662" t="n"/>
      <c r="H78" s="662" t="n"/>
      <c r="I78" s="662" t="n"/>
      <c r="J78" s="662" t="n"/>
      <c r="K78" s="662" t="n"/>
      <c r="L78" s="674" t="n">
        <v>60066.7</v>
      </c>
      <c r="M78" s="662" t="n"/>
      <c r="N78" s="663">
        <f>N77+H78-L78</f>
        <v/>
      </c>
    </row>
    <row r="79" outlineLevel="1" s="654">
      <c r="B79" s="661" t="n">
        <v>46135</v>
      </c>
      <c r="C79" s="4" t="n"/>
      <c r="D79" s="2" t="n"/>
      <c r="E79" s="2" t="n"/>
      <c r="F79" s="662" t="n"/>
      <c r="G79" s="662" t="n"/>
      <c r="H79" s="662" t="n"/>
      <c r="I79" s="662" t="n"/>
      <c r="J79" s="662" t="n"/>
      <c r="K79" s="662" t="n"/>
      <c r="L79" s="674" t="n">
        <v>257166.45</v>
      </c>
      <c r="M79" s="662" t="n"/>
      <c r="N79" s="663">
        <f>N78+H79-L79</f>
        <v/>
      </c>
    </row>
    <row r="80" outlineLevel="1" s="654">
      <c r="B80" s="661" t="n">
        <v>46136</v>
      </c>
      <c r="C80" s="4" t="n"/>
      <c r="D80" s="2" t="n"/>
      <c r="E80" s="2" t="n"/>
      <c r="F80" s="662" t="n"/>
      <c r="G80" s="662" t="n"/>
      <c r="H80" s="662" t="n"/>
      <c r="I80" s="662" t="n"/>
      <c r="J80" s="662" t="n"/>
      <c r="K80" s="662" t="n"/>
      <c r="L80" s="662" t="n">
        <v>35713.84</v>
      </c>
      <c r="M80" s="662" t="n"/>
      <c r="N80" s="663">
        <f>N79+H80-L80</f>
        <v/>
      </c>
    </row>
    <row r="81" outlineLevel="1" s="654">
      <c r="B81" s="661" t="n">
        <v>46137</v>
      </c>
      <c r="C81" s="4" t="n"/>
      <c r="D81" s="2" t="n"/>
      <c r="E81" s="2" t="n"/>
      <c r="F81" s="662" t="n"/>
      <c r="G81" s="662" t="n"/>
      <c r="H81" s="662" t="n"/>
      <c r="I81" s="662" t="n"/>
      <c r="J81" s="662" t="n"/>
      <c r="K81" s="662" t="n"/>
      <c r="L81" s="662" t="n">
        <v>80769.52000000002</v>
      </c>
      <c r="M81" s="662" t="n"/>
      <c r="N81" s="663">
        <f>N80+H81-L81</f>
        <v/>
      </c>
    </row>
    <row r="82" outlineLevel="1" ht="14.25" customHeight="1" s="654" thickBot="1">
      <c r="B82" s="552" t="n"/>
      <c r="C82" s="553" t="n"/>
      <c r="D82" s="553" t="n"/>
      <c r="E82" s="553" t="n"/>
      <c r="F82" s="670" t="n"/>
      <c r="G82" s="670" t="n"/>
      <c r="H82" s="555" t="n"/>
      <c r="I82" s="555" t="n"/>
      <c r="J82" s="555" t="n"/>
      <c r="K82" s="670" t="n"/>
      <c r="L82" s="671" t="n"/>
      <c r="M82" s="672" t="n"/>
      <c r="N82" s="673">
        <f>N81</f>
        <v/>
      </c>
    </row>
    <row r="83">
      <c r="B83" s="661" t="n">
        <v>46148</v>
      </c>
      <c r="C83" s="4" t="n"/>
      <c r="D83" s="2" t="n"/>
      <c r="E83" s="2" t="n"/>
      <c r="F83" s="662" t="n">
        <v>5226.93</v>
      </c>
      <c r="G83" s="662" t="n"/>
      <c r="H83" s="662" t="n"/>
      <c r="I83" s="662" t="n"/>
      <c r="J83" s="662" t="n"/>
      <c r="K83" s="662" t="n"/>
      <c r="L83" s="662" t="n"/>
      <c r="M83" s="662" t="n"/>
      <c r="N83" s="663">
        <f>N82+H83-L83</f>
        <v/>
      </c>
    </row>
    <row r="84">
      <c r="B84" s="661" t="n">
        <v>46148</v>
      </c>
      <c r="C84" s="4" t="n">
        <v>1473.1</v>
      </c>
      <c r="D84" s="2">
        <f>-H84/F84</f>
        <v/>
      </c>
      <c r="E84" s="2" t="n">
        <v>2000001199</v>
      </c>
      <c r="F84" s="662" t="n">
        <v>-5216.93</v>
      </c>
      <c r="G84" s="662" t="n"/>
      <c r="H84" s="662" t="n">
        <v>35488.17</v>
      </c>
      <c r="I84" s="662" t="n"/>
      <c r="J84" s="662" t="n"/>
      <c r="K84" s="662" t="n">
        <v>10</v>
      </c>
      <c r="L84" s="662" t="n"/>
      <c r="M84" s="662" t="n"/>
      <c r="N84" s="663">
        <f>N83+H84-L84</f>
        <v/>
      </c>
    </row>
    <row r="85">
      <c r="B85" s="661" t="n">
        <v>46148</v>
      </c>
      <c r="C85" s="4" t="n"/>
      <c r="D85" s="2" t="n"/>
      <c r="E85" s="2" t="n"/>
      <c r="F85" s="662" t="n"/>
      <c r="G85" s="662" t="n"/>
      <c r="H85" s="662" t="n"/>
      <c r="I85" s="662" t="n"/>
      <c r="J85" s="662" t="n"/>
      <c r="K85" s="662" t="n"/>
      <c r="L85" s="674" t="n">
        <v>1045.809964689035</v>
      </c>
      <c r="M85" s="662" t="n"/>
      <c r="N85" s="663">
        <f>N84+H85-L85</f>
        <v/>
      </c>
    </row>
    <row r="86">
      <c r="B86" s="661" t="n">
        <v>46154</v>
      </c>
      <c r="C86" s="4" t="n"/>
      <c r="D86" s="2" t="n"/>
      <c r="E86" s="2" t="n"/>
      <c r="F86" s="662" t="n"/>
      <c r="G86" s="662" t="n"/>
      <c r="H86" s="662" t="n"/>
      <c r="I86" s="662" t="n"/>
      <c r="J86" s="662" t="n"/>
      <c r="K86" s="662" t="n"/>
      <c r="L86" s="674" t="n">
        <v>18396.30003531097</v>
      </c>
      <c r="M86" s="662" t="n"/>
      <c r="N86" s="663">
        <f>N85+H86-L86</f>
        <v/>
      </c>
    </row>
    <row r="87">
      <c r="B87" s="661" t="n">
        <v>46160</v>
      </c>
      <c r="C87" s="4" t="n"/>
      <c r="D87" s="2" t="n"/>
      <c r="E87" s="2" t="n"/>
      <c r="F87" s="662" t="n">
        <v>59269.52</v>
      </c>
      <c r="G87" s="662" t="n"/>
      <c r="H87" s="662" t="n"/>
      <c r="I87" s="662" t="n"/>
      <c r="J87" s="662" t="n"/>
      <c r="K87" s="662" t="n"/>
      <c r="L87" s="662" t="n">
        <v>471.36</v>
      </c>
      <c r="M87" s="662" t="n"/>
      <c r="N87" s="663">
        <f>N86+H87-L87</f>
        <v/>
      </c>
    </row>
    <row r="88">
      <c r="B88" s="661" t="n">
        <v>46160</v>
      </c>
      <c r="C88" s="4" t="n">
        <v>1484.3</v>
      </c>
      <c r="D88" s="2">
        <f>-H88/F88</f>
        <v/>
      </c>
      <c r="E88" s="2" t="n">
        <v>2000001372</v>
      </c>
      <c r="F88" s="662" t="n">
        <v>-59244.52</v>
      </c>
      <c r="G88" s="662" t="n"/>
      <c r="H88" s="662" t="n">
        <v>402839.04</v>
      </c>
      <c r="I88" s="662" t="n"/>
      <c r="J88" s="662" t="n"/>
      <c r="K88" s="662" t="n">
        <v>25</v>
      </c>
      <c r="L88" s="662" t="n"/>
      <c r="M88" s="662" t="n"/>
      <c r="N88" s="663">
        <f>N87+H88-L88</f>
        <v/>
      </c>
    </row>
    <row r="89">
      <c r="B89" s="661" t="n">
        <v>46161</v>
      </c>
      <c r="C89" s="4" t="n"/>
      <c r="D89" s="2" t="n"/>
      <c r="E89" s="2" t="n"/>
      <c r="F89" s="560" t="n"/>
      <c r="G89" s="662" t="n"/>
      <c r="H89" s="560" t="n"/>
      <c r="I89" s="662" t="n"/>
      <c r="J89" s="662" t="n"/>
      <c r="K89" s="662" t="n"/>
      <c r="L89" s="674" t="n">
        <v>16620.50915614739</v>
      </c>
      <c r="M89" s="662" t="n"/>
      <c r="N89" s="663">
        <f>N88+H89-L89</f>
        <v/>
      </c>
    </row>
    <row r="90">
      <c r="B90" s="661" t="n">
        <v>46161</v>
      </c>
      <c r="C90" s="4" t="n"/>
      <c r="D90" s="2" t="n"/>
      <c r="E90" s="2" t="n"/>
      <c r="F90" s="561" t="n"/>
      <c r="G90" s="662" t="n"/>
      <c r="H90" s="560" t="n"/>
      <c r="I90" s="662" t="n"/>
      <c r="J90" s="662" t="n"/>
      <c r="K90" s="662" t="n"/>
      <c r="L90" s="674" t="n">
        <v>3386.69</v>
      </c>
      <c r="M90" s="662" t="n"/>
      <c r="N90" s="663">
        <f>N89+H90-L90</f>
        <v/>
      </c>
    </row>
    <row r="91">
      <c r="B91" s="661" t="n">
        <v>46165</v>
      </c>
      <c r="C91" s="4" t="n"/>
      <c r="D91" s="2" t="n"/>
      <c r="E91" s="2" t="n"/>
      <c r="F91" s="662" t="n"/>
      <c r="G91" s="662" t="n"/>
      <c r="H91" s="662" t="n"/>
      <c r="I91" s="662" t="n"/>
      <c r="J91" s="662" t="n"/>
      <c r="K91" s="662" t="n"/>
      <c r="L91" s="662" t="n">
        <v>381501.58</v>
      </c>
      <c r="M91" s="662" t="n"/>
      <c r="N91" s="663">
        <f>N90+H91-L91</f>
        <v/>
      </c>
    </row>
    <row r="92">
      <c r="B92" s="562" t="n"/>
      <c r="C92" s="563" t="n"/>
      <c r="D92" s="563" t="n"/>
      <c r="E92" s="563" t="n"/>
      <c r="F92" s="675" t="n"/>
      <c r="G92" s="675" t="n"/>
      <c r="H92" s="565" t="n"/>
      <c r="I92" s="565" t="n"/>
      <c r="J92" s="565" t="n"/>
      <c r="K92" s="675" t="n"/>
      <c r="L92" s="676" t="n"/>
      <c r="M92" s="677" t="n"/>
      <c r="N92" s="678">
        <f>N91</f>
        <v/>
      </c>
    </row>
    <row r="93">
      <c r="B93" s="679" t="n">
        <v>46189</v>
      </c>
      <c r="C93" s="569" t="n"/>
      <c r="D93" s="570" t="n"/>
      <c r="E93" s="570" t="n"/>
      <c r="F93" s="680" t="n">
        <v>74959.75</v>
      </c>
      <c r="G93" s="570" t="n"/>
      <c r="H93" s="570" t="n"/>
      <c r="I93" s="570" t="n"/>
      <c r="J93" s="570" t="n"/>
      <c r="K93" s="570" t="n"/>
      <c r="L93" s="570" t="n"/>
      <c r="M93" s="570" t="n"/>
      <c r="N93" s="663">
        <f>N92+H93-L93</f>
        <v/>
      </c>
    </row>
    <row r="94">
      <c r="B94" s="661" t="n">
        <v>46189</v>
      </c>
      <c r="C94" s="572" t="n">
        <v>1527</v>
      </c>
      <c r="D94" s="681">
        <f>-H94/F94</f>
        <v/>
      </c>
      <c r="E94" s="574" t="n">
        <v>2000001534</v>
      </c>
      <c r="F94" s="682" t="n">
        <v>-74934.75</v>
      </c>
      <c r="G94" s="574" t="n"/>
      <c r="H94" s="683" t="n">
        <v>505742.12</v>
      </c>
      <c r="I94" s="574" t="n"/>
      <c r="J94" s="574" t="n"/>
      <c r="K94" s="662" t="n">
        <v>25</v>
      </c>
      <c r="L94" s="574" t="n"/>
      <c r="M94" s="574" t="n"/>
      <c r="N94" s="663">
        <f>N93+H94-L94</f>
        <v/>
      </c>
    </row>
    <row r="95">
      <c r="B95" s="661" t="n">
        <v>46191</v>
      </c>
      <c r="C95" s="574" t="n"/>
      <c r="D95" s="574" t="n"/>
      <c r="E95" s="574" t="n"/>
      <c r="F95" s="574" t="n"/>
      <c r="G95" s="574" t="n"/>
      <c r="H95" s="574" t="n"/>
      <c r="I95" s="574" t="n"/>
      <c r="J95" s="574" t="n"/>
      <c r="K95" s="574" t="n"/>
      <c r="L95" s="684" t="n">
        <v>17950.74009256552</v>
      </c>
      <c r="M95" s="574" t="n"/>
      <c r="N95" s="663">
        <f>N94+H95-L95</f>
        <v/>
      </c>
    </row>
    <row r="96">
      <c r="B96" s="661" t="n">
        <v>46191</v>
      </c>
      <c r="C96" s="574" t="n"/>
      <c r="D96" s="574" t="n"/>
      <c r="E96" s="574" t="n"/>
      <c r="F96" s="574" t="n"/>
      <c r="G96" s="574" t="n"/>
      <c r="H96" s="574" t="n"/>
      <c r="I96" s="574" t="n"/>
      <c r="J96" s="574" t="n"/>
      <c r="K96" s="574" t="n"/>
      <c r="L96" s="684" t="n">
        <v>186438.4199074346</v>
      </c>
      <c r="M96" s="574" t="n"/>
      <c r="N96" s="663">
        <f>N95+H96-L96</f>
        <v/>
      </c>
    </row>
    <row r="97">
      <c r="B97" s="661" t="n">
        <v>46194</v>
      </c>
      <c r="C97" s="574" t="n"/>
      <c r="D97" s="574" t="n"/>
      <c r="E97" s="574" t="n"/>
      <c r="F97" s="574" t="n"/>
      <c r="G97" s="574" t="n"/>
      <c r="H97" s="574" t="n"/>
      <c r="I97" s="578" t="n">
        <v>5.298484255177322</v>
      </c>
      <c r="J97" s="578" t="n">
        <v>35.76</v>
      </c>
      <c r="K97" s="574" t="n"/>
      <c r="L97" s="574" t="n"/>
      <c r="M97" s="574" t="n"/>
      <c r="N97" s="663">
        <f>N96+J97-L97</f>
        <v/>
      </c>
    </row>
    <row r="98">
      <c r="B98" s="661" t="n">
        <v>46197</v>
      </c>
      <c r="C98" s="574" t="n"/>
      <c r="D98" s="574" t="n"/>
      <c r="E98" s="574" t="n"/>
      <c r="F98" s="574" t="n"/>
      <c r="G98" s="574" t="n"/>
      <c r="H98" s="574" t="n"/>
      <c r="I98" s="574" t="n"/>
      <c r="J98" s="574" t="n"/>
      <c r="K98" s="574" t="n"/>
      <c r="L98" s="683" t="n">
        <v>283930.95</v>
      </c>
      <c r="M98" s="574" t="n"/>
      <c r="N98" s="663">
        <f>N97+H98-L98</f>
        <v/>
      </c>
    </row>
    <row r="99" ht="14.25" customHeight="1" s="654" thickBot="1">
      <c r="B99" s="579" t="n"/>
      <c r="C99" s="580" t="n"/>
      <c r="D99" s="580" t="n"/>
      <c r="E99" s="580" t="n"/>
      <c r="F99" s="580" t="n"/>
      <c r="G99" s="580" t="n"/>
      <c r="H99" s="580" t="n"/>
      <c r="I99" s="580" t="n"/>
      <c r="J99" s="580" t="n"/>
      <c r="K99" s="580" t="n"/>
      <c r="L99" s="580" t="n"/>
      <c r="M99" s="580" t="n"/>
      <c r="N99" s="685">
        <f>N98</f>
        <v/>
      </c>
    </row>
  </sheetData>
  <mergeCells count="6">
    <mergeCell ref="C2:E2"/>
    <mergeCell ref="M2:N2"/>
    <mergeCell ref="K2:L2"/>
    <mergeCell ref="I2:J2"/>
    <mergeCell ref="F2:H2"/>
    <mergeCell ref="B2:B3"/>
  </mergeCells>
  <pageMargins left="0.7" right="0.7" top="0.75" bottom="0.75" header="0.3" footer="0.3"/>
  <pageSetup orientation="landscape" paperSize="9" scale="83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C105"/>
  <sheetViews>
    <sheetView showGridLines="0" zoomScaleNormal="100" workbookViewId="0">
      <pane ySplit="19" topLeftCell="A6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687" min="3" max="3"/>
    <col width="9.75" customWidth="1" style="687" min="4" max="4"/>
    <col width="12.125" customWidth="1" style="687" min="5" max="5"/>
    <col width="11.125" customWidth="1" style="687" min="6" max="6"/>
    <col width="9.875" customWidth="1" style="688" min="7" max="7"/>
    <col width="9.75" customWidth="1" style="687" min="8" max="8"/>
    <col width="9.875" customWidth="1" style="687" min="9" max="9"/>
    <col width="10.5" customWidth="1" style="688" min="10" max="10"/>
    <col width="11" customWidth="1" style="688" min="11" max="11"/>
    <col width="11.125" customWidth="1" style="687" min="12" max="12"/>
    <col width="9.75" customWidth="1" style="687" min="13" max="13"/>
    <col width="12.375" customWidth="1" style="687" min="14" max="14"/>
    <col width="9.875" customWidth="1" style="687" min="15" max="15"/>
    <col width="10.75" customWidth="1" style="687" min="16" max="16"/>
    <col width="9.625" customWidth="1" style="687" min="17" max="17"/>
    <col width="31.5" customWidth="1" style="688" min="18" max="18"/>
    <col width="10.5" bestFit="1" customWidth="1" style="39" min="19" max="19"/>
    <col width="9" customWidth="1" style="687" min="20" max="20"/>
    <col width="9" customWidth="1" style="689" min="21" max="21"/>
    <col width="9" customWidth="1" style="687" min="22" max="16384"/>
  </cols>
  <sheetData>
    <row r="1" ht="4.5" customHeight="1" s="654">
      <c r="A1" s="190" t="n"/>
      <c r="B1" s="690" t="n"/>
      <c r="C1" s="691" t="n"/>
      <c r="D1" s="691" t="n"/>
      <c r="E1" s="692" t="n"/>
      <c r="F1" s="692" t="n"/>
      <c r="G1" s="693" t="n"/>
      <c r="H1" s="692" t="n"/>
      <c r="I1" s="692" t="n"/>
      <c r="J1" s="694" t="n"/>
      <c r="K1" s="694" t="n"/>
      <c r="L1" s="692" t="n"/>
      <c r="M1" s="695" t="n"/>
      <c r="N1" s="695" t="n"/>
      <c r="O1" s="691" t="n"/>
      <c r="P1" s="696" t="n"/>
      <c r="Q1" s="696" t="n"/>
      <c r="R1" s="697" t="n"/>
      <c r="S1" s="200" t="n"/>
    </row>
    <row r="2" ht="15" customFormat="1" customHeight="1" s="698">
      <c r="A2" s="203" t="n"/>
      <c r="B2" s="699" t="inlineStr">
        <is>
          <t>▶ 25년 1월 전도금 정산 내역 (심천지사)_4000061 (B2F590)</t>
        </is>
      </c>
      <c r="C2" s="700" t="n"/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703" t="n"/>
      <c r="L2" s="702" t="n"/>
      <c r="M2" s="702" t="n"/>
      <c r="N2" s="704" t="n"/>
      <c r="O2" s="705" t="n"/>
      <c r="Q2" s="702" t="n"/>
      <c r="R2" s="688" t="n"/>
      <c r="S2" s="39" t="n"/>
      <c r="T2" s="687" t="n"/>
      <c r="U2" s="689" t="n"/>
      <c r="V2" s="687" t="n"/>
      <c r="W2" s="687" t="n"/>
      <c r="X2" s="687" t="n"/>
    </row>
    <row r="3" ht="11.25" customFormat="1" customHeight="1" s="706">
      <c r="A3" s="26" t="n"/>
      <c r="B3" s="707" t="inlineStr">
        <is>
          <t>24년 12월 송금_1,433.2(#)</t>
        </is>
      </c>
      <c r="C3" s="708" t="n"/>
      <c r="D3" s="708" t="n"/>
      <c r="E3" s="708" t="n"/>
      <c r="F3" s="184" t="n">
        <v>1433.2</v>
      </c>
      <c r="G3" s="709" t="n"/>
      <c r="H3" s="707" t="inlineStr">
        <is>
          <t>25년 1월 송금_1458.2(#)</t>
        </is>
      </c>
      <c r="I3" s="708" t="n"/>
      <c r="K3" s="710" t="n"/>
      <c r="L3" s="184" t="n">
        <v>1458.2</v>
      </c>
      <c r="N3" s="707" t="inlineStr">
        <is>
          <t>25년 1월 2차 송금_1,434.30 (#)</t>
        </is>
      </c>
      <c r="O3" s="708" t="n"/>
      <c r="Q3" s="710" t="n"/>
      <c r="R3" s="184" t="n">
        <v>1434.3</v>
      </c>
      <c r="T3" s="707" t="n"/>
      <c r="U3" s="708" t="n"/>
      <c r="V3" s="710" t="n"/>
      <c r="W3" s="710" t="n"/>
      <c r="X3" s="711" t="n">
        <v>1327.2</v>
      </c>
    </row>
    <row r="4" ht="11.25" customHeight="1" s="654">
      <c r="A4" s="190" t="n"/>
      <c r="B4" s="712" t="inlineStr">
        <is>
          <t>대계정</t>
        </is>
      </c>
      <c r="C4" s="713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12" t="inlineStr">
        <is>
          <t>대계정</t>
        </is>
      </c>
      <c r="O4" s="713" t="inlineStr">
        <is>
          <t>소계정</t>
        </is>
      </c>
      <c r="P4" s="716" t="inlineStr">
        <is>
          <t>금액 (CNY)</t>
        </is>
      </c>
      <c r="Q4" s="717" t="inlineStr">
        <is>
          <t>금액 (USD)</t>
        </is>
      </c>
      <c r="R4" s="715" t="inlineStr">
        <is>
          <t>금액 (KRW)</t>
        </is>
      </c>
      <c r="T4" s="698" t="n"/>
      <c r="U4" s="698" t="n"/>
      <c r="V4" s="698" t="n"/>
      <c r="W4" s="698" t="n"/>
      <c r="X4" s="698" t="n"/>
      <c r="Y4" s="698" t="n"/>
      <c r="Z4" s="698" t="n"/>
      <c r="AA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/>
      <c r="E5" s="722" t="n"/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>
        <v>30124.08</v>
      </c>
      <c r="K5" s="726" t="n">
        <v>4115.82</v>
      </c>
      <c r="L5" s="723">
        <f>ROUND(K5*$L$3,0)</f>
        <v/>
      </c>
      <c r="M5" s="727">
        <f>L5+F5</f>
        <v/>
      </c>
      <c r="N5" s="725" t="inlineStr">
        <is>
          <t>업무추진비</t>
        </is>
      </c>
      <c r="O5" s="725" t="inlineStr">
        <is>
          <t>일반</t>
        </is>
      </c>
      <c r="P5" s="726" t="n"/>
      <c r="Q5" s="726" t="n"/>
      <c r="R5" s="723">
        <f>ROUND(Q5*$R$3,0)</f>
        <v/>
      </c>
      <c r="S5" s="728">
        <f>F5+L5+R5</f>
        <v/>
      </c>
      <c r="T5" s="698" t="n"/>
      <c r="U5" s="698" t="n"/>
      <c r="V5" s="698" t="n"/>
      <c r="W5" s="698" t="n"/>
      <c r="X5" s="698" t="n"/>
      <c r="Y5" s="698" t="n"/>
      <c r="Z5" s="698" t="n"/>
      <c r="AA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>
        <v>1600</v>
      </c>
      <c r="E6" s="721" t="n">
        <v>220.27</v>
      </c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23408.08</v>
      </c>
      <c r="K6" s="726" t="n">
        <v>3198.22</v>
      </c>
      <c r="L6" s="723">
        <f>ROUND(K6*$L$3,0)</f>
        <v/>
      </c>
      <c r="M6" s="727">
        <f>L6+F6</f>
        <v/>
      </c>
      <c r="N6" s="725" t="inlineStr">
        <is>
          <t>여비교통비</t>
        </is>
      </c>
      <c r="O6" s="725" t="inlineStr">
        <is>
          <t>해외</t>
        </is>
      </c>
      <c r="P6" s="726" t="n"/>
      <c r="Q6" s="726" t="n"/>
      <c r="R6" s="723">
        <f>ROUND(Q6*$R$3,0)</f>
        <v/>
      </c>
      <c r="S6" s="728">
        <f>F6+L6+R6</f>
        <v/>
      </c>
      <c r="T6" s="698" t="n"/>
      <c r="U6" s="698" t="n"/>
      <c r="V6" s="698" t="n"/>
      <c r="W6" s="698" t="n"/>
      <c r="X6" s="698" t="n"/>
      <c r="Y6" s="698" t="n"/>
      <c r="Z6" s="698" t="n"/>
      <c r="AA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24455</v>
      </c>
      <c r="E7" s="721" t="n">
        <v>3366.74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/>
      <c r="K7" s="726" t="n"/>
      <c r="L7" s="723">
        <f>ROUND(K7*$L$3,0)</f>
        <v/>
      </c>
      <c r="M7" s="727">
        <f>L7+F7</f>
        <v/>
      </c>
      <c r="N7" s="725" t="inlineStr">
        <is>
          <t>지급임차료</t>
        </is>
      </c>
      <c r="O7" s="725" t="inlineStr">
        <is>
          <t>사무실임차료</t>
        </is>
      </c>
      <c r="P7" s="726" t="n"/>
      <c r="Q7" s="726" t="n"/>
      <c r="R7" s="723">
        <f>ROUND(Q7*$R$3,0)</f>
        <v/>
      </c>
      <c r="S7" s="728">
        <f>F7+L7+R7</f>
        <v/>
      </c>
      <c r="T7" s="698" t="n"/>
      <c r="U7" s="698" t="n"/>
      <c r="V7" s="698" t="n"/>
      <c r="W7" s="698" t="n"/>
      <c r="X7" s="698" t="n"/>
      <c r="Y7" s="698" t="n"/>
      <c r="Z7" s="698" t="n"/>
      <c r="AA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>
        <v>8307.639999999999</v>
      </c>
      <c r="E8" s="721" t="n">
        <v>1143.72</v>
      </c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>
        <v>9192.360000000001</v>
      </c>
      <c r="K8" s="726" t="n">
        <v>1255.94</v>
      </c>
      <c r="L8" s="723">
        <f>ROUND(K8*$L$3,0)</f>
        <v/>
      </c>
      <c r="M8" s="727">
        <f>L8+F8</f>
        <v/>
      </c>
      <c r="N8" s="725" t="inlineStr">
        <is>
          <t>지급임차료</t>
        </is>
      </c>
      <c r="O8" s="720" t="inlineStr">
        <is>
          <t>차량임차료</t>
        </is>
      </c>
      <c r="P8" s="726" t="n"/>
      <c r="Q8" s="726" t="n"/>
      <c r="R8" s="723">
        <f>ROUND(Q8*$R$3,0)</f>
        <v/>
      </c>
      <c r="S8" s="728">
        <f>F8+L8+R8</f>
        <v/>
      </c>
      <c r="T8" s="698" t="n"/>
      <c r="U8" s="698" t="n"/>
      <c r="V8" s="698" t="n"/>
      <c r="W8" s="698" t="n"/>
      <c r="X8" s="698" t="n"/>
      <c r="Y8" s="698" t="n"/>
      <c r="Z8" s="698" t="n"/>
      <c r="AA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/>
      <c r="E9" s="721" t="n"/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1412.84</v>
      </c>
      <c r="K9" s="726" t="n">
        <v>193.03</v>
      </c>
      <c r="L9" s="723">
        <f>ROUND(K9*$L$3,0)</f>
        <v/>
      </c>
      <c r="M9" s="727">
        <f>L9+F9</f>
        <v/>
      </c>
      <c r="N9" s="725" t="inlineStr">
        <is>
          <t>통신비</t>
        </is>
      </c>
      <c r="O9" s="720" t="inlineStr">
        <is>
          <t>기타</t>
        </is>
      </c>
      <c r="P9" s="726" t="n"/>
      <c r="Q9" s="726" t="n"/>
      <c r="R9" s="723">
        <f>ROUND(Q9*$R$3,0)</f>
        <v/>
      </c>
      <c r="S9" s="728">
        <f>F9+L9+R9</f>
        <v/>
      </c>
      <c r="T9" s="698" t="n"/>
      <c r="U9" s="698" t="n"/>
      <c r="V9" s="698" t="n"/>
      <c r="W9" s="698" t="n"/>
      <c r="X9" s="698" t="n"/>
      <c r="Y9" s="698" t="n"/>
      <c r="Z9" s="698" t="n"/>
      <c r="AA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43977.02999999999</v>
      </c>
      <c r="E10" s="721" t="n">
        <v>6054.36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331930.54</v>
      </c>
      <c r="K10" s="726" t="n">
        <v>45402.28</v>
      </c>
      <c r="L10" s="723">
        <f>ROUND(K10*$L$3,0)</f>
        <v/>
      </c>
      <c r="M10" s="727">
        <f>L10+F10</f>
        <v/>
      </c>
      <c r="N10" s="725" t="inlineStr">
        <is>
          <t>해외지사비</t>
        </is>
      </c>
      <c r="O10" s="725" t="n"/>
      <c r="P10" s="726" t="n"/>
      <c r="Q10" s="726" t="n"/>
      <c r="R10" s="723">
        <f>ROUND(Q10*$R$3,0)</f>
        <v/>
      </c>
      <c r="S10" s="728">
        <f>F10+L10+R10</f>
        <v/>
      </c>
      <c r="T10" s="698" t="n"/>
      <c r="U10" s="698" t="n"/>
      <c r="V10" s="698" t="n"/>
      <c r="W10" s="698" t="n"/>
      <c r="X10" s="698" t="n"/>
      <c r="Y10" s="698" t="n"/>
      <c r="Z10" s="698" t="n"/>
      <c r="AA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733" t="inlineStr">
        <is>
          <t>성과급여조정</t>
        </is>
      </c>
      <c r="D11" s="733" t="n"/>
      <c r="E11" s="734" t="n"/>
      <c r="F11" s="735">
        <f>ROUND(E11*$F$3,0)</f>
        <v/>
      </c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738" t="n"/>
      <c r="L11" s="739">
        <f>ROUND(K11*$L$3,0)</f>
        <v/>
      </c>
      <c r="M11" s="727">
        <f>L11+F11</f>
        <v/>
      </c>
      <c r="N11" s="733" t="inlineStr">
        <is>
          <t>급여(incentive)</t>
        </is>
      </c>
      <c r="O11" s="733" t="inlineStr">
        <is>
          <t>포상금</t>
        </is>
      </c>
      <c r="P11" s="737" t="n"/>
      <c r="Q11" s="738" t="n">
        <v>36</v>
      </c>
      <c r="R11" s="739">
        <f>ROUND(Q11*$R$3,0)</f>
        <v/>
      </c>
      <c r="S11" s="728">
        <f>F11+L11+R11</f>
        <v/>
      </c>
      <c r="T11" s="698" t="n"/>
      <c r="U11" s="698" t="n"/>
      <c r="V11" s="698" t="n"/>
      <c r="W11" s="698" t="n"/>
      <c r="X11" s="698" t="n"/>
      <c r="Y11" s="698" t="n"/>
      <c r="Z11" s="698" t="n"/>
      <c r="AA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5" t="inlineStr">
        <is>
          <t>(-)잡이익</t>
        </is>
      </c>
      <c r="D12" s="151" t="n"/>
      <c r="E12" s="721" t="n"/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721" t="n"/>
      <c r="L12" s="723">
        <f>ROUND(K12*$L$3,0)</f>
        <v/>
      </c>
      <c r="M12" s="727">
        <f>L12+F12</f>
        <v/>
      </c>
      <c r="N12" s="725" t="inlineStr">
        <is>
          <t>(-)잡이익(50)</t>
        </is>
      </c>
      <c r="O12" s="725" t="inlineStr">
        <is>
          <t>(-)잡이익</t>
        </is>
      </c>
      <c r="P12" s="741" t="n"/>
      <c r="Q12" s="721" t="n"/>
      <c r="R12" s="723">
        <f>ROUND(Q12*$R$3,0)</f>
        <v/>
      </c>
      <c r="S12" s="728">
        <f>F12+L12+R12</f>
        <v/>
      </c>
      <c r="T12" s="698" t="n"/>
      <c r="U12" s="698" t="n"/>
      <c r="V12" s="698" t="n"/>
      <c r="W12" s="698" t="n"/>
      <c r="X12" s="698" t="n"/>
      <c r="Y12" s="698" t="n"/>
      <c r="Z12" s="698" t="n"/>
      <c r="AA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743" t="n"/>
      <c r="D13" s="744">
        <f>SUM(D5:D11)-D12</f>
        <v/>
      </c>
      <c r="E13" s="744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44">
        <f>SUM(K5:K11)-K12</f>
        <v/>
      </c>
      <c r="L13" s="745">
        <f>SUM(L5:L11)-L12</f>
        <v/>
      </c>
      <c r="M13" s="727">
        <f>L13+F13</f>
        <v/>
      </c>
      <c r="N13" s="742" t="inlineStr">
        <is>
          <t>Total</t>
        </is>
      </c>
      <c r="O13" s="743" t="n"/>
      <c r="P13" s="744">
        <f>SUM(P5:P11)-P12</f>
        <v/>
      </c>
      <c r="Q13" s="744">
        <f>SUM(Q5:Q11)-Q12</f>
        <v/>
      </c>
      <c r="R13" s="745">
        <f>SUM(R5:R11)-R12</f>
        <v/>
      </c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90" t="n"/>
      <c r="C14" s="700" t="n"/>
      <c r="D14" s="751">
        <f>SUM(D7:D10)</f>
        <v/>
      </c>
      <c r="E14" s="751">
        <f>SUM(E7:E10)</f>
        <v/>
      </c>
      <c r="F14" s="751">
        <f>SUM(F7:F10)</f>
        <v/>
      </c>
      <c r="G14" s="752" t="n"/>
      <c r="J14" s="753">
        <f>J13+D13+P13</f>
        <v/>
      </c>
      <c r="K14" s="753">
        <f>K13+E13+Q13</f>
        <v/>
      </c>
      <c r="L14" s="754">
        <f>L13+F13+R13</f>
        <v/>
      </c>
      <c r="M14" s="755">
        <f>M16-E12</f>
        <v/>
      </c>
      <c r="O14" s="702" t="n"/>
      <c r="P14" s="748">
        <f>P13+D13+J13</f>
        <v/>
      </c>
      <c r="Q14" s="748">
        <f>Q13+E13+K13</f>
        <v/>
      </c>
      <c r="R14" s="756">
        <f>R13+F13+L13</f>
        <v/>
      </c>
      <c r="X14" s="702" t="n"/>
      <c r="Y14" s="702" t="n"/>
      <c r="AB14" s="702" t="n"/>
      <c r="AC14" s="688" t="n"/>
    </row>
    <row r="15" ht="14.25" customHeight="1" s="654">
      <c r="A15" s="190" t="n"/>
      <c r="C15" s="700" t="n"/>
      <c r="D15" s="751" t="n"/>
      <c r="E15" s="751" t="n"/>
      <c r="F15" s="751" t="n"/>
      <c r="G15" s="752" t="n"/>
      <c r="K15" s="755">
        <f>K16-H85</f>
        <v/>
      </c>
      <c r="L15" s="755" t="n"/>
      <c r="M15" s="755">
        <f>M16-J85</f>
        <v/>
      </c>
      <c r="O15" s="702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 thickBot="1">
      <c r="A16" s="190" t="n"/>
      <c r="C16" s="700" t="n"/>
      <c r="D16" s="700" t="n"/>
      <c r="E16" s="757" t="n"/>
      <c r="F16" s="757" t="n"/>
      <c r="G16" s="752" t="n"/>
      <c r="I16" s="702" t="n"/>
      <c r="J16" s="703" t="n"/>
      <c r="K16" s="758">
        <f>SUBTOTAL(9,K19:K103)</f>
        <v/>
      </c>
      <c r="L16" s="759" t="n"/>
      <c r="M16" s="758">
        <f>SUBTOTAL(9,M19:M103)</f>
        <v/>
      </c>
      <c r="N16" s="702" t="n"/>
      <c r="Q16" s="702" t="n"/>
    </row>
    <row r="17" ht="11.25" customHeight="1" s="654">
      <c r="A17" s="190" t="n"/>
      <c r="B17" s="760" t="inlineStr">
        <is>
          <t>날짜</t>
        </is>
      </c>
      <c r="C17" s="761" t="inlineStr">
        <is>
          <t>내역</t>
        </is>
      </c>
      <c r="D17" s="761" t="inlineStr">
        <is>
          <t>담당자</t>
        </is>
      </c>
      <c r="E17" s="762" t="inlineStr">
        <is>
          <t>증빙번호</t>
        </is>
      </c>
      <c r="F17" s="763" t="inlineStr">
        <is>
          <t>대계정</t>
        </is>
      </c>
      <c r="G17" s="764" t="inlineStr">
        <is>
          <t>소계정</t>
        </is>
      </c>
      <c r="H17" s="765" t="inlineStr">
        <is>
          <t>입금</t>
        </is>
      </c>
      <c r="I17" s="766" t="n"/>
      <c r="J17" s="766" t="n"/>
      <c r="K17" s="765" t="inlineStr">
        <is>
          <t>출금</t>
        </is>
      </c>
      <c r="L17" s="766" t="n"/>
      <c r="M17" s="766" t="n"/>
      <c r="N17" s="767" t="inlineStr">
        <is>
          <t>잔액</t>
        </is>
      </c>
      <c r="O17" s="768" t="n"/>
      <c r="P17" s="769" t="n"/>
      <c r="Q17" s="770" t="n"/>
      <c r="R17" s="771" t="inlineStr">
        <is>
          <t>항목</t>
        </is>
      </c>
    </row>
    <row r="18" ht="11.25" customHeight="1" s="654">
      <c r="A18" s="190" t="n"/>
      <c r="B18" s="772" t="inlineStr">
        <is>
          <t>날짜</t>
        </is>
      </c>
      <c r="C18" s="773" t="inlineStr">
        <is>
          <t>내역</t>
        </is>
      </c>
      <c r="D18" s="773" t="inlineStr">
        <is>
          <t>담당자</t>
        </is>
      </c>
      <c r="E18" s="774" t="inlineStr">
        <is>
          <t>증빙번호</t>
        </is>
      </c>
      <c r="F18" s="775" t="inlineStr">
        <is>
          <t>대계정</t>
        </is>
      </c>
      <c r="G18" s="776" t="inlineStr">
        <is>
          <t>소계정</t>
        </is>
      </c>
      <c r="H18" s="777" t="inlineStr">
        <is>
          <t>CNY</t>
        </is>
      </c>
      <c r="I18" s="777" t="inlineStr">
        <is>
          <t>환산요율</t>
        </is>
      </c>
      <c r="J18" s="778" t="inlineStr">
        <is>
          <t>USD</t>
        </is>
      </c>
      <c r="K18" s="778" t="inlineStr">
        <is>
          <t>CNY</t>
        </is>
      </c>
      <c r="L18" s="777" t="inlineStr">
        <is>
          <t>환산요율</t>
        </is>
      </c>
      <c r="M18" s="779" t="inlineStr">
        <is>
          <t>USD</t>
        </is>
      </c>
      <c r="N18" s="780" t="inlineStr">
        <is>
          <t>CNY</t>
        </is>
      </c>
      <c r="O18" s="781" t="inlineStr">
        <is>
          <t>USD</t>
        </is>
      </c>
      <c r="P18" s="782" t="inlineStr">
        <is>
          <t>비고</t>
        </is>
      </c>
      <c r="R18" s="783" t="inlineStr">
        <is>
          <t>항목</t>
        </is>
      </c>
    </row>
    <row r="19" ht="11.25" customHeight="1" s="654">
      <c r="B19" s="784" t="n">
        <v>45657</v>
      </c>
      <c r="C19" s="785" t="n"/>
      <c r="D19" s="785" t="n"/>
      <c r="E19" s="786" t="n"/>
      <c r="F19" s="787" t="n"/>
      <c r="G19" s="788" t="n"/>
      <c r="H19" s="789" t="n"/>
      <c r="I19" s="785" t="n"/>
      <c r="J19" s="788" t="n"/>
      <c r="K19" s="790" t="n"/>
      <c r="L19" s="791" t="n"/>
      <c r="M19" s="792" t="n"/>
      <c r="N19" s="793" t="n">
        <v>78313.10000000014</v>
      </c>
      <c r="O19" s="793" t="n">
        <v>10785.09237817979</v>
      </c>
      <c r="P19" s="794" t="n"/>
      <c r="Q19" s="786" t="n"/>
      <c r="R19" s="795" t="n"/>
      <c r="S19" s="796" t="n">
        <v>10785.09131592681</v>
      </c>
    </row>
    <row r="20" ht="12" customFormat="1" customHeight="1" s="689">
      <c r="A20" s="80" t="n"/>
      <c r="B20" s="797" t="n">
        <v>45667</v>
      </c>
      <c r="C20" s="144" t="inlineStr">
        <is>
          <t>4분기 세금 비용</t>
        </is>
      </c>
      <c r="D20" s="185" t="n"/>
      <c r="E20" s="186" t="n">
        <v>1</v>
      </c>
      <c r="F20" s="186" t="inlineStr">
        <is>
          <t>해외지사비</t>
        </is>
      </c>
      <c r="G20" s="82" t="n"/>
      <c r="H20" s="187" t="n"/>
      <c r="I20" s="798" t="n"/>
      <c r="J20" s="187" t="n"/>
      <c r="K20" s="799" t="n">
        <v>42812.63</v>
      </c>
      <c r="L20" s="800">
        <f>'[2]통장내역(환율표)'!$D$238</f>
        <v/>
      </c>
      <c r="M20" s="801">
        <f>K20/L20</f>
        <v/>
      </c>
      <c r="N20" s="802">
        <f>N19+H20-K20</f>
        <v/>
      </c>
      <c r="O20" s="802">
        <f>O19+J20-M20</f>
        <v/>
      </c>
      <c r="P20" s="803" t="inlineStr">
        <is>
          <t>12월 송금</t>
        </is>
      </c>
      <c r="Q20" s="804" t="n"/>
      <c r="R20" s="804" t="n"/>
      <c r="S20" s="805">
        <f>S19-M20</f>
        <v/>
      </c>
      <c r="T20" s="687" t="n"/>
      <c r="V20" s="687" t="n"/>
      <c r="W20" s="687" t="n"/>
      <c r="X20" s="687" t="n"/>
      <c r="Y20" s="687" t="n"/>
      <c r="Z20" s="687" t="n"/>
      <c r="AA20" s="687" t="n"/>
      <c r="AB20" s="687" t="n"/>
      <c r="AC20" s="687" t="n"/>
    </row>
    <row r="21" ht="12" customFormat="1" customHeight="1" s="689">
      <c r="A21" s="80" t="n"/>
      <c r="B21" s="806" t="n">
        <v>45670</v>
      </c>
      <c r="C21" s="216" t="inlineStr">
        <is>
          <t>USD입금 and RMB 환전</t>
        </is>
      </c>
      <c r="D21" s="217" t="n"/>
      <c r="E21" s="218" t="n">
        <v>2</v>
      </c>
      <c r="F21" s="218" t="n"/>
      <c r="G21" s="219" t="n"/>
      <c r="H21" s="220" t="n">
        <v>473948.32</v>
      </c>
      <c r="I21" s="807" t="n"/>
      <c r="J21" s="220" t="n">
        <v>64806</v>
      </c>
      <c r="K21" s="808" t="n"/>
      <c r="L21" s="809" t="n"/>
      <c r="M21" s="810" t="n"/>
      <c r="N21" s="810">
        <f>N20+H21-K21</f>
        <v/>
      </c>
      <c r="O21" s="810">
        <f>O20+J21-M21</f>
        <v/>
      </c>
      <c r="P21" s="811" t="n"/>
      <c r="Q21" s="812" t="n"/>
      <c r="R21" s="812" t="n"/>
      <c r="S21" s="805" t="n"/>
      <c r="T21" s="687" t="n"/>
      <c r="V21" s="687" t="n"/>
      <c r="W21" s="687" t="n"/>
      <c r="X21" s="687" t="n"/>
      <c r="Y21" s="687" t="n"/>
      <c r="Z21" s="687" t="n"/>
      <c r="AA21" s="687" t="n"/>
      <c r="AB21" s="687" t="n"/>
      <c r="AC21" s="687" t="n"/>
    </row>
    <row r="22" ht="12" customFormat="1" customHeight="1" s="689">
      <c r="A22" s="80" t="n"/>
      <c r="B22" s="806" t="n">
        <v>45670</v>
      </c>
      <c r="C22" s="216" t="inlineStr">
        <is>
          <t>은행수수료</t>
        </is>
      </c>
      <c r="D22" s="217" t="n"/>
      <c r="E22" s="218" t="n">
        <v>2</v>
      </c>
      <c r="F22" s="226" t="inlineStr">
        <is>
          <t>해외지사비</t>
        </is>
      </c>
      <c r="G22" s="219" t="n"/>
      <c r="H22" s="220" t="n"/>
      <c r="I22" s="807" t="n"/>
      <c r="J22" s="220" t="n"/>
      <c r="K22" s="808" t="n"/>
      <c r="L22" s="809" t="n"/>
      <c r="M22" s="810" t="n">
        <v>51</v>
      </c>
      <c r="N22" s="810">
        <f>N21+H22-K22</f>
        <v/>
      </c>
      <c r="O22" s="810">
        <f>O21+J22-M22</f>
        <v/>
      </c>
      <c r="P22" s="811" t="n"/>
      <c r="Q22" s="812" t="n"/>
      <c r="R22" s="812" t="n"/>
      <c r="S22" s="805" t="n"/>
      <c r="T22" s="687" t="n"/>
      <c r="V22" s="687" t="n"/>
      <c r="W22" s="687" t="n"/>
      <c r="X22" s="687" t="n"/>
      <c r="Y22" s="687" t="n"/>
      <c r="Z22" s="687" t="n"/>
      <c r="AA22" s="687" t="n"/>
      <c r="AB22" s="687" t="n"/>
      <c r="AC22" s="687" t="n"/>
    </row>
    <row r="23" ht="11.25" customFormat="1" customHeight="1" s="688">
      <c r="A23" s="80" t="n"/>
      <c r="B23" s="797" t="n">
        <v>45672</v>
      </c>
      <c r="C23" s="144" t="inlineStr">
        <is>
          <t>DB HITEK조회확인서 수수료</t>
        </is>
      </c>
      <c r="D23" s="185" t="n"/>
      <c r="E23" s="188" t="n">
        <v>3</v>
      </c>
      <c r="F23" s="186" t="inlineStr">
        <is>
          <t>해외지사비</t>
        </is>
      </c>
      <c r="G23" s="82" t="n"/>
      <c r="H23" s="187" t="n"/>
      <c r="I23" s="798" t="n"/>
      <c r="J23" s="187" t="n"/>
      <c r="K23" s="799" t="n">
        <v>140</v>
      </c>
      <c r="L23" s="800">
        <f>'[2]통장내역(환율표)'!$D$238</f>
        <v/>
      </c>
      <c r="M23" s="801">
        <f>K23/L23</f>
        <v/>
      </c>
      <c r="N23" s="802">
        <f>N22+H23-K23</f>
        <v/>
      </c>
      <c r="O23" s="802">
        <f>O22+J23-M23</f>
        <v/>
      </c>
      <c r="P23" s="803" t="inlineStr">
        <is>
          <t>12월 송금</t>
        </is>
      </c>
      <c r="Q23" s="804" t="n"/>
      <c r="R23" s="804" t="n"/>
      <c r="S23" s="805">
        <f>S20-M23</f>
        <v/>
      </c>
      <c r="T23" s="687" t="n"/>
      <c r="U23" s="689" t="n"/>
      <c r="V23" s="687" t="n"/>
      <c r="W23" s="687" t="n"/>
      <c r="X23" s="687" t="n"/>
      <c r="Y23" s="687" t="n"/>
      <c r="Z23" s="687" t="n"/>
      <c r="AA23" s="687" t="n"/>
      <c r="AB23" s="687" t="n"/>
      <c r="AC23" s="687" t="n"/>
    </row>
    <row r="24" ht="11.25" customFormat="1" customHeight="1" s="688">
      <c r="A24" s="80" t="n"/>
      <c r="B24" s="797" t="n">
        <v>45672</v>
      </c>
      <c r="C24" s="144" t="inlineStr">
        <is>
          <t>사무실 임대료/전기세 관련</t>
        </is>
      </c>
      <c r="D24" s="185" t="n"/>
      <c r="E24" s="188" t="n">
        <v>4</v>
      </c>
      <c r="F24" s="186" t="inlineStr">
        <is>
          <t>지급임차료</t>
        </is>
      </c>
      <c r="G24" s="82" t="inlineStr">
        <is>
          <t>사무실</t>
        </is>
      </c>
      <c r="H24" s="187" t="n"/>
      <c r="I24" s="798" t="n"/>
      <c r="J24" s="187" t="n"/>
      <c r="K24" s="799" t="n">
        <v>24455</v>
      </c>
      <c r="L24" s="800">
        <f>'[2]통장내역(환율표)'!$D$238</f>
        <v/>
      </c>
      <c r="M24" s="801">
        <f>K24/L24</f>
        <v/>
      </c>
      <c r="N24" s="802">
        <f>N23+H24-K24</f>
        <v/>
      </c>
      <c r="O24" s="802">
        <f>O23+J24-M24</f>
        <v/>
      </c>
      <c r="P24" s="803" t="inlineStr">
        <is>
          <t>12월 송금</t>
        </is>
      </c>
      <c r="Q24" s="804" t="n"/>
      <c r="R24" s="804" t="n"/>
      <c r="S24" s="805">
        <f>S23-M24</f>
        <v/>
      </c>
      <c r="T24" s="687" t="n"/>
      <c r="U24" s="689" t="n"/>
      <c r="V24" s="687" t="n"/>
      <c r="W24" s="687" t="n"/>
      <c r="X24" s="687" t="n"/>
      <c r="Y24" s="687" t="n"/>
      <c r="Z24" s="687" t="n"/>
      <c r="AA24" s="687" t="n"/>
      <c r="AB24" s="687" t="n"/>
      <c r="AC24" s="687" t="n"/>
    </row>
    <row r="25" ht="11.25" customFormat="1" customHeight="1" s="688">
      <c r="A25" s="80" t="n"/>
      <c r="B25" s="797" t="n">
        <v>45672</v>
      </c>
      <c r="C25" s="144" t="inlineStr">
        <is>
          <t>은행수수료</t>
        </is>
      </c>
      <c r="D25" s="185" t="n"/>
      <c r="E25" s="188" t="n">
        <v>5</v>
      </c>
      <c r="F25" s="186" t="inlineStr">
        <is>
          <t>해외지사비</t>
        </is>
      </c>
      <c r="G25" s="82" t="n"/>
      <c r="H25" s="150" t="n"/>
      <c r="I25" s="189" t="n"/>
      <c r="J25" s="189" t="n"/>
      <c r="K25" s="799" t="n">
        <v>7.2</v>
      </c>
      <c r="L25" s="800">
        <f>'[2]통장내역(환율표)'!$D$238</f>
        <v/>
      </c>
      <c r="M25" s="801">
        <f>K25/L25</f>
        <v/>
      </c>
      <c r="N25" s="802">
        <f>N24+H25-K25</f>
        <v/>
      </c>
      <c r="O25" s="802">
        <f>O24+J25-M25</f>
        <v/>
      </c>
      <c r="P25" s="803" t="inlineStr">
        <is>
          <t>12월 송금</t>
        </is>
      </c>
      <c r="Q25" s="804" t="n"/>
      <c r="R25" s="804" t="n"/>
      <c r="S25" s="805">
        <f>S24-M25</f>
        <v/>
      </c>
      <c r="T25" s="687" t="n"/>
      <c r="U25" s="689" t="n"/>
      <c r="V25" s="687" t="n"/>
      <c r="W25" s="687" t="n"/>
      <c r="X25" s="687" t="n"/>
      <c r="Y25" s="687" t="n"/>
      <c r="Z25" s="687" t="n"/>
      <c r="AA25" s="687" t="n"/>
      <c r="AB25" s="687" t="n"/>
      <c r="AC25" s="687" t="n"/>
    </row>
    <row r="26" ht="11.25" customFormat="1" customHeight="1" s="688">
      <c r="A26" s="80" t="n"/>
      <c r="B26" s="797" t="n">
        <v>45672</v>
      </c>
      <c r="C26" s="144" t="inlineStr">
        <is>
          <t>사무실 주차비</t>
        </is>
      </c>
      <c r="D26" s="185" t="n"/>
      <c r="E26" s="188" t="n">
        <v>6</v>
      </c>
      <c r="F26" s="188" t="inlineStr">
        <is>
          <t>여비교통비</t>
        </is>
      </c>
      <c r="G26" s="82" t="inlineStr">
        <is>
          <t>해외</t>
        </is>
      </c>
      <c r="H26" s="150" t="n"/>
      <c r="I26" s="149" t="n"/>
      <c r="J26" s="149" t="n"/>
      <c r="K26" s="799" t="n">
        <v>1600</v>
      </c>
      <c r="L26" s="800">
        <f>'[2]통장내역(환율표)'!$D$238</f>
        <v/>
      </c>
      <c r="M26" s="801">
        <f>K26/L26</f>
        <v/>
      </c>
      <c r="N26" s="802">
        <f>N25+H26-K26</f>
        <v/>
      </c>
      <c r="O26" s="802">
        <f>O25+J26-M26</f>
        <v/>
      </c>
      <c r="P26" s="803" t="inlineStr">
        <is>
          <t>12월 송금</t>
        </is>
      </c>
      <c r="Q26" s="804" t="n"/>
      <c r="R26" s="804" t="n"/>
      <c r="S26" s="805">
        <f>S25-M26</f>
        <v/>
      </c>
      <c r="T26" s="687" t="n"/>
      <c r="U26" s="689" t="n"/>
      <c r="V26" s="687" t="n"/>
      <c r="W26" s="687" t="n"/>
      <c r="X26" s="687" t="n"/>
      <c r="Y26" s="687" t="n"/>
      <c r="Z26" s="687" t="n"/>
      <c r="AA26" s="687" t="n"/>
      <c r="AB26" s="687" t="n"/>
      <c r="AC26" s="687" t="n"/>
    </row>
    <row r="27" ht="11.25" customFormat="1" customHeight="1" s="688">
      <c r="A27" s="80" t="n"/>
      <c r="B27" s="797" t="n">
        <v>45672</v>
      </c>
      <c r="C27" s="144" t="inlineStr">
        <is>
          <t>은행수수료</t>
        </is>
      </c>
      <c r="D27" s="185" t="n"/>
      <c r="E27" s="188" t="n">
        <v>7</v>
      </c>
      <c r="F27" s="188" t="inlineStr">
        <is>
          <t>해외지사비</t>
        </is>
      </c>
      <c r="G27" s="82" t="n"/>
      <c r="H27" s="150" t="n"/>
      <c r="I27" s="149" t="n"/>
      <c r="J27" s="149" t="n"/>
      <c r="K27" s="799" t="n">
        <v>3.6</v>
      </c>
      <c r="L27" s="800">
        <f>'[2]통장내역(환율표)'!$D$238</f>
        <v/>
      </c>
      <c r="M27" s="801">
        <f>K27/L27</f>
        <v/>
      </c>
      <c r="N27" s="802">
        <f>N26+H27-K27</f>
        <v/>
      </c>
      <c r="O27" s="802">
        <f>O26+J27-M27</f>
        <v/>
      </c>
      <c r="P27" s="803" t="inlineStr">
        <is>
          <t>12월 송금</t>
        </is>
      </c>
      <c r="Q27" s="804" t="n"/>
      <c r="R27" s="804" t="n"/>
      <c r="S27" s="805">
        <f>S26-M27</f>
        <v/>
      </c>
      <c r="T27" s="687" t="n"/>
      <c r="U27" s="689" t="n"/>
      <c r="V27" s="687" t="n"/>
      <c r="W27" s="687" t="n"/>
      <c r="X27" s="687" t="n"/>
      <c r="Y27" s="687" t="n"/>
      <c r="Z27" s="687" t="n"/>
      <c r="AA27" s="687" t="n"/>
      <c r="AB27" s="687" t="n"/>
      <c r="AC27" s="687" t="n"/>
    </row>
    <row r="28" ht="11.25" customFormat="1" customHeight="1" s="688">
      <c r="A28" s="80" t="n"/>
      <c r="B28" s="797" t="n">
        <v>45674</v>
      </c>
      <c r="C28" s="144" t="inlineStr">
        <is>
          <t>세무대행비</t>
        </is>
      </c>
      <c r="D28" s="185" t="n"/>
      <c r="E28" s="188" t="n">
        <v>8</v>
      </c>
      <c r="F28" s="188" t="inlineStr">
        <is>
          <t>해외지사비</t>
        </is>
      </c>
      <c r="G28" s="82" t="n"/>
      <c r="H28" s="150" t="n"/>
      <c r="I28" s="149" t="n"/>
      <c r="J28" s="149" t="n"/>
      <c r="K28" s="799" t="n">
        <v>1010</v>
      </c>
      <c r="L28" s="800">
        <f>'[2]통장내역(환율표)'!$D$238</f>
        <v/>
      </c>
      <c r="M28" s="801">
        <f>K28/L28</f>
        <v/>
      </c>
      <c r="N28" s="802">
        <f>N27+H28-K28</f>
        <v/>
      </c>
      <c r="O28" s="802">
        <f>O27+J28-M28</f>
        <v/>
      </c>
      <c r="P28" s="803" t="inlineStr">
        <is>
          <t>12월 송금</t>
        </is>
      </c>
      <c r="Q28" s="804" t="n"/>
      <c r="R28" s="804" t="n"/>
      <c r="S28" s="805">
        <f>S27-M28</f>
        <v/>
      </c>
      <c r="T28" s="687" t="n"/>
      <c r="U28" s="689" t="n"/>
      <c r="V28" s="687" t="n"/>
      <c r="W28" s="687" t="n"/>
      <c r="X28" s="687" t="n"/>
      <c r="Y28" s="687" t="n"/>
      <c r="Z28" s="687" t="n"/>
      <c r="AA28" s="687" t="n"/>
      <c r="AB28" s="687" t="n"/>
      <c r="AC28" s="687" t="n"/>
    </row>
    <row r="29" ht="11.25" customFormat="1" customHeight="1" s="688">
      <c r="A29" s="80" t="n"/>
      <c r="B29" s="797" t="n">
        <v>45674</v>
      </c>
      <c r="C29" s="144" t="inlineStr">
        <is>
          <t>은행수수료</t>
        </is>
      </c>
      <c r="D29" s="185" t="n"/>
      <c r="E29" s="188" t="n">
        <v>9</v>
      </c>
      <c r="F29" s="188" t="inlineStr">
        <is>
          <t>해외지사비</t>
        </is>
      </c>
      <c r="G29" s="82" t="n"/>
      <c r="H29" s="150" t="n"/>
      <c r="I29" s="149" t="n"/>
      <c r="J29" s="149" t="n"/>
      <c r="K29" s="799" t="n">
        <v>3.6</v>
      </c>
      <c r="L29" s="800">
        <f>'[2]통장내역(환율표)'!$D$238</f>
        <v/>
      </c>
      <c r="M29" s="801">
        <f>K29/L29</f>
        <v/>
      </c>
      <c r="N29" s="802">
        <f>N28+H29-K29</f>
        <v/>
      </c>
      <c r="O29" s="802">
        <f>O28+J29-M29</f>
        <v/>
      </c>
      <c r="P29" s="803" t="inlineStr">
        <is>
          <t>12월 송금</t>
        </is>
      </c>
      <c r="Q29" s="804" t="n"/>
      <c r="R29" s="804" t="n"/>
      <c r="S29" s="805">
        <f>S28-M29</f>
        <v/>
      </c>
      <c r="T29" s="687" t="n"/>
      <c r="U29" s="689" t="n"/>
      <c r="V29" s="687" t="n"/>
      <c r="W29" s="687" t="n"/>
      <c r="X29" s="687" t="n"/>
      <c r="Y29" s="687" t="n"/>
      <c r="Z29" s="687" t="n"/>
      <c r="AA29" s="687" t="n"/>
      <c r="AB29" s="687" t="n"/>
      <c r="AC29" s="687" t="n"/>
    </row>
    <row r="30" ht="11.25" customFormat="1" customHeight="1" s="688">
      <c r="A30" s="80" t="n"/>
      <c r="B30" s="813" t="n">
        <v>45674</v>
      </c>
      <c r="C30" s="156" t="inlineStr">
        <is>
          <t>차량 Rent비</t>
        </is>
      </c>
      <c r="D30" s="211" t="n"/>
      <c r="E30" s="212" t="n">
        <v>10</v>
      </c>
      <c r="F30" s="212" t="inlineStr">
        <is>
          <t>지급임차료</t>
        </is>
      </c>
      <c r="G30" s="110" t="inlineStr">
        <is>
          <t>차량임차료</t>
        </is>
      </c>
      <c r="H30" s="213" t="n"/>
      <c r="I30" s="214" t="n"/>
      <c r="J30" s="214" t="n"/>
      <c r="K30" s="814">
        <f>L30*M30</f>
        <v/>
      </c>
      <c r="L30" s="815">
        <f>'[2]통장내역(환율표)'!$D$238</f>
        <v/>
      </c>
      <c r="M30" s="801" t="n">
        <v>1143.719847259549</v>
      </c>
      <c r="N30" s="816">
        <f>N29+H30-K30</f>
        <v/>
      </c>
      <c r="O30" s="816">
        <f>O29+J30-M30</f>
        <v/>
      </c>
      <c r="P30" s="817" t="inlineStr">
        <is>
          <t>12월 송금</t>
        </is>
      </c>
      <c r="Q30" s="818" t="n"/>
      <c r="R30" s="818" t="n"/>
      <c r="S30" s="805">
        <f>S29-M30</f>
        <v/>
      </c>
      <c r="T30" s="687" t="n"/>
      <c r="U30" s="689" t="n"/>
      <c r="V30" s="687" t="n"/>
      <c r="W30" s="687" t="n"/>
      <c r="X30" s="687" t="n"/>
      <c r="Y30" s="687" t="n"/>
      <c r="Z30" s="687" t="n"/>
      <c r="AA30" s="687" t="n"/>
      <c r="AB30" s="687" t="n"/>
      <c r="AC30" s="687" t="n"/>
    </row>
    <row r="31" ht="11.25" customFormat="1" customHeight="1" s="688">
      <c r="A31" s="80" t="n"/>
      <c r="B31" s="813" t="n">
        <v>45674</v>
      </c>
      <c r="C31" s="156" t="inlineStr">
        <is>
          <t>차량 Rent비</t>
        </is>
      </c>
      <c r="D31" s="211" t="n"/>
      <c r="E31" s="212" t="n">
        <v>10</v>
      </c>
      <c r="F31" s="212" t="inlineStr">
        <is>
          <t>지급임차료</t>
        </is>
      </c>
      <c r="G31" s="110" t="inlineStr">
        <is>
          <t>차량임차료</t>
        </is>
      </c>
      <c r="H31" s="213" t="n"/>
      <c r="I31" s="214" t="n"/>
      <c r="J31" s="214" t="n"/>
      <c r="K31" s="814">
        <f>10500-K30</f>
        <v/>
      </c>
      <c r="L31" s="815">
        <f>'[2]통장내역(환율표)'!$D$246</f>
        <v/>
      </c>
      <c r="M31" s="810">
        <f>K31/L31</f>
        <v/>
      </c>
      <c r="N31" s="816">
        <f>N30+H31-K31</f>
        <v/>
      </c>
      <c r="O31" s="816">
        <f>O30+J31-M31</f>
        <v/>
      </c>
      <c r="P31" s="817" t="inlineStr">
        <is>
          <t>1월 송금</t>
        </is>
      </c>
      <c r="Q31" s="818" t="n"/>
      <c r="R31" s="818" t="n"/>
      <c r="S31" s="805">
        <f>64755-M31</f>
        <v/>
      </c>
      <c r="T31" s="687" t="n"/>
      <c r="U31" s="689" t="n"/>
      <c r="V31" s="687" t="n"/>
      <c r="W31" s="687" t="n"/>
      <c r="X31" s="687" t="n"/>
      <c r="Y31" s="687" t="n"/>
      <c r="Z31" s="687" t="n"/>
      <c r="AA31" s="687" t="n"/>
      <c r="AB31" s="687" t="n"/>
      <c r="AC31" s="687" t="n"/>
    </row>
    <row r="32" ht="11.25" customFormat="1" customHeight="1" s="688">
      <c r="A32" s="80" t="n"/>
      <c r="B32" s="797" t="n">
        <v>45674</v>
      </c>
      <c r="C32" s="144" t="inlineStr">
        <is>
          <t>차량 기사비</t>
        </is>
      </c>
      <c r="D32" s="185" t="n"/>
      <c r="E32" s="188" t="n">
        <v>10</v>
      </c>
      <c r="F32" s="188" t="inlineStr">
        <is>
          <t>해외지사비</t>
        </is>
      </c>
      <c r="G32" s="82" t="n"/>
      <c r="H32" s="150" t="n"/>
      <c r="I32" s="149" t="n"/>
      <c r="J32" s="149" t="n"/>
      <c r="K32" s="799" t="n">
        <v>6000</v>
      </c>
      <c r="L32" s="800">
        <f>'[2]통장내역(환율표)'!$D$246</f>
        <v/>
      </c>
      <c r="M32" s="810">
        <f>K32/L32</f>
        <v/>
      </c>
      <c r="N32" s="802">
        <f>N31+H32-K32</f>
        <v/>
      </c>
      <c r="O32" s="802">
        <f>O31+J32-M32</f>
        <v/>
      </c>
      <c r="P32" s="803" t="inlineStr">
        <is>
          <t>1월 송금</t>
        </is>
      </c>
      <c r="Q32" s="804" t="n"/>
      <c r="R32" s="804" t="n"/>
      <c r="S32" s="805">
        <f>S31-M32</f>
        <v/>
      </c>
      <c r="T32" s="687" t="n"/>
      <c r="U32" s="689" t="n"/>
      <c r="V32" s="687" t="n"/>
      <c r="W32" s="687" t="n"/>
      <c r="X32" s="687" t="n"/>
      <c r="Y32" s="687" t="n"/>
      <c r="Z32" s="687" t="n"/>
      <c r="AA32" s="687" t="n"/>
      <c r="AB32" s="687" t="n"/>
      <c r="AC32" s="687" t="n"/>
    </row>
    <row r="33" ht="11.25" customFormat="1" customHeight="1" s="688">
      <c r="A33" s="80" t="n"/>
      <c r="B33" s="797" t="n">
        <v>45674</v>
      </c>
      <c r="C33" s="144" t="inlineStr">
        <is>
          <t>기사 야근비용</t>
        </is>
      </c>
      <c r="D33" s="185" t="n"/>
      <c r="E33" s="188" t="n">
        <v>10</v>
      </c>
      <c r="F33" s="188" t="inlineStr">
        <is>
          <t>해외지사비</t>
        </is>
      </c>
      <c r="G33" s="82" t="n"/>
      <c r="H33" s="150" t="n"/>
      <c r="I33" s="149" t="n"/>
      <c r="J33" s="149" t="n"/>
      <c r="K33" s="799" t="n">
        <v>610</v>
      </c>
      <c r="L33" s="800">
        <f>'[2]통장내역(환율표)'!$D$246</f>
        <v/>
      </c>
      <c r="M33" s="810">
        <f>K33/L33</f>
        <v/>
      </c>
      <c r="N33" s="802">
        <f>N32+H33-K33</f>
        <v/>
      </c>
      <c r="O33" s="802">
        <f>O32+J33-M33</f>
        <v/>
      </c>
      <c r="P33" s="803" t="inlineStr">
        <is>
          <t>1월 송금</t>
        </is>
      </c>
      <c r="Q33" s="804" t="n"/>
      <c r="R33" s="804" t="n"/>
      <c r="S33" s="805">
        <f>S32-M33</f>
        <v/>
      </c>
      <c r="T33" s="687" t="n"/>
      <c r="U33" s="689" t="n"/>
      <c r="V33" s="687" t="n"/>
      <c r="W33" s="687" t="n"/>
      <c r="X33" s="687" t="n"/>
      <c r="Y33" s="687" t="n"/>
      <c r="Z33" s="687" t="n"/>
      <c r="AA33" s="687" t="n"/>
      <c r="AB33" s="687" t="n"/>
      <c r="AC33" s="687" t="n"/>
    </row>
    <row r="34" ht="11.25" customFormat="1" customHeight="1" s="688">
      <c r="A34" s="80" t="n"/>
      <c r="B34" s="797" t="n">
        <v>45674</v>
      </c>
      <c r="C34" s="144" t="inlineStr">
        <is>
          <t>차량 Rent비</t>
        </is>
      </c>
      <c r="D34" s="185" t="n"/>
      <c r="E34" s="188" t="n">
        <v>10</v>
      </c>
      <c r="F34" s="188" t="inlineStr">
        <is>
          <t>지급임차료</t>
        </is>
      </c>
      <c r="G34" s="82" t="inlineStr">
        <is>
          <t>차량임차료</t>
        </is>
      </c>
      <c r="H34" s="150" t="n"/>
      <c r="I34" s="149" t="n"/>
      <c r="J34" s="149" t="n"/>
      <c r="K34" s="799" t="n">
        <v>7000</v>
      </c>
      <c r="L34" s="800">
        <f>'[2]통장내역(환율표)'!$D$246</f>
        <v/>
      </c>
      <c r="M34" s="810">
        <f>K34/L34</f>
        <v/>
      </c>
      <c r="N34" s="802">
        <f>N33+H34-K34</f>
        <v/>
      </c>
      <c r="O34" s="802">
        <f>O33+J34-M34</f>
        <v/>
      </c>
      <c r="P34" s="803" t="inlineStr">
        <is>
          <t>1월 송금</t>
        </is>
      </c>
      <c r="Q34" s="804" t="n"/>
      <c r="R34" s="804" t="n"/>
      <c r="S34" s="805">
        <f>S33-M34</f>
        <v/>
      </c>
      <c r="T34" s="687" t="n"/>
      <c r="U34" s="689" t="n"/>
      <c r="V34" s="687" t="n"/>
      <c r="W34" s="687" t="n"/>
      <c r="X34" s="687" t="n"/>
      <c r="Y34" s="687" t="n"/>
      <c r="Z34" s="687" t="n"/>
      <c r="AA34" s="687" t="n"/>
      <c r="AB34" s="687" t="n"/>
      <c r="AC34" s="687" t="n"/>
    </row>
    <row r="35" ht="11.25" customFormat="1" customHeight="1" s="688">
      <c r="A35" s="80" t="n"/>
      <c r="B35" s="797" t="n">
        <v>45674</v>
      </c>
      <c r="C35" s="144" t="inlineStr">
        <is>
          <t>차량 기사비</t>
        </is>
      </c>
      <c r="D35" s="185" t="n"/>
      <c r="E35" s="188" t="n">
        <v>10</v>
      </c>
      <c r="F35" s="188" t="inlineStr">
        <is>
          <t>해외지사비</t>
        </is>
      </c>
      <c r="G35" s="82" t="n"/>
      <c r="H35" s="150" t="n"/>
      <c r="I35" s="149" t="n"/>
      <c r="J35" s="149" t="n"/>
      <c r="K35" s="799" t="n">
        <v>6000</v>
      </c>
      <c r="L35" s="800">
        <f>'[2]통장내역(환율표)'!$D$246</f>
        <v/>
      </c>
      <c r="M35" s="810">
        <f>K35/L35</f>
        <v/>
      </c>
      <c r="N35" s="802">
        <f>N34+H35-K35</f>
        <v/>
      </c>
      <c r="O35" s="802">
        <f>O34+J35-M35</f>
        <v/>
      </c>
      <c r="P35" s="803" t="inlineStr">
        <is>
          <t>1월 송금</t>
        </is>
      </c>
      <c r="Q35" s="804" t="n"/>
      <c r="R35" s="804" t="n"/>
      <c r="S35" s="805">
        <f>S34-M35</f>
        <v/>
      </c>
      <c r="T35" s="687" t="n"/>
      <c r="U35" s="689" t="n"/>
      <c r="V35" s="687" t="n"/>
      <c r="W35" s="687" t="n"/>
      <c r="X35" s="687" t="n"/>
      <c r="Y35" s="687" t="n"/>
      <c r="Z35" s="687" t="n"/>
      <c r="AA35" s="687" t="n"/>
      <c r="AB35" s="687" t="n"/>
      <c r="AC35" s="687" t="n"/>
    </row>
    <row r="36" ht="11.25" customFormat="1" customHeight="1" s="688">
      <c r="A36" s="80" t="n"/>
      <c r="B36" s="797" t="n">
        <v>45674</v>
      </c>
      <c r="C36" s="144" t="inlineStr">
        <is>
          <t>기사 야근비용</t>
        </is>
      </c>
      <c r="D36" s="185" t="n"/>
      <c r="E36" s="188" t="n">
        <v>10</v>
      </c>
      <c r="F36" s="188" t="inlineStr">
        <is>
          <t>해외지사비</t>
        </is>
      </c>
      <c r="G36" s="82" t="n"/>
      <c r="H36" s="150" t="n"/>
      <c r="I36" s="149" t="n"/>
      <c r="J36" s="149" t="n"/>
      <c r="K36" s="799" t="n">
        <v>510</v>
      </c>
      <c r="L36" s="800">
        <f>'[2]통장내역(환율표)'!$D$246</f>
        <v/>
      </c>
      <c r="M36" s="810">
        <f>K36/L36</f>
        <v/>
      </c>
      <c r="N36" s="802">
        <f>N35+H36-K36</f>
        <v/>
      </c>
      <c r="O36" s="802">
        <f>O35+J36-M36</f>
        <v/>
      </c>
      <c r="P36" s="803" t="inlineStr">
        <is>
          <t>1월 송금</t>
        </is>
      </c>
      <c r="Q36" s="804" t="n"/>
      <c r="R36" s="804" t="n"/>
      <c r="S36" s="805">
        <f>S35-M36</f>
        <v/>
      </c>
      <c r="T36" s="687" t="n"/>
      <c r="U36" s="689" t="n"/>
      <c r="V36" s="687" t="n"/>
      <c r="W36" s="687" t="n"/>
      <c r="X36" s="687" t="n"/>
      <c r="Y36" s="687" t="n"/>
      <c r="Z36" s="687" t="n"/>
      <c r="AA36" s="687" t="n"/>
      <c r="AB36" s="687" t="n"/>
      <c r="AC36" s="687" t="n"/>
    </row>
    <row r="37" ht="11.25" customFormat="1" customHeight="1" s="688">
      <c r="A37" s="80" t="n"/>
      <c r="B37" s="797" t="n">
        <v>45674</v>
      </c>
      <c r="C37" s="144" t="inlineStr">
        <is>
          <t>은행수수료</t>
        </is>
      </c>
      <c r="D37" s="185" t="n"/>
      <c r="E37" s="188" t="n">
        <v>11</v>
      </c>
      <c r="F37" s="188" t="inlineStr">
        <is>
          <t>해외지사비</t>
        </is>
      </c>
      <c r="G37" s="82" t="n"/>
      <c r="H37" s="150" t="n"/>
      <c r="I37" s="149" t="n"/>
      <c r="J37" s="149" t="n"/>
      <c r="K37" s="799" t="n">
        <v>7.2</v>
      </c>
      <c r="L37" s="800">
        <f>'[2]통장내역(환율표)'!$D$246</f>
        <v/>
      </c>
      <c r="M37" s="810">
        <f>K37/L37</f>
        <v/>
      </c>
      <c r="N37" s="802">
        <f>N36+H37-K37</f>
        <v/>
      </c>
      <c r="O37" s="802">
        <f>O36+J37-M37</f>
        <v/>
      </c>
      <c r="P37" s="803" t="inlineStr">
        <is>
          <t>1월 송금</t>
        </is>
      </c>
      <c r="Q37" s="804" t="n"/>
      <c r="R37" s="804" t="n"/>
      <c r="S37" s="805">
        <f>S36-M37</f>
        <v/>
      </c>
      <c r="T37" s="687" t="n"/>
      <c r="U37" s="689" t="n"/>
      <c r="V37" s="687" t="n"/>
      <c r="W37" s="687" t="n"/>
      <c r="X37" s="687" t="n"/>
      <c r="Y37" s="687" t="n"/>
      <c r="Z37" s="687" t="n"/>
      <c r="AA37" s="687" t="n"/>
      <c r="AB37" s="687" t="n"/>
      <c r="AC37" s="687" t="n"/>
    </row>
    <row r="38" ht="11.25" customFormat="1" customHeight="1" s="688">
      <c r="A38" s="80" t="n"/>
      <c r="B38" s="797" t="n">
        <v>45674</v>
      </c>
      <c r="C38" s="144" t="inlineStr">
        <is>
          <t>사무실 WIFI+통신비</t>
        </is>
      </c>
      <c r="D38" s="185" t="n"/>
      <c r="E38" s="188" t="n">
        <v>12</v>
      </c>
      <c r="F38" s="188" t="inlineStr">
        <is>
          <t>통신비</t>
        </is>
      </c>
      <c r="G38" s="82" t="inlineStr">
        <is>
          <t>기타</t>
        </is>
      </c>
      <c r="H38" s="150" t="n"/>
      <c r="I38" s="149" t="n"/>
      <c r="J38" s="149" t="n"/>
      <c r="K38" s="799" t="n">
        <v>417.84</v>
      </c>
      <c r="L38" s="800">
        <f>'[2]통장내역(환율표)'!$D$246</f>
        <v/>
      </c>
      <c r="M38" s="810">
        <f>K38/L38</f>
        <v/>
      </c>
      <c r="N38" s="802">
        <f>N37+H38-K38</f>
        <v/>
      </c>
      <c r="O38" s="802">
        <f>O37+J38-M38</f>
        <v/>
      </c>
      <c r="P38" s="803" t="inlineStr">
        <is>
          <t>1월 송금</t>
        </is>
      </c>
      <c r="Q38" s="804" t="n"/>
      <c r="R38" s="804" t="inlineStr">
        <is>
          <t>신순연</t>
        </is>
      </c>
      <c r="S38" s="805">
        <f>S37-M38</f>
        <v/>
      </c>
      <c r="T38" s="687" t="n"/>
      <c r="U38" s="689" t="n"/>
      <c r="V38" s="687" t="n"/>
      <c r="W38" s="687" t="n"/>
      <c r="X38" s="687" t="n"/>
      <c r="Y38" s="687" t="n"/>
      <c r="Z38" s="687" t="n"/>
      <c r="AA38" s="687" t="n"/>
      <c r="AB38" s="687" t="n"/>
      <c r="AC38" s="687" t="n"/>
    </row>
    <row r="39" ht="11.25" customFormat="1" customHeight="1" s="688">
      <c r="A39" s="80" t="n"/>
      <c r="B39" s="797" t="n">
        <v>45674</v>
      </c>
      <c r="C39" s="144" t="inlineStr">
        <is>
          <t>은행수수료</t>
        </is>
      </c>
      <c r="D39" s="185" t="n"/>
      <c r="E39" s="188" t="n">
        <v>13</v>
      </c>
      <c r="F39" s="188" t="inlineStr">
        <is>
          <t>해외지사비</t>
        </is>
      </c>
      <c r="G39" s="82" t="n"/>
      <c r="H39" s="150" t="n"/>
      <c r="I39" s="149" t="n"/>
      <c r="J39" s="149" t="n"/>
      <c r="K39" s="799" t="n">
        <v>3.6</v>
      </c>
      <c r="L39" s="800">
        <f>'[2]통장내역(환율표)'!$D$246</f>
        <v/>
      </c>
      <c r="M39" s="810">
        <f>K39/L39</f>
        <v/>
      </c>
      <c r="N39" s="802">
        <f>N38+H39-K39</f>
        <v/>
      </c>
      <c r="O39" s="802">
        <f>O38+J39-M39</f>
        <v/>
      </c>
      <c r="P39" s="803" t="inlineStr">
        <is>
          <t>1월 송금</t>
        </is>
      </c>
      <c r="Q39" s="804" t="n"/>
      <c r="R39" s="804" t="inlineStr">
        <is>
          <t>신순연</t>
        </is>
      </c>
      <c r="S39" s="805">
        <f>S38-M39</f>
        <v/>
      </c>
      <c r="T39" s="687" t="n"/>
      <c r="U39" s="689" t="n"/>
      <c r="V39" s="687" t="n"/>
      <c r="W39" s="687" t="n"/>
      <c r="X39" s="687" t="n"/>
      <c r="Y39" s="687" t="n"/>
      <c r="Z39" s="687" t="n"/>
      <c r="AA39" s="687" t="n"/>
      <c r="AB39" s="687" t="n"/>
      <c r="AC39" s="687" t="n"/>
    </row>
    <row r="40" ht="11.25" customFormat="1" customHeight="1" s="688">
      <c r="A40" s="80" t="n"/>
      <c r="B40" s="797" t="n">
        <v>45674</v>
      </c>
      <c r="C40" s="144" t="inlineStr">
        <is>
          <t>출장비</t>
        </is>
      </c>
      <c r="D40" s="185" t="n"/>
      <c r="E40" s="188" t="n">
        <v>14</v>
      </c>
      <c r="F40" s="188" t="inlineStr">
        <is>
          <t>여비교통비</t>
        </is>
      </c>
      <c r="G40" s="82" t="inlineStr">
        <is>
          <t>해외</t>
        </is>
      </c>
      <c r="H40" s="150" t="n"/>
      <c r="I40" s="149" t="n"/>
      <c r="J40" s="149" t="n"/>
      <c r="K40" s="799" t="n">
        <v>2579.69</v>
      </c>
      <c r="L40" s="800">
        <f>'[2]통장내역(환율표)'!$D$246</f>
        <v/>
      </c>
      <c r="M40" s="810">
        <f>K40/L40</f>
        <v/>
      </c>
      <c r="N40" s="802">
        <f>N39+H40-K40</f>
        <v/>
      </c>
      <c r="O40" s="802">
        <f>O39+J40-M40</f>
        <v/>
      </c>
      <c r="P40" s="803" t="inlineStr">
        <is>
          <t>1월 송금</t>
        </is>
      </c>
      <c r="Q40" s="804" t="n"/>
      <c r="R40" s="804" t="inlineStr">
        <is>
          <t>Pan Shi Qiang</t>
        </is>
      </c>
      <c r="S40" s="805">
        <f>S39-M40</f>
        <v/>
      </c>
      <c r="T40" s="687" t="n"/>
      <c r="U40" s="689" t="n"/>
      <c r="V40" s="687" t="n"/>
      <c r="W40" s="687" t="n"/>
      <c r="X40" s="687" t="n"/>
      <c r="Y40" s="687" t="n"/>
      <c r="Z40" s="687" t="n"/>
      <c r="AA40" s="687" t="n"/>
      <c r="AB40" s="687" t="n"/>
      <c r="AC40" s="687" t="n"/>
    </row>
    <row r="41" ht="11.25" customFormat="1" customHeight="1" s="688">
      <c r="A41" s="80" t="n"/>
      <c r="B41" s="797" t="n">
        <v>45674</v>
      </c>
      <c r="C41" s="144" t="inlineStr">
        <is>
          <t>시내교통비</t>
        </is>
      </c>
      <c r="D41" s="185" t="n"/>
      <c r="E41" s="188" t="n">
        <v>15</v>
      </c>
      <c r="F41" s="188" t="inlineStr">
        <is>
          <t>여비교통비</t>
        </is>
      </c>
      <c r="G41" s="82" t="inlineStr">
        <is>
          <t>해외</t>
        </is>
      </c>
      <c r="H41" s="150" t="n"/>
      <c r="I41" s="149" t="n"/>
      <c r="J41" s="149" t="n"/>
      <c r="K41" s="799" t="n">
        <v>178.26</v>
      </c>
      <c r="L41" s="800">
        <f>'[2]통장내역(환율표)'!$D$246</f>
        <v/>
      </c>
      <c r="M41" s="810">
        <f>K41/L41</f>
        <v/>
      </c>
      <c r="N41" s="802">
        <f>N40+H41-K41</f>
        <v/>
      </c>
      <c r="O41" s="802">
        <f>O40+J41-M41</f>
        <v/>
      </c>
      <c r="P41" s="803" t="inlineStr">
        <is>
          <t>1월 송금</t>
        </is>
      </c>
      <c r="Q41" s="804" t="n"/>
      <c r="R41" s="804" t="inlineStr">
        <is>
          <t>Pan Shi Qiang</t>
        </is>
      </c>
      <c r="S41" s="805">
        <f>S40-M41</f>
        <v/>
      </c>
      <c r="T41" s="687" t="n"/>
      <c r="U41" s="689" t="n"/>
      <c r="V41" s="687" t="n"/>
      <c r="W41" s="687" t="n"/>
      <c r="X41" s="687" t="n"/>
      <c r="Y41" s="687" t="n"/>
      <c r="Z41" s="687" t="n"/>
      <c r="AA41" s="687" t="n"/>
      <c r="AB41" s="687" t="n"/>
      <c r="AC41" s="687" t="n"/>
    </row>
    <row r="42" ht="11.25" customFormat="1" customHeight="1" s="688">
      <c r="A42" s="80" t="n"/>
      <c r="B42" s="797" t="n">
        <v>45674</v>
      </c>
      <c r="C42" s="144" t="inlineStr">
        <is>
          <t>택배비</t>
        </is>
      </c>
      <c r="D42" s="185" t="n"/>
      <c r="E42" s="145" t="n">
        <v>16</v>
      </c>
      <c r="F42" s="82" t="inlineStr">
        <is>
          <t>해외지사비</t>
        </is>
      </c>
      <c r="G42" s="82" t="n"/>
      <c r="H42" s="150" t="n"/>
      <c r="I42" s="149" t="n"/>
      <c r="J42" s="149" t="n"/>
      <c r="K42" s="799" t="n">
        <v>141.7</v>
      </c>
      <c r="L42" s="800">
        <f>'[2]통장내역(환율표)'!$D$246</f>
        <v/>
      </c>
      <c r="M42" s="810">
        <f>K42/L42</f>
        <v/>
      </c>
      <c r="N42" s="802">
        <f>N41+H42-K42</f>
        <v/>
      </c>
      <c r="O42" s="802">
        <f>O41+J42-M42</f>
        <v/>
      </c>
      <c r="P42" s="803" t="inlineStr">
        <is>
          <t>1월 송금</t>
        </is>
      </c>
      <c r="Q42" s="804" t="n"/>
      <c r="R42" s="804" t="inlineStr">
        <is>
          <t>Pan Shi Qiang</t>
        </is>
      </c>
      <c r="S42" s="805">
        <f>S41-M42</f>
        <v/>
      </c>
      <c r="T42" s="687" t="n"/>
      <c r="U42" s="689" t="n"/>
      <c r="V42" s="687" t="n"/>
      <c r="W42" s="687" t="n"/>
      <c r="X42" s="687" t="n"/>
      <c r="Y42" s="687" t="n"/>
      <c r="Z42" s="687" t="n"/>
      <c r="AA42" s="687" t="n"/>
      <c r="AB42" s="687" t="n"/>
      <c r="AC42" s="687" t="n"/>
    </row>
    <row r="43" ht="11.25" customFormat="1" customHeight="1" s="688">
      <c r="A43" s="80" t="n"/>
      <c r="B43" s="797" t="n">
        <v>45674</v>
      </c>
      <c r="C43" s="144" t="inlineStr">
        <is>
          <t>통신비</t>
        </is>
      </c>
      <c r="D43" s="185" t="n"/>
      <c r="E43" s="145" t="n">
        <v>17</v>
      </c>
      <c r="F43" s="82" t="inlineStr">
        <is>
          <t>통신비</t>
        </is>
      </c>
      <c r="G43" s="82" t="inlineStr">
        <is>
          <t>기타</t>
        </is>
      </c>
      <c r="H43" s="150" t="n"/>
      <c r="I43" s="149" t="n"/>
      <c r="J43" s="149" t="n"/>
      <c r="K43" s="799" t="n">
        <v>98.8</v>
      </c>
      <c r="L43" s="800">
        <f>'[2]통장내역(환율표)'!$D$246</f>
        <v/>
      </c>
      <c r="M43" s="810">
        <f>K43/L43</f>
        <v/>
      </c>
      <c r="N43" s="802">
        <f>N42+H43-K43</f>
        <v/>
      </c>
      <c r="O43" s="802">
        <f>O42+J43-M43</f>
        <v/>
      </c>
      <c r="P43" s="803" t="inlineStr">
        <is>
          <t>1월 송금</t>
        </is>
      </c>
      <c r="Q43" s="804" t="n"/>
      <c r="R43" s="804" t="inlineStr">
        <is>
          <t>Pan Shi Qiang</t>
        </is>
      </c>
      <c r="S43" s="805">
        <f>S42-M43</f>
        <v/>
      </c>
      <c r="T43" s="687" t="n"/>
      <c r="U43" s="689" t="n"/>
      <c r="V43" s="687" t="n"/>
      <c r="W43" s="687" t="n"/>
      <c r="X43" s="687" t="n"/>
      <c r="Y43" s="687" t="n"/>
      <c r="Z43" s="687" t="n"/>
      <c r="AA43" s="687" t="n"/>
      <c r="AB43" s="687" t="n"/>
      <c r="AC43" s="687" t="n"/>
    </row>
    <row r="44" ht="11.25" customFormat="1" customHeight="1" s="688">
      <c r="A44" s="80" t="n"/>
      <c r="B44" s="797" t="n">
        <v>45674</v>
      </c>
      <c r="C44" s="144" t="inlineStr">
        <is>
          <t>은행수수료</t>
        </is>
      </c>
      <c r="D44" s="185" t="n"/>
      <c r="E44" s="145" t="n">
        <v>18</v>
      </c>
      <c r="F44" s="82" t="inlineStr">
        <is>
          <t>해외지사비</t>
        </is>
      </c>
      <c r="G44" s="82" t="n"/>
      <c r="H44" s="150" t="n"/>
      <c r="I44" s="149" t="n"/>
      <c r="J44" s="149" t="n"/>
      <c r="K44" s="799" t="n">
        <v>3.6</v>
      </c>
      <c r="L44" s="800">
        <f>'[2]통장내역(환율표)'!$D$246</f>
        <v/>
      </c>
      <c r="M44" s="810">
        <f>K44/L44</f>
        <v/>
      </c>
      <c r="N44" s="802">
        <f>N43+H44-K44</f>
        <v/>
      </c>
      <c r="O44" s="802">
        <f>O43+J44-M44</f>
        <v/>
      </c>
      <c r="P44" s="803" t="inlineStr">
        <is>
          <t>1월 송금</t>
        </is>
      </c>
      <c r="Q44" s="804" t="n"/>
      <c r="R44" s="804" t="inlineStr">
        <is>
          <t>Pan Shi Qiang</t>
        </is>
      </c>
      <c r="S44" s="805">
        <f>S43-M44</f>
        <v/>
      </c>
      <c r="T44" s="687" t="n"/>
      <c r="U44" s="689" t="n"/>
      <c r="V44" s="687" t="n"/>
      <c r="W44" s="687" t="n"/>
      <c r="X44" s="687" t="n"/>
      <c r="Y44" s="687" t="n"/>
      <c r="Z44" s="687" t="n"/>
      <c r="AA44" s="687" t="n"/>
      <c r="AB44" s="687" t="n"/>
      <c r="AC44" s="687" t="n"/>
    </row>
    <row r="45" ht="11.25" customFormat="1" customHeight="1" s="688">
      <c r="A45" s="80" t="n"/>
      <c r="B45" s="797" t="n">
        <v>45674</v>
      </c>
      <c r="C45" s="144" t="inlineStr">
        <is>
          <t>통신비</t>
        </is>
      </c>
      <c r="D45" s="185" t="n"/>
      <c r="E45" s="145" t="n">
        <v>19</v>
      </c>
      <c r="F45" s="82" t="inlineStr">
        <is>
          <t>통신비</t>
        </is>
      </c>
      <c r="G45" s="82" t="inlineStr">
        <is>
          <t>기타</t>
        </is>
      </c>
      <c r="H45" s="150" t="n"/>
      <c r="I45" s="149" t="n"/>
      <c r="J45" s="149" t="n"/>
      <c r="K45" s="799" t="n">
        <v>300</v>
      </c>
      <c r="L45" s="800">
        <f>'[2]통장내역(환율표)'!$D$246</f>
        <v/>
      </c>
      <c r="M45" s="810">
        <f>K45/L45</f>
        <v/>
      </c>
      <c r="N45" s="802">
        <f>N44+H45-K45</f>
        <v/>
      </c>
      <c r="O45" s="802">
        <f>O44+J45-M45</f>
        <v/>
      </c>
      <c r="P45" s="803" t="inlineStr">
        <is>
          <t>1월 송금</t>
        </is>
      </c>
      <c r="Q45" s="804" t="n"/>
      <c r="R45" s="804" t="inlineStr">
        <is>
          <t>Zhang Liang</t>
        </is>
      </c>
      <c r="S45" s="805">
        <f>S44-M45</f>
        <v/>
      </c>
      <c r="T45" s="687" t="n"/>
      <c r="U45" s="689" t="n"/>
      <c r="V45" s="687" t="n"/>
      <c r="W45" s="687" t="n"/>
      <c r="X45" s="687" t="n"/>
      <c r="Y45" s="687" t="n"/>
      <c r="Z45" s="687" t="n"/>
      <c r="AA45" s="687" t="n"/>
      <c r="AB45" s="687" t="n"/>
      <c r="AC45" s="687" t="n"/>
    </row>
    <row r="46" ht="11.25" customFormat="1" customHeight="1" s="688">
      <c r="A46" s="80" t="n"/>
      <c r="B46" s="797" t="n">
        <v>45674</v>
      </c>
      <c r="C46" s="144" t="inlineStr">
        <is>
          <t>시내</t>
        </is>
      </c>
      <c r="D46" s="185" t="n"/>
      <c r="E46" s="82" t="n">
        <v>20</v>
      </c>
      <c r="F46" s="82" t="inlineStr">
        <is>
          <t>여비교통비</t>
        </is>
      </c>
      <c r="G46" s="82" t="inlineStr">
        <is>
          <t>해외</t>
        </is>
      </c>
      <c r="H46" s="82" t="n"/>
      <c r="I46" s="82" t="n"/>
      <c r="J46" s="82" t="n"/>
      <c r="K46" s="799" t="n">
        <v>133.68</v>
      </c>
      <c r="L46" s="800">
        <f>'[2]통장내역(환율표)'!$D$246</f>
        <v/>
      </c>
      <c r="M46" s="810">
        <f>K46/L46</f>
        <v/>
      </c>
      <c r="N46" s="802">
        <f>N45+H46-K46</f>
        <v/>
      </c>
      <c r="O46" s="802">
        <f>O45+J46-M46</f>
        <v/>
      </c>
      <c r="P46" s="803" t="inlineStr">
        <is>
          <t>1월 송금</t>
        </is>
      </c>
      <c r="Q46" s="804" t="n"/>
      <c r="R46" s="804" t="inlineStr">
        <is>
          <t>Zhang Liang</t>
        </is>
      </c>
      <c r="S46" s="805">
        <f>S45-M46</f>
        <v/>
      </c>
      <c r="T46" s="687" t="n"/>
      <c r="U46" s="689" t="n"/>
      <c r="V46" s="687" t="n"/>
      <c r="W46" s="687" t="n"/>
      <c r="X46" s="687" t="n"/>
      <c r="Y46" s="687" t="n"/>
      <c r="Z46" s="687" t="n"/>
      <c r="AA46" s="687" t="n"/>
      <c r="AB46" s="687" t="n"/>
      <c r="AC46" s="687" t="n"/>
    </row>
    <row r="47" ht="11.25" customFormat="1" customHeight="1" s="688">
      <c r="A47" s="80" t="n"/>
      <c r="B47" s="797" t="n">
        <v>45674</v>
      </c>
      <c r="C47" s="144" t="inlineStr">
        <is>
          <t>택배비</t>
        </is>
      </c>
      <c r="D47" s="185" t="n"/>
      <c r="E47" s="82" t="n">
        <v>21</v>
      </c>
      <c r="F47" s="82" t="inlineStr">
        <is>
          <t>해외지사비</t>
        </is>
      </c>
      <c r="G47" s="82" t="n"/>
      <c r="H47" s="82" t="n"/>
      <c r="I47" s="82" t="n"/>
      <c r="J47" s="82" t="n"/>
      <c r="K47" s="799" t="n">
        <v>436.9</v>
      </c>
      <c r="L47" s="800">
        <f>'[2]통장내역(환율표)'!$D$246</f>
        <v/>
      </c>
      <c r="M47" s="810">
        <f>K47/L47</f>
        <v/>
      </c>
      <c r="N47" s="802">
        <f>N46+H47-K47</f>
        <v/>
      </c>
      <c r="O47" s="802">
        <f>O46+J47-M47</f>
        <v/>
      </c>
      <c r="P47" s="803" t="inlineStr">
        <is>
          <t>1월 송금</t>
        </is>
      </c>
      <c r="Q47" s="804" t="n"/>
      <c r="R47" s="804" t="inlineStr">
        <is>
          <t>Zhang Liang</t>
        </is>
      </c>
      <c r="S47" s="805">
        <f>S46-M47</f>
        <v/>
      </c>
      <c r="T47" s="687" t="n"/>
      <c r="U47" s="689" t="n"/>
      <c r="V47" s="687" t="n"/>
      <c r="W47" s="687" t="n"/>
      <c r="X47" s="687" t="n"/>
      <c r="Y47" s="687" t="n"/>
      <c r="Z47" s="687" t="n"/>
      <c r="AA47" s="687" t="n"/>
      <c r="AB47" s="687" t="n"/>
      <c r="AC47" s="687" t="n"/>
    </row>
    <row r="48" ht="11.25" customFormat="1" customHeight="1" s="688">
      <c r="A48" s="80" t="n"/>
      <c r="B48" s="797" t="n">
        <v>45674</v>
      </c>
      <c r="C48" s="144" t="inlineStr">
        <is>
          <t>사무용픔</t>
        </is>
      </c>
      <c r="D48" s="185" t="n"/>
      <c r="E48" s="82" t="n">
        <v>22</v>
      </c>
      <c r="F48" s="82" t="inlineStr">
        <is>
          <t>해외지사비</t>
        </is>
      </c>
      <c r="G48" s="82" t="n"/>
      <c r="H48" s="82" t="n"/>
      <c r="I48" s="82" t="n"/>
      <c r="J48" s="82" t="n"/>
      <c r="K48" s="799" t="n">
        <v>265.7</v>
      </c>
      <c r="L48" s="800">
        <f>'[2]통장내역(환율표)'!$D$246</f>
        <v/>
      </c>
      <c r="M48" s="810">
        <f>K48/L48</f>
        <v/>
      </c>
      <c r="N48" s="802">
        <f>N47+H48-K48</f>
        <v/>
      </c>
      <c r="O48" s="802">
        <f>O47+J48-M48</f>
        <v/>
      </c>
      <c r="P48" s="803" t="inlineStr">
        <is>
          <t>1월 송금</t>
        </is>
      </c>
      <c r="Q48" s="804" t="n"/>
      <c r="R48" s="804" t="inlineStr">
        <is>
          <t>Zhang Liang</t>
        </is>
      </c>
      <c r="S48" s="805">
        <f>S47-M48</f>
        <v/>
      </c>
      <c r="T48" s="687" t="n"/>
      <c r="U48" s="689" t="n"/>
      <c r="V48" s="687" t="n"/>
      <c r="W48" s="687" t="n"/>
      <c r="X48" s="687" t="n"/>
      <c r="Y48" s="687" t="n"/>
      <c r="Z48" s="687" t="n"/>
      <c r="AA48" s="687" t="n"/>
      <c r="AB48" s="687" t="n"/>
      <c r="AC48" s="687" t="n"/>
    </row>
    <row r="49" ht="11.25" customFormat="1" customHeight="1" s="688">
      <c r="A49" s="80" t="n"/>
      <c r="B49" s="797" t="n">
        <v>45674</v>
      </c>
      <c r="C49" s="144" t="inlineStr">
        <is>
          <t>은행수수료</t>
        </is>
      </c>
      <c r="D49" s="185" t="n"/>
      <c r="E49" s="82" t="n">
        <v>23</v>
      </c>
      <c r="F49" s="82" t="inlineStr">
        <is>
          <t>해외지사비</t>
        </is>
      </c>
      <c r="G49" s="82" t="n"/>
      <c r="H49" s="82" t="n"/>
      <c r="I49" s="82" t="n"/>
      <c r="J49" s="82" t="n"/>
      <c r="K49" s="799" t="n">
        <v>3.6</v>
      </c>
      <c r="L49" s="800">
        <f>'[2]통장내역(환율표)'!$D$246</f>
        <v/>
      </c>
      <c r="M49" s="810">
        <f>K49/L49</f>
        <v/>
      </c>
      <c r="N49" s="802">
        <f>N48+H49-K49</f>
        <v/>
      </c>
      <c r="O49" s="802">
        <f>O48+J49-M49</f>
        <v/>
      </c>
      <c r="P49" s="803" t="inlineStr">
        <is>
          <t>1월 송금</t>
        </is>
      </c>
      <c r="Q49" s="804" t="n"/>
      <c r="R49" s="804" t="inlineStr">
        <is>
          <t>Zhang Liang</t>
        </is>
      </c>
      <c r="S49" s="805">
        <f>S48-M49</f>
        <v/>
      </c>
      <c r="T49" s="687" t="n"/>
      <c r="U49" s="689" t="n"/>
      <c r="V49" s="687" t="n"/>
      <c r="W49" s="687" t="n"/>
      <c r="X49" s="687" t="n"/>
      <c r="Y49" s="687" t="n"/>
      <c r="Z49" s="687" t="n"/>
      <c r="AA49" s="687" t="n"/>
      <c r="AB49" s="687" t="n"/>
      <c r="AC49" s="687" t="n"/>
    </row>
    <row r="50" ht="11.25" customFormat="1" customHeight="1" s="688">
      <c r="A50" s="80" t="n"/>
      <c r="B50" s="797" t="n">
        <v>45674</v>
      </c>
      <c r="C50" s="178" t="inlineStr">
        <is>
          <t>시내/시외</t>
        </is>
      </c>
      <c r="D50" s="185" t="n"/>
      <c r="E50" s="82" t="n">
        <v>24</v>
      </c>
      <c r="F50" s="82" t="inlineStr">
        <is>
          <t>여비교통비</t>
        </is>
      </c>
      <c r="G50" s="82" t="inlineStr">
        <is>
          <t>해외</t>
        </is>
      </c>
      <c r="H50" s="82" t="n"/>
      <c r="I50" s="82" t="n"/>
      <c r="J50" s="82" t="n"/>
      <c r="K50" s="799" t="n">
        <v>175.6</v>
      </c>
      <c r="L50" s="800">
        <f>'[2]통장내역(환율표)'!$D$246</f>
        <v/>
      </c>
      <c r="M50" s="810">
        <f>K50/L50</f>
        <v/>
      </c>
      <c r="N50" s="802">
        <f>N49+H50-K50</f>
        <v/>
      </c>
      <c r="O50" s="802">
        <f>O49+J50-M50</f>
        <v/>
      </c>
      <c r="P50" s="803" t="inlineStr">
        <is>
          <t>1월 송금</t>
        </is>
      </c>
      <c r="Q50" s="804" t="n"/>
      <c r="R50" s="804" t="inlineStr">
        <is>
          <t>Lin Jie Ting</t>
        </is>
      </c>
      <c r="S50" s="805">
        <f>S49-M50</f>
        <v/>
      </c>
      <c r="T50" s="687" t="n"/>
      <c r="U50" s="689" t="n"/>
      <c r="V50" s="687" t="n"/>
      <c r="W50" s="687" t="n"/>
      <c r="X50" s="687" t="n"/>
      <c r="Y50" s="687" t="n"/>
      <c r="Z50" s="687" t="n"/>
      <c r="AA50" s="687" t="n"/>
      <c r="AB50" s="687" t="n"/>
      <c r="AC50" s="687" t="n"/>
    </row>
    <row r="51" ht="11.25" customFormat="1" customHeight="1" s="688">
      <c r="A51" s="80" t="n"/>
      <c r="B51" s="797" t="n">
        <v>45674</v>
      </c>
      <c r="C51" s="178" t="inlineStr">
        <is>
          <t>통신비</t>
        </is>
      </c>
      <c r="D51" s="185" t="n"/>
      <c r="E51" s="82" t="n">
        <v>25</v>
      </c>
      <c r="F51" s="82" t="inlineStr">
        <is>
          <t>통신비</t>
        </is>
      </c>
      <c r="G51" s="82" t="inlineStr">
        <is>
          <t>기타</t>
        </is>
      </c>
      <c r="H51" s="82" t="n"/>
      <c r="I51" s="82" t="n"/>
      <c r="J51" s="82" t="n"/>
      <c r="K51" s="799" t="n">
        <v>299.2</v>
      </c>
      <c r="L51" s="800">
        <f>'[2]통장내역(환율표)'!$D$246</f>
        <v/>
      </c>
      <c r="M51" s="810">
        <f>K51/L51</f>
        <v/>
      </c>
      <c r="N51" s="802">
        <f>N50+H51-K51</f>
        <v/>
      </c>
      <c r="O51" s="802">
        <f>O50+J51-M51</f>
        <v/>
      </c>
      <c r="P51" s="803" t="inlineStr">
        <is>
          <t>1월 송금</t>
        </is>
      </c>
      <c r="Q51" s="804" t="n"/>
      <c r="R51" s="804" t="inlineStr">
        <is>
          <t>Lin Jie Ting</t>
        </is>
      </c>
      <c r="S51" s="805">
        <f>S50-M51</f>
        <v/>
      </c>
      <c r="T51" s="687" t="n"/>
      <c r="U51" s="689" t="n"/>
      <c r="V51" s="687" t="n"/>
      <c r="W51" s="687" t="n"/>
      <c r="X51" s="687" t="n"/>
      <c r="Y51" s="687" t="n"/>
      <c r="Z51" s="687" t="n"/>
      <c r="AA51" s="687" t="n"/>
      <c r="AB51" s="687" t="n"/>
      <c r="AC51" s="687" t="n"/>
    </row>
    <row r="52" ht="11.25" customHeight="1" s="654">
      <c r="B52" s="797" t="n">
        <v>45674</v>
      </c>
      <c r="C52" s="178" t="inlineStr">
        <is>
          <t>택배비</t>
        </is>
      </c>
      <c r="D52" s="185" t="n"/>
      <c r="E52" s="145" t="n">
        <v>26</v>
      </c>
      <c r="F52" s="82" t="inlineStr">
        <is>
          <t>해외지사비</t>
        </is>
      </c>
      <c r="G52" s="82" t="n"/>
      <c r="H52" s="82" t="n"/>
      <c r="I52" s="82" t="n"/>
      <c r="J52" s="82" t="n"/>
      <c r="K52" s="799" t="n">
        <v>36</v>
      </c>
      <c r="L52" s="800">
        <f>'[2]통장내역(환율표)'!$D$246</f>
        <v/>
      </c>
      <c r="M52" s="810">
        <f>K52/L52</f>
        <v/>
      </c>
      <c r="N52" s="802">
        <f>N51+H52-K52</f>
        <v/>
      </c>
      <c r="O52" s="802">
        <f>O51+J52-M52</f>
        <v/>
      </c>
      <c r="P52" s="803" t="inlineStr">
        <is>
          <t>1월 송금</t>
        </is>
      </c>
      <c r="Q52" s="804" t="n"/>
      <c r="R52" s="804" t="inlineStr">
        <is>
          <t>Lin Jie Ting</t>
        </is>
      </c>
      <c r="S52" s="805">
        <f>S51-M52</f>
        <v/>
      </c>
    </row>
    <row r="53" ht="11.25" customHeight="1" s="654">
      <c r="B53" s="797" t="n">
        <v>45674</v>
      </c>
      <c r="C53" s="178" t="inlineStr">
        <is>
          <t>업무추진비</t>
        </is>
      </c>
      <c r="D53" s="185" t="n"/>
      <c r="E53" s="145" t="n">
        <v>27</v>
      </c>
      <c r="F53" s="82" t="inlineStr">
        <is>
          <t>업무추진비</t>
        </is>
      </c>
      <c r="G53" s="82" t="inlineStr">
        <is>
          <t>일반</t>
        </is>
      </c>
      <c r="H53" s="82" t="n"/>
      <c r="I53" s="82" t="n"/>
      <c r="J53" s="82" t="n"/>
      <c r="K53" s="799" t="n">
        <v>16527.08</v>
      </c>
      <c r="L53" s="800">
        <f>'[2]통장내역(환율표)'!$D$246</f>
        <v/>
      </c>
      <c r="M53" s="810">
        <f>K53/L53</f>
        <v/>
      </c>
      <c r="N53" s="802">
        <f>N52+H53-K53</f>
        <v/>
      </c>
      <c r="O53" s="802">
        <f>O52+J53-M53</f>
        <v/>
      </c>
      <c r="P53" s="803" t="inlineStr">
        <is>
          <t>1월 송금</t>
        </is>
      </c>
      <c r="Q53" s="804" t="n"/>
      <c r="R53" s="804" t="inlineStr">
        <is>
          <t>Lin Jie Ting</t>
        </is>
      </c>
      <c r="S53" s="805">
        <f>S52-M53</f>
        <v/>
      </c>
    </row>
    <row r="54" ht="11.25" customHeight="1" s="654">
      <c r="B54" s="797" t="n">
        <v>45674</v>
      </c>
      <c r="C54" s="178" t="inlineStr">
        <is>
          <t>사무실</t>
        </is>
      </c>
      <c r="D54" s="185" t="n"/>
      <c r="E54" s="145" t="n">
        <v>28</v>
      </c>
      <c r="F54" s="82" t="inlineStr">
        <is>
          <t>해외지사비</t>
        </is>
      </c>
      <c r="G54" s="181" t="n"/>
      <c r="H54" s="181" t="n"/>
      <c r="I54" s="181" t="n"/>
      <c r="J54" s="181" t="n"/>
      <c r="K54" s="799" t="n">
        <v>5746.98</v>
      </c>
      <c r="L54" s="800">
        <f>'[2]통장내역(환율표)'!$D$246</f>
        <v/>
      </c>
      <c r="M54" s="810">
        <f>K54/L54</f>
        <v/>
      </c>
      <c r="N54" s="802">
        <f>N53+H54-K54</f>
        <v/>
      </c>
      <c r="O54" s="802">
        <f>O53+J54-M54</f>
        <v/>
      </c>
      <c r="P54" s="803" t="inlineStr">
        <is>
          <t>1월 송금</t>
        </is>
      </c>
      <c r="Q54" s="804" t="n"/>
      <c r="R54" s="804" t="inlineStr">
        <is>
          <t>Lin Jie Ting / pc. 모니터</t>
        </is>
      </c>
      <c r="S54" s="805">
        <f>S53-M54</f>
        <v/>
      </c>
    </row>
    <row r="55" ht="11.25" customHeight="1" s="654">
      <c r="B55" s="797" t="n">
        <v>45674</v>
      </c>
      <c r="C55" s="144" t="inlineStr">
        <is>
          <t>은행수수료</t>
        </is>
      </c>
      <c r="D55" s="185" t="n"/>
      <c r="E55" s="145" t="n">
        <v>29</v>
      </c>
      <c r="F55" s="82" t="inlineStr">
        <is>
          <t>해외지사비</t>
        </is>
      </c>
      <c r="G55" s="181" t="n"/>
      <c r="H55" s="181" t="n"/>
      <c r="I55" s="181" t="n"/>
      <c r="J55" s="181" t="n"/>
      <c r="K55" s="799" t="n">
        <v>7.2</v>
      </c>
      <c r="L55" s="800">
        <f>'[2]통장내역(환율표)'!$D$246</f>
        <v/>
      </c>
      <c r="M55" s="810">
        <f>K55/L55</f>
        <v/>
      </c>
      <c r="N55" s="802">
        <f>N54+H55-K55</f>
        <v/>
      </c>
      <c r="O55" s="802">
        <f>O54+J55-M55</f>
        <v/>
      </c>
      <c r="P55" s="803" t="inlineStr">
        <is>
          <t>1월 송금</t>
        </is>
      </c>
      <c r="Q55" s="804" t="n"/>
      <c r="R55" s="804" t="inlineStr">
        <is>
          <t>Lin Jie Ting</t>
        </is>
      </c>
      <c r="S55" s="805">
        <f>S54-M55</f>
        <v/>
      </c>
    </row>
    <row r="56" ht="11.25" customHeight="1" s="654">
      <c r="B56" s="797" t="n">
        <v>45674</v>
      </c>
      <c r="C56" s="178" t="inlineStr">
        <is>
          <t>주유비</t>
        </is>
      </c>
      <c r="D56" s="185" t="n"/>
      <c r="E56" s="145" t="n">
        <v>30</v>
      </c>
      <c r="F56" s="82" t="inlineStr">
        <is>
          <t>여비교통비</t>
        </is>
      </c>
      <c r="G56" s="181" t="inlineStr">
        <is>
          <t>해외</t>
        </is>
      </c>
      <c r="H56" s="181" t="n"/>
      <c r="I56" s="181" t="n"/>
      <c r="J56" s="181" t="n"/>
      <c r="K56" s="799" t="n">
        <v>2151</v>
      </c>
      <c r="L56" s="800">
        <f>'[2]통장내역(환율표)'!$D$246</f>
        <v/>
      </c>
      <c r="M56" s="810">
        <f>K56/L56</f>
        <v/>
      </c>
      <c r="N56" s="802">
        <f>N55+H56-K56</f>
        <v/>
      </c>
      <c r="O56" s="802">
        <f>O55+J56-M56</f>
        <v/>
      </c>
      <c r="P56" s="803" t="inlineStr">
        <is>
          <t>1월 송금</t>
        </is>
      </c>
      <c r="Q56" s="804" t="n"/>
      <c r="R56" s="804" t="inlineStr">
        <is>
          <t>Chen Guo Liang</t>
        </is>
      </c>
      <c r="S56" s="805">
        <f>S55-M56</f>
        <v/>
      </c>
    </row>
    <row r="57" ht="11.25" customHeight="1" s="654">
      <c r="B57" s="797" t="n">
        <v>45674</v>
      </c>
      <c r="C57" s="178" t="inlineStr">
        <is>
          <t>주차비</t>
        </is>
      </c>
      <c r="D57" s="185" t="n"/>
      <c r="E57" s="181" t="n">
        <v>31</v>
      </c>
      <c r="F57" s="181" t="inlineStr">
        <is>
          <t>여비교통비</t>
        </is>
      </c>
      <c r="G57" s="181" t="inlineStr">
        <is>
          <t>해외</t>
        </is>
      </c>
      <c r="H57" s="181" t="n"/>
      <c r="I57" s="181" t="n"/>
      <c r="J57" s="181" t="n"/>
      <c r="K57" s="799" t="n">
        <v>177</v>
      </c>
      <c r="L57" s="800">
        <f>'[2]통장내역(환율표)'!$D$246</f>
        <v/>
      </c>
      <c r="M57" s="810">
        <f>K57/L57</f>
        <v/>
      </c>
      <c r="N57" s="802">
        <f>N56+H57-K57</f>
        <v/>
      </c>
      <c r="O57" s="802">
        <f>O56+J57-M57</f>
        <v/>
      </c>
      <c r="P57" s="803" t="inlineStr">
        <is>
          <t>1월 송금</t>
        </is>
      </c>
      <c r="Q57" s="804" t="n"/>
      <c r="R57" s="804" t="inlineStr">
        <is>
          <t>Chen Guo Liang</t>
        </is>
      </c>
      <c r="S57" s="805">
        <f>S56-M57</f>
        <v/>
      </c>
    </row>
    <row r="58" ht="11.25" customHeight="1" s="654">
      <c r="B58" s="797" t="n">
        <v>45674</v>
      </c>
      <c r="C58" s="178" t="inlineStr">
        <is>
          <t>톨비</t>
        </is>
      </c>
      <c r="D58" s="185" t="n"/>
      <c r="E58" s="145" t="n">
        <v>32</v>
      </c>
      <c r="F58" s="181" t="inlineStr">
        <is>
          <t>여비교통비</t>
        </is>
      </c>
      <c r="G58" s="181" t="inlineStr">
        <is>
          <t>해외</t>
        </is>
      </c>
      <c r="H58" s="181" t="n"/>
      <c r="I58" s="181" t="n"/>
      <c r="J58" s="181" t="n"/>
      <c r="K58" s="799" t="n">
        <v>308</v>
      </c>
      <c r="L58" s="800">
        <f>'[2]통장내역(환율표)'!$D$246</f>
        <v/>
      </c>
      <c r="M58" s="810">
        <f>K58/L58</f>
        <v/>
      </c>
      <c r="N58" s="802">
        <f>N57+H58-K58</f>
        <v/>
      </c>
      <c r="O58" s="802">
        <f>O57+J58-M58</f>
        <v/>
      </c>
      <c r="P58" s="803" t="inlineStr">
        <is>
          <t>1월 송금</t>
        </is>
      </c>
      <c r="Q58" s="804" t="n"/>
      <c r="R58" s="804" t="inlineStr">
        <is>
          <t>Chen Guo Liang</t>
        </is>
      </c>
      <c r="S58" s="805">
        <f>S57-M58</f>
        <v/>
      </c>
    </row>
    <row r="59" ht="11.25" customHeight="1" s="654">
      <c r="B59" s="797" t="n">
        <v>45674</v>
      </c>
      <c r="C59" s="144" t="inlineStr">
        <is>
          <t>은행수수료</t>
        </is>
      </c>
      <c r="D59" s="185" t="n"/>
      <c r="E59" s="145" t="n">
        <v>33</v>
      </c>
      <c r="F59" s="181" t="inlineStr">
        <is>
          <t>해외지사비</t>
        </is>
      </c>
      <c r="G59" s="181" t="n"/>
      <c r="H59" s="181" t="n"/>
      <c r="I59" s="181" t="n"/>
      <c r="J59" s="181" t="n"/>
      <c r="K59" s="799" t="n">
        <v>3.6</v>
      </c>
      <c r="L59" s="800">
        <f>'[2]통장내역(환율표)'!$D$246</f>
        <v/>
      </c>
      <c r="M59" s="810">
        <f>K59/L59</f>
        <v/>
      </c>
      <c r="N59" s="802">
        <f>N58+H59-K59</f>
        <v/>
      </c>
      <c r="O59" s="802">
        <f>O58+J59-M59</f>
        <v/>
      </c>
      <c r="P59" s="803" t="inlineStr">
        <is>
          <t>1월 송금</t>
        </is>
      </c>
      <c r="Q59" s="804" t="n"/>
      <c r="R59" s="804" t="inlineStr">
        <is>
          <t>Chen Guo Liang</t>
        </is>
      </c>
      <c r="S59" s="805">
        <f>S58-M59</f>
        <v/>
      </c>
    </row>
    <row r="60" ht="11.25" customHeight="1" s="654">
      <c r="B60" s="797" t="n">
        <v>45674</v>
      </c>
      <c r="C60" s="178" t="inlineStr">
        <is>
          <t>주유비</t>
        </is>
      </c>
      <c r="D60" s="185" t="n"/>
      <c r="E60" s="145" t="n">
        <v>34</v>
      </c>
      <c r="F60" s="181" t="inlineStr">
        <is>
          <t>여비교통비</t>
        </is>
      </c>
      <c r="G60" s="181" t="inlineStr">
        <is>
          <t>해외</t>
        </is>
      </c>
      <c r="H60" s="181" t="n"/>
      <c r="I60" s="181" t="n"/>
      <c r="J60" s="181" t="n"/>
      <c r="K60" s="799" t="n">
        <v>1050</v>
      </c>
      <c r="L60" s="800">
        <f>'[2]통장내역(환율표)'!$D$246</f>
        <v/>
      </c>
      <c r="M60" s="810">
        <f>K60/L60</f>
        <v/>
      </c>
      <c r="N60" s="802">
        <f>N59+H60-K60</f>
        <v/>
      </c>
      <c r="O60" s="802">
        <f>O59+J60-M60</f>
        <v/>
      </c>
      <c r="P60" s="803" t="inlineStr">
        <is>
          <t>1월 송금</t>
        </is>
      </c>
      <c r="Q60" s="804" t="n"/>
      <c r="R60" s="804" t="inlineStr">
        <is>
          <t>Liu Ming Liang</t>
        </is>
      </c>
      <c r="S60" s="805">
        <f>S59-M60</f>
        <v/>
      </c>
    </row>
    <row r="61" ht="11.25" customHeight="1" s="654">
      <c r="B61" s="797" t="n">
        <v>45674</v>
      </c>
      <c r="C61" s="178" t="inlineStr">
        <is>
          <t>톨비</t>
        </is>
      </c>
      <c r="D61" s="185" t="n"/>
      <c r="E61" s="145" t="n">
        <v>35</v>
      </c>
      <c r="F61" s="181" t="inlineStr">
        <is>
          <t>여비교통비</t>
        </is>
      </c>
      <c r="G61" s="181" t="inlineStr">
        <is>
          <t>해외</t>
        </is>
      </c>
      <c r="H61" s="181" t="n"/>
      <c r="I61" s="181" t="n"/>
      <c r="J61" s="181" t="n"/>
      <c r="K61" s="799" t="n">
        <v>212</v>
      </c>
      <c r="L61" s="800">
        <f>'[2]통장내역(환율표)'!$D$246</f>
        <v/>
      </c>
      <c r="M61" s="810">
        <f>K61/L61</f>
        <v/>
      </c>
      <c r="N61" s="802">
        <f>N60+H61-K61</f>
        <v/>
      </c>
      <c r="O61" s="802">
        <f>O60+J61-M61</f>
        <v/>
      </c>
      <c r="P61" s="803" t="inlineStr">
        <is>
          <t>1월 송금</t>
        </is>
      </c>
      <c r="Q61" s="804" t="n"/>
      <c r="R61" s="804" t="inlineStr">
        <is>
          <t>Liu Ming Liang</t>
        </is>
      </c>
      <c r="S61" s="805">
        <f>S60-M61</f>
        <v/>
      </c>
    </row>
    <row r="62" ht="11.25" customHeight="1" s="654">
      <c r="B62" s="797" t="n">
        <v>45674</v>
      </c>
      <c r="C62" s="178" t="inlineStr">
        <is>
          <t>주차비</t>
        </is>
      </c>
      <c r="D62" s="185" t="n"/>
      <c r="E62" s="181" t="n">
        <v>36</v>
      </c>
      <c r="F62" s="181" t="inlineStr">
        <is>
          <t>여비교통비</t>
        </is>
      </c>
      <c r="G62" s="181" t="inlineStr">
        <is>
          <t>해외</t>
        </is>
      </c>
      <c r="H62" s="181" t="n"/>
      <c r="I62" s="181" t="n"/>
      <c r="J62" s="181" t="n"/>
      <c r="K62" s="799" t="n">
        <v>103</v>
      </c>
      <c r="L62" s="800">
        <f>'[2]통장내역(환율표)'!$D$246</f>
        <v/>
      </c>
      <c r="M62" s="810">
        <f>K62/L62</f>
        <v/>
      </c>
      <c r="N62" s="802">
        <f>N61+H62-K62</f>
        <v/>
      </c>
      <c r="O62" s="802">
        <f>O61+J62-M62</f>
        <v/>
      </c>
      <c r="P62" s="803" t="inlineStr">
        <is>
          <t>1월 송금</t>
        </is>
      </c>
      <c r="Q62" s="804" t="n"/>
      <c r="R62" s="804" t="inlineStr">
        <is>
          <t>Liu Ming Liang</t>
        </is>
      </c>
      <c r="S62" s="805">
        <f>S61-M62</f>
        <v/>
      </c>
    </row>
    <row r="63" ht="11.25" customHeight="1" s="654">
      <c r="B63" s="797" t="n">
        <v>45674</v>
      </c>
      <c r="C63" s="144" t="inlineStr">
        <is>
          <t>은행수수료</t>
        </is>
      </c>
      <c r="D63" s="185" t="n"/>
      <c r="E63" s="145" t="n">
        <v>37</v>
      </c>
      <c r="F63" s="181" t="inlineStr">
        <is>
          <t>해외지사비</t>
        </is>
      </c>
      <c r="G63" s="181" t="n"/>
      <c r="H63" s="181" t="n"/>
      <c r="I63" s="181" t="n"/>
      <c r="J63" s="181" t="n"/>
      <c r="K63" s="799" t="n">
        <v>3.6</v>
      </c>
      <c r="L63" s="800">
        <f>'[2]통장내역(환율표)'!$D$246</f>
        <v/>
      </c>
      <c r="M63" s="810">
        <f>K63/L63</f>
        <v/>
      </c>
      <c r="N63" s="802">
        <f>N62+H63-K63</f>
        <v/>
      </c>
      <c r="O63" s="802">
        <f>O62+J63-M63</f>
        <v/>
      </c>
      <c r="P63" s="803" t="inlineStr">
        <is>
          <t>1월 송금</t>
        </is>
      </c>
      <c r="Q63" s="804" t="n"/>
      <c r="R63" s="804" t="inlineStr">
        <is>
          <t>Liu Ming Liang</t>
        </is>
      </c>
      <c r="S63" s="805">
        <f>S62-M63</f>
        <v/>
      </c>
    </row>
    <row r="64" ht="11.25" customHeight="1" s="654">
      <c r="B64" s="797" t="n">
        <v>45677</v>
      </c>
      <c r="C64" s="178" t="inlineStr">
        <is>
          <t>출장비</t>
        </is>
      </c>
      <c r="D64" s="185" t="n"/>
      <c r="E64" s="145" t="n">
        <v>38</v>
      </c>
      <c r="F64" s="181" t="inlineStr">
        <is>
          <t>여비교통비</t>
        </is>
      </c>
      <c r="G64" s="181" t="inlineStr">
        <is>
          <t>해외</t>
        </is>
      </c>
      <c r="H64" s="181" t="n"/>
      <c r="I64" s="181" t="n"/>
      <c r="J64" s="181" t="n"/>
      <c r="K64" s="799" t="n">
        <v>5580.13</v>
      </c>
      <c r="L64" s="800">
        <f>'[2]통장내역(환율표)'!$D$246</f>
        <v/>
      </c>
      <c r="M64" s="810">
        <f>K64/L64</f>
        <v/>
      </c>
      <c r="N64" s="802">
        <f>N63+H64-K64</f>
        <v/>
      </c>
      <c r="O64" s="802">
        <f>O63+J64-M64</f>
        <v/>
      </c>
      <c r="P64" s="803" t="inlineStr">
        <is>
          <t>1월 송금</t>
        </is>
      </c>
      <c r="Q64" s="804" t="n"/>
      <c r="R64" s="804" t="inlineStr">
        <is>
          <t>김명관</t>
        </is>
      </c>
      <c r="S64" s="805">
        <f>S63-M64</f>
        <v/>
      </c>
    </row>
    <row r="65" ht="11.25" customHeight="1" s="654">
      <c r="B65" s="797" t="n">
        <v>45677</v>
      </c>
      <c r="C65" s="178" t="inlineStr">
        <is>
          <t>업무추진비</t>
        </is>
      </c>
      <c r="D65" s="185" t="n"/>
      <c r="E65" s="145" t="n">
        <v>39</v>
      </c>
      <c r="F65" s="181" t="inlineStr">
        <is>
          <t>업무추진비</t>
        </is>
      </c>
      <c r="G65" s="181" t="inlineStr">
        <is>
          <t>일반</t>
        </is>
      </c>
      <c r="H65" s="181" t="n"/>
      <c r="I65" s="181" t="n"/>
      <c r="J65" s="181" t="n"/>
      <c r="K65" s="799" t="n">
        <v>13597</v>
      </c>
      <c r="L65" s="800">
        <f>'[2]통장내역(환율표)'!$D$246</f>
        <v/>
      </c>
      <c r="M65" s="810">
        <f>K65/L65</f>
        <v/>
      </c>
      <c r="N65" s="802">
        <f>N64+H65-K65</f>
        <v/>
      </c>
      <c r="O65" s="802">
        <f>O64+J65-M65</f>
        <v/>
      </c>
      <c r="P65" s="803" t="inlineStr">
        <is>
          <t>1월 송금</t>
        </is>
      </c>
      <c r="Q65" s="804" t="n"/>
      <c r="R65" s="804" t="inlineStr">
        <is>
          <t>김명관</t>
        </is>
      </c>
      <c r="S65" s="805">
        <f>S64-M65</f>
        <v/>
      </c>
    </row>
    <row r="66" ht="11.25" customHeight="1" s="654">
      <c r="B66" s="797" t="n">
        <v>45677</v>
      </c>
      <c r="C66" s="178" t="inlineStr">
        <is>
          <t>통신비</t>
        </is>
      </c>
      <c r="D66" s="185" t="n"/>
      <c r="E66" s="145" t="n">
        <v>40</v>
      </c>
      <c r="F66" s="181" t="inlineStr">
        <is>
          <t>통신비</t>
        </is>
      </c>
      <c r="G66" s="181" t="inlineStr">
        <is>
          <t>기타</t>
        </is>
      </c>
      <c r="H66" s="181" t="n"/>
      <c r="I66" s="181" t="n"/>
      <c r="J66" s="181" t="n"/>
      <c r="K66" s="799" t="n">
        <v>297</v>
      </c>
      <c r="L66" s="800">
        <f>'[2]통장내역(환율표)'!$D$246</f>
        <v/>
      </c>
      <c r="M66" s="810">
        <f>K66/L66</f>
        <v/>
      </c>
      <c r="N66" s="802">
        <f>N65+H66-K66</f>
        <v/>
      </c>
      <c r="O66" s="802">
        <f>O65+J66-M66</f>
        <v/>
      </c>
      <c r="P66" s="803" t="inlineStr">
        <is>
          <t>1월 송금</t>
        </is>
      </c>
      <c r="Q66" s="804" t="n"/>
      <c r="R66" s="804" t="inlineStr">
        <is>
          <t>김명관</t>
        </is>
      </c>
      <c r="S66" s="805">
        <f>S65-M66</f>
        <v/>
      </c>
    </row>
    <row r="67" ht="11.25" customHeight="1" s="654">
      <c r="B67" s="797" t="n">
        <v>45677</v>
      </c>
      <c r="C67" s="178" t="inlineStr">
        <is>
          <t>은행수수료</t>
        </is>
      </c>
      <c r="D67" s="185" t="n"/>
      <c r="E67" s="82" t="n">
        <v>41</v>
      </c>
      <c r="F67" s="82" t="inlineStr">
        <is>
          <t>해외지사비</t>
        </is>
      </c>
      <c r="G67" s="82" t="n"/>
      <c r="H67" s="82" t="n"/>
      <c r="I67" s="82" t="n"/>
      <c r="J67" s="82" t="n"/>
      <c r="K67" s="799" t="n">
        <v>7.2</v>
      </c>
      <c r="L67" s="800">
        <f>'[2]통장내역(환율표)'!$D$246</f>
        <v/>
      </c>
      <c r="M67" s="810">
        <f>K67/L67</f>
        <v/>
      </c>
      <c r="N67" s="802">
        <f>N66+H67-K67</f>
        <v/>
      </c>
      <c r="O67" s="802">
        <f>O66+J67-M67</f>
        <v/>
      </c>
      <c r="P67" s="803" t="inlineStr">
        <is>
          <t>1월 송금</t>
        </is>
      </c>
      <c r="Q67" s="804" t="n"/>
      <c r="R67" s="804" t="inlineStr">
        <is>
          <t>김명관</t>
        </is>
      </c>
      <c r="S67" s="805">
        <f>S66-M67</f>
        <v/>
      </c>
    </row>
    <row r="68" ht="11.25" customHeight="1" s="654">
      <c r="B68" s="797" t="n">
        <v>45677</v>
      </c>
      <c r="C68" s="178" t="inlineStr">
        <is>
          <t>출장비</t>
        </is>
      </c>
      <c r="D68" s="185" t="n"/>
      <c r="E68" s="145" t="n">
        <v>42</v>
      </c>
      <c r="F68" s="82" t="inlineStr">
        <is>
          <t>여비교통비</t>
        </is>
      </c>
      <c r="G68" s="82" t="inlineStr">
        <is>
          <t>해외</t>
        </is>
      </c>
      <c r="H68" s="82" t="n"/>
      <c r="I68" s="82" t="n"/>
      <c r="J68" s="82" t="n"/>
      <c r="K68" s="799" t="n">
        <v>10595.86</v>
      </c>
      <c r="L68" s="800">
        <f>'[2]통장내역(환율표)'!$D$246</f>
        <v/>
      </c>
      <c r="M68" s="810">
        <f>K68/L68</f>
        <v/>
      </c>
      <c r="N68" s="802">
        <f>N67+H68-K68</f>
        <v/>
      </c>
      <c r="O68" s="802">
        <f>O67+J68-M68</f>
        <v/>
      </c>
      <c r="P68" s="803" t="inlineStr">
        <is>
          <t>1월 송금</t>
        </is>
      </c>
      <c r="Q68" s="804" t="n"/>
      <c r="R68" s="804" t="inlineStr">
        <is>
          <t>Piao Mei Ling</t>
        </is>
      </c>
      <c r="S68" s="805">
        <f>S67-M68</f>
        <v/>
      </c>
    </row>
    <row r="69" ht="11.25" customHeight="1" s="654">
      <c r="B69" s="797" t="n">
        <v>45677</v>
      </c>
      <c r="C69" s="178" t="inlineStr">
        <is>
          <t>시내교통비</t>
        </is>
      </c>
      <c r="D69" s="185" t="n"/>
      <c r="E69" s="145" t="n">
        <v>43</v>
      </c>
      <c r="F69" s="82" t="inlineStr">
        <is>
          <t>여비교통비</t>
        </is>
      </c>
      <c r="G69" s="82" t="inlineStr">
        <is>
          <t>해외</t>
        </is>
      </c>
      <c r="H69" s="82" t="n"/>
      <c r="I69" s="82" t="n"/>
      <c r="J69" s="82" t="n"/>
      <c r="K69" s="799" t="n">
        <v>163.86</v>
      </c>
      <c r="L69" s="800">
        <f>'[2]통장내역(환율표)'!$D$246</f>
        <v/>
      </c>
      <c r="M69" s="810">
        <f>K69/L69</f>
        <v/>
      </c>
      <c r="N69" s="802">
        <f>N68+H69-K69</f>
        <v/>
      </c>
      <c r="O69" s="802">
        <f>O68+J69-M69</f>
        <v/>
      </c>
      <c r="P69" s="803" t="inlineStr">
        <is>
          <t>1월 송금</t>
        </is>
      </c>
      <c r="Q69" s="804" t="n"/>
      <c r="R69" s="804" t="inlineStr">
        <is>
          <t>Piao Mei Ling</t>
        </is>
      </c>
      <c r="S69" s="805">
        <f>S68-M69</f>
        <v/>
      </c>
    </row>
    <row r="70" ht="11.25" customHeight="1" s="654">
      <c r="B70" s="797" t="n">
        <v>45677</v>
      </c>
      <c r="C70" s="178" t="inlineStr">
        <is>
          <t>사무용품</t>
        </is>
      </c>
      <c r="D70" s="185" t="n"/>
      <c r="E70" s="82" t="n">
        <v>44</v>
      </c>
      <c r="F70" s="82" t="inlineStr">
        <is>
          <t>해외지사비</t>
        </is>
      </c>
      <c r="G70" s="82" t="n"/>
      <c r="H70" s="82" t="n"/>
      <c r="I70" s="82" t="n"/>
      <c r="J70" s="82" t="n"/>
      <c r="K70" s="799" t="n">
        <v>59</v>
      </c>
      <c r="L70" s="800">
        <f>'[2]통장내역(환율표)'!$D$246</f>
        <v/>
      </c>
      <c r="M70" s="810">
        <f>K70/L70</f>
        <v/>
      </c>
      <c r="N70" s="802">
        <f>N69+H70-K70</f>
        <v/>
      </c>
      <c r="O70" s="802">
        <f>O69+J70-M70</f>
        <v/>
      </c>
      <c r="P70" s="803" t="inlineStr">
        <is>
          <t>1월 송금</t>
        </is>
      </c>
      <c r="Q70" s="804" t="n"/>
      <c r="R70" s="804" t="inlineStr">
        <is>
          <t>Piao Mei Ling</t>
        </is>
      </c>
      <c r="S70" s="805">
        <f>S69-M70</f>
        <v/>
      </c>
    </row>
    <row r="71" ht="11.25" customHeight="1" s="654">
      <c r="B71" s="797" t="n">
        <v>45677</v>
      </c>
      <c r="C71" s="178" t="inlineStr">
        <is>
          <t>은행수수료</t>
        </is>
      </c>
      <c r="D71" s="185" t="n"/>
      <c r="E71" s="145" t="n">
        <v>45</v>
      </c>
      <c r="F71" s="82" t="inlineStr">
        <is>
          <t>해외지사비</t>
        </is>
      </c>
      <c r="G71" s="82" t="n"/>
      <c r="H71" s="82" t="n"/>
      <c r="I71" s="82" t="n"/>
      <c r="J71" s="82" t="n"/>
      <c r="K71" s="799" t="n">
        <v>7.2</v>
      </c>
      <c r="L71" s="800">
        <f>'[2]통장내역(환율표)'!$D$246</f>
        <v/>
      </c>
      <c r="M71" s="810">
        <f>K71/L71</f>
        <v/>
      </c>
      <c r="N71" s="802">
        <f>N70+H71-K71</f>
        <v/>
      </c>
      <c r="O71" s="802">
        <f>O70+J71-M71</f>
        <v/>
      </c>
      <c r="P71" s="803" t="inlineStr">
        <is>
          <t>1월 송금</t>
        </is>
      </c>
      <c r="Q71" s="804" t="n"/>
      <c r="R71" s="804" t="inlineStr">
        <is>
          <t>Piao Mei Ling</t>
        </is>
      </c>
      <c r="S71" s="805">
        <f>S70-M71</f>
        <v/>
      </c>
    </row>
    <row r="72" ht="11.25" customHeight="1" s="654">
      <c r="B72" s="797" t="n">
        <v>45679</v>
      </c>
      <c r="C72" s="178" t="inlineStr">
        <is>
          <t>전문법율서비스</t>
        </is>
      </c>
      <c r="D72" s="183" t="n"/>
      <c r="E72" s="145" t="n">
        <v>46</v>
      </c>
      <c r="F72" s="82" t="inlineStr">
        <is>
          <t>해외지사비</t>
        </is>
      </c>
      <c r="G72" s="82" t="n"/>
      <c r="H72" s="82" t="n"/>
      <c r="I72" s="82" t="n"/>
      <c r="J72" s="82" t="n"/>
      <c r="K72" s="799" t="n">
        <v>15000</v>
      </c>
      <c r="L72" s="800">
        <f>'[2]통장내역(환율표)'!$D$246</f>
        <v/>
      </c>
      <c r="M72" s="810">
        <f>K72/L72</f>
        <v/>
      </c>
      <c r="N72" s="802">
        <f>N71+H72-K72</f>
        <v/>
      </c>
      <c r="O72" s="802">
        <f>O71+J72-M72</f>
        <v/>
      </c>
      <c r="P72" s="803" t="inlineStr">
        <is>
          <t>1월 송금</t>
        </is>
      </c>
      <c r="Q72" s="804" t="n"/>
      <c r="R72" s="804" t="n"/>
      <c r="S72" s="805">
        <f>S71-M72</f>
        <v/>
      </c>
    </row>
    <row r="73" ht="11.25" customHeight="1" s="654">
      <c r="B73" s="797" t="n">
        <v>45679</v>
      </c>
      <c r="C73" s="144" t="inlineStr">
        <is>
          <t>은행수수료</t>
        </is>
      </c>
      <c r="D73" s="183" t="n"/>
      <c r="E73" s="145" t="n">
        <v>47</v>
      </c>
      <c r="F73" s="82" t="inlineStr">
        <is>
          <t>해외지사비</t>
        </is>
      </c>
      <c r="G73" s="82" t="n"/>
      <c r="H73" s="82" t="n"/>
      <c r="I73" s="82" t="n"/>
      <c r="J73" s="82" t="n"/>
      <c r="K73" s="799" t="n">
        <v>7.2</v>
      </c>
      <c r="L73" s="800">
        <f>'[2]통장내역(환율표)'!$D$246</f>
        <v/>
      </c>
      <c r="M73" s="810">
        <f>K73/L73</f>
        <v/>
      </c>
      <c r="N73" s="802">
        <f>N72+H73-K73</f>
        <v/>
      </c>
      <c r="O73" s="802">
        <f>O72+J73-M73</f>
        <v/>
      </c>
      <c r="P73" s="803" t="inlineStr">
        <is>
          <t>1월 송금</t>
        </is>
      </c>
      <c r="Q73" s="804" t="n"/>
      <c r="R73" s="804" t="n"/>
      <c r="S73" s="805">
        <f>S72-M73</f>
        <v/>
      </c>
    </row>
    <row r="74" ht="11.25" customHeight="1" s="654">
      <c r="B74" s="797" t="n">
        <v>45680</v>
      </c>
      <c r="C74" s="178" t="inlineStr">
        <is>
          <t>주재원 주재수당</t>
        </is>
      </c>
      <c r="D74" s="183" t="n"/>
      <c r="E74" s="145" t="n">
        <v>48</v>
      </c>
      <c r="F74" s="82" t="inlineStr">
        <is>
          <t>해외지사비</t>
        </is>
      </c>
      <c r="G74" s="82" t="n"/>
      <c r="H74" s="82" t="n"/>
      <c r="I74" s="82" t="n"/>
      <c r="J74" s="82" t="n"/>
      <c r="K74" s="799" t="n">
        <v>16000</v>
      </c>
      <c r="L74" s="800">
        <f>'[2]통장내역(환율표)'!$D$246</f>
        <v/>
      </c>
      <c r="M74" s="810">
        <f>K74/L74</f>
        <v/>
      </c>
      <c r="N74" s="802">
        <f>N73+H74-K74</f>
        <v/>
      </c>
      <c r="O74" s="802">
        <f>O73+J74-M74</f>
        <v/>
      </c>
      <c r="P74" s="803" t="inlineStr">
        <is>
          <t>1월 송금</t>
        </is>
      </c>
      <c r="Q74" s="804" t="n"/>
      <c r="R74" s="804" t="inlineStr">
        <is>
          <t>김명관</t>
        </is>
      </c>
      <c r="S74" s="805">
        <f>S73-M74</f>
        <v/>
      </c>
    </row>
    <row r="75" ht="11.25" customHeight="1" s="654">
      <c r="B75" s="797" t="n">
        <v>45680</v>
      </c>
      <c r="C75" s="178" t="inlineStr">
        <is>
          <t>주재원 주택수당</t>
        </is>
      </c>
      <c r="D75" s="183" t="n"/>
      <c r="E75" s="145" t="n">
        <v>48</v>
      </c>
      <c r="F75" s="82" t="inlineStr">
        <is>
          <t>해외지사비</t>
        </is>
      </c>
      <c r="G75" s="82" t="n"/>
      <c r="H75" s="82" t="n"/>
      <c r="I75" s="82" t="n"/>
      <c r="J75" s="82" t="n"/>
      <c r="K75" s="799" t="n">
        <v>24000</v>
      </c>
      <c r="L75" s="800">
        <f>'[2]통장내역(환율표)'!$D$246</f>
        <v/>
      </c>
      <c r="M75" s="810">
        <f>K75/L75</f>
        <v/>
      </c>
      <c r="N75" s="802">
        <f>N74+H75-K75</f>
        <v/>
      </c>
      <c r="O75" s="802">
        <f>O74+J75-M75</f>
        <v/>
      </c>
      <c r="P75" s="803" t="inlineStr">
        <is>
          <t>1월 송금</t>
        </is>
      </c>
      <c r="Q75" s="804" t="n"/>
      <c r="R75" s="804" t="inlineStr">
        <is>
          <t>김명관</t>
        </is>
      </c>
      <c r="S75" s="805">
        <f>S74-M75</f>
        <v/>
      </c>
    </row>
    <row r="76" ht="11.25" customHeight="1" s="654">
      <c r="B76" s="797" t="n">
        <v>45680</v>
      </c>
      <c r="C76" s="178" t="inlineStr">
        <is>
          <t>보험(주재원/현채인)</t>
        </is>
      </c>
      <c r="D76" s="819" t="n"/>
      <c r="E76" s="145" t="n">
        <v>48</v>
      </c>
      <c r="F76" s="82" t="inlineStr">
        <is>
          <t>해외지사비</t>
        </is>
      </c>
      <c r="G76" s="82" t="n"/>
      <c r="H76" s="82" t="n"/>
      <c r="I76" s="82" t="n"/>
      <c r="J76" s="82" t="n"/>
      <c r="K76" s="799" t="n">
        <v>5305.19</v>
      </c>
      <c r="L76" s="800">
        <f>'[2]통장내역(환율표)'!$D$246</f>
        <v/>
      </c>
      <c r="M76" s="810">
        <f>K76/L76</f>
        <v/>
      </c>
      <c r="N76" s="802">
        <f>N75+H76-K76</f>
        <v/>
      </c>
      <c r="O76" s="802">
        <f>O75+J76-M76</f>
        <v/>
      </c>
      <c r="P76" s="803" t="inlineStr">
        <is>
          <t>1월 송금</t>
        </is>
      </c>
      <c r="Q76" s="804" t="n"/>
      <c r="R76" s="804" t="inlineStr">
        <is>
          <t>김명관</t>
        </is>
      </c>
      <c r="S76" s="805">
        <f>S75-M76</f>
        <v/>
      </c>
    </row>
    <row r="77" ht="11.25" customHeight="1" s="654">
      <c r="B77" s="797" t="n">
        <v>45680</v>
      </c>
      <c r="C77" s="178" t="inlineStr">
        <is>
          <t>세금(주재원/현채인)</t>
        </is>
      </c>
      <c r="D77" s="819" t="n"/>
      <c r="E77" s="145" t="n">
        <v>48</v>
      </c>
      <c r="F77" s="82" t="inlineStr">
        <is>
          <t>해외지사비</t>
        </is>
      </c>
      <c r="G77" s="82" t="n"/>
      <c r="H77" s="82" t="n"/>
      <c r="I77" s="82" t="n"/>
      <c r="J77" s="82" t="n"/>
      <c r="K77" s="799" t="n">
        <v>1001.04</v>
      </c>
      <c r="L77" s="800">
        <f>'[2]통장내역(환율표)'!$D$246</f>
        <v/>
      </c>
      <c r="M77" s="810">
        <f>K77/L77</f>
        <v/>
      </c>
      <c r="N77" s="802">
        <f>N76+H77-K77</f>
        <v/>
      </c>
      <c r="O77" s="802">
        <f>O76+J77-M77</f>
        <v/>
      </c>
      <c r="P77" s="803" t="inlineStr">
        <is>
          <t>1월 송금</t>
        </is>
      </c>
      <c r="Q77" s="804" t="n"/>
      <c r="R77" s="804" t="inlineStr">
        <is>
          <t>김명관</t>
        </is>
      </c>
      <c r="S77" s="805">
        <f>S76-M77</f>
        <v/>
      </c>
    </row>
    <row r="78" ht="11.25" customHeight="1" s="654">
      <c r="B78" s="797" t="n">
        <v>45680</v>
      </c>
      <c r="C78" s="178" t="inlineStr">
        <is>
          <t>대행수수료</t>
        </is>
      </c>
      <c r="D78" s="819" t="n"/>
      <c r="E78" s="145" t="n">
        <v>48</v>
      </c>
      <c r="F78" s="82" t="inlineStr">
        <is>
          <t>해외지사비</t>
        </is>
      </c>
      <c r="G78" s="82" t="n"/>
      <c r="H78" s="82" t="n"/>
      <c r="I78" s="82" t="n"/>
      <c r="J78" s="82" t="n"/>
      <c r="K78" s="799" t="n">
        <v>300</v>
      </c>
      <c r="L78" s="800">
        <f>'[2]통장내역(환율표)'!$D$246</f>
        <v/>
      </c>
      <c r="M78" s="810">
        <f>K78/L78</f>
        <v/>
      </c>
      <c r="N78" s="802">
        <f>N77+H78-K78</f>
        <v/>
      </c>
      <c r="O78" s="802">
        <f>O77+J78-M78</f>
        <v/>
      </c>
      <c r="P78" s="803" t="inlineStr">
        <is>
          <t>1월 송금</t>
        </is>
      </c>
      <c r="Q78" s="804" t="n"/>
      <c r="R78" s="804" t="inlineStr">
        <is>
          <t>김명관</t>
        </is>
      </c>
      <c r="S78" s="805">
        <f>S77-M78</f>
        <v/>
      </c>
    </row>
    <row r="79" ht="11.25" customHeight="1" s="654">
      <c r="B79" s="797" t="n">
        <v>45680</v>
      </c>
      <c r="C79" s="178" t="inlineStr">
        <is>
          <t>주재원 주재수당</t>
        </is>
      </c>
      <c r="D79" s="819" t="n"/>
      <c r="E79" s="145" t="n">
        <v>48</v>
      </c>
      <c r="F79" s="82" t="inlineStr">
        <is>
          <t>해외지사비</t>
        </is>
      </c>
      <c r="G79" s="82" t="n"/>
      <c r="H79" s="82" t="n"/>
      <c r="I79" s="82" t="n"/>
      <c r="J79" s="82" t="n"/>
      <c r="K79" s="799" t="n">
        <v>16000</v>
      </c>
      <c r="L79" s="800">
        <f>'[2]통장내역(환율표)'!$D$246</f>
        <v/>
      </c>
      <c r="M79" s="810">
        <f>K79/L79</f>
        <v/>
      </c>
      <c r="N79" s="802">
        <f>N78+H79-K79</f>
        <v/>
      </c>
      <c r="O79" s="802">
        <f>O78+J79-M79</f>
        <v/>
      </c>
      <c r="P79" s="803" t="inlineStr">
        <is>
          <t>1월 송금</t>
        </is>
      </c>
      <c r="Q79" s="804" t="n"/>
      <c r="R79" s="804" t="inlineStr">
        <is>
          <t>신순연</t>
        </is>
      </c>
      <c r="S79" s="805">
        <f>S78-M79</f>
        <v/>
      </c>
    </row>
    <row r="80" ht="11.25" customHeight="1" s="654">
      <c r="B80" s="797" t="n">
        <v>45680</v>
      </c>
      <c r="C80" s="178" t="inlineStr">
        <is>
          <t>주재원 주택수당</t>
        </is>
      </c>
      <c r="D80" s="819" t="n"/>
      <c r="E80" s="145" t="n">
        <v>48</v>
      </c>
      <c r="F80" s="82" t="inlineStr">
        <is>
          <t>해외지사비</t>
        </is>
      </c>
      <c r="G80" s="82" t="n"/>
      <c r="H80" s="82" t="n"/>
      <c r="I80" s="82" t="n"/>
      <c r="J80" s="82" t="n"/>
      <c r="K80" s="799" t="n">
        <v>24000</v>
      </c>
      <c r="L80" s="800">
        <f>'[2]통장내역(환율표)'!$D$246</f>
        <v/>
      </c>
      <c r="M80" s="810">
        <f>K80/L80</f>
        <v/>
      </c>
      <c r="N80" s="802">
        <f>N79+H80-K80</f>
        <v/>
      </c>
      <c r="O80" s="802">
        <f>O79+J80-M80</f>
        <v/>
      </c>
      <c r="P80" s="803" t="inlineStr">
        <is>
          <t>1월 송금</t>
        </is>
      </c>
      <c r="Q80" s="804" t="n"/>
      <c r="R80" s="804" t="inlineStr">
        <is>
          <t>신순연</t>
        </is>
      </c>
      <c r="S80" s="805">
        <f>S79-M80</f>
        <v/>
      </c>
    </row>
    <row r="81" ht="11.25" customHeight="1" s="654">
      <c r="B81" s="797" t="n">
        <v>45680</v>
      </c>
      <c r="C81" s="178" t="inlineStr">
        <is>
          <t>보험(주재원/현채인)</t>
        </is>
      </c>
      <c r="D81" s="819" t="n"/>
      <c r="E81" s="145" t="n">
        <v>48</v>
      </c>
      <c r="F81" s="82" t="inlineStr">
        <is>
          <t>해외지사비</t>
        </is>
      </c>
      <c r="G81" s="82" t="n"/>
      <c r="H81" s="82" t="n"/>
      <c r="I81" s="82" t="n"/>
      <c r="J81" s="82" t="n"/>
      <c r="K81" s="799" t="n">
        <v>8726.190000000001</v>
      </c>
      <c r="L81" s="800">
        <f>'[2]통장내역(환율표)'!$D$246</f>
        <v/>
      </c>
      <c r="M81" s="810">
        <f>K81/L81</f>
        <v/>
      </c>
      <c r="N81" s="802">
        <f>N80+H81-K81</f>
        <v/>
      </c>
      <c r="O81" s="802">
        <f>O80+J81-M81</f>
        <v/>
      </c>
      <c r="P81" s="803" t="inlineStr">
        <is>
          <t>1월 송금</t>
        </is>
      </c>
      <c r="Q81" s="804" t="n"/>
      <c r="R81" s="804" t="inlineStr">
        <is>
          <t>신순연</t>
        </is>
      </c>
      <c r="S81" s="805">
        <f>S80-M81</f>
        <v/>
      </c>
    </row>
    <row r="82" ht="11.25" customHeight="1" s="654">
      <c r="B82" s="797" t="n">
        <v>45680</v>
      </c>
      <c r="C82" s="178" t="inlineStr">
        <is>
          <t>세금(주재원/현채인)</t>
        </is>
      </c>
      <c r="D82" s="819" t="n"/>
      <c r="E82" s="145" t="n">
        <v>48</v>
      </c>
      <c r="F82" s="82" t="inlineStr">
        <is>
          <t>해외지사비</t>
        </is>
      </c>
      <c r="G82" s="82" t="n"/>
      <c r="H82" s="82" t="n"/>
      <c r="I82" s="82" t="n"/>
      <c r="J82" s="82" t="n"/>
      <c r="K82" s="799" t="n">
        <v>950.1</v>
      </c>
      <c r="L82" s="800">
        <f>'[2]통장내역(환율표)'!$D$246</f>
        <v/>
      </c>
      <c r="M82" s="810">
        <f>K82/L82</f>
        <v/>
      </c>
      <c r="N82" s="802">
        <f>N81+H82-K82</f>
        <v/>
      </c>
      <c r="O82" s="802">
        <f>O81+J82-M82</f>
        <v/>
      </c>
      <c r="P82" s="803" t="inlineStr">
        <is>
          <t>1월 송금</t>
        </is>
      </c>
      <c r="Q82" s="804" t="n"/>
      <c r="R82" s="804" t="inlineStr">
        <is>
          <t>신순연</t>
        </is>
      </c>
      <c r="S82" s="805">
        <f>S81-M82</f>
        <v/>
      </c>
    </row>
    <row r="83" ht="11.25" customHeight="1" s="654">
      <c r="B83" s="797" t="n">
        <v>45680</v>
      </c>
      <c r="C83" s="178" t="inlineStr">
        <is>
          <t>대행수수료</t>
        </is>
      </c>
      <c r="D83" s="819" t="n"/>
      <c r="E83" s="145" t="n">
        <v>48</v>
      </c>
      <c r="F83" s="82" t="inlineStr">
        <is>
          <t>해외지사비</t>
        </is>
      </c>
      <c r="G83" s="82" t="n"/>
      <c r="H83" s="82" t="n"/>
      <c r="I83" s="82" t="n"/>
      <c r="J83" s="82" t="n"/>
      <c r="K83" s="799" t="n">
        <v>300</v>
      </c>
      <c r="L83" s="800">
        <f>'[2]통장내역(환율표)'!$D$246</f>
        <v/>
      </c>
      <c r="M83" s="810">
        <f>K83/L83</f>
        <v/>
      </c>
      <c r="N83" s="802">
        <f>N82+H83-K83</f>
        <v/>
      </c>
      <c r="O83" s="802">
        <f>O82+J83-M83</f>
        <v/>
      </c>
      <c r="P83" s="803" t="inlineStr">
        <is>
          <t>1월 송금</t>
        </is>
      </c>
      <c r="Q83" s="804" t="n"/>
      <c r="R83" s="804" t="inlineStr">
        <is>
          <t>신순연</t>
        </is>
      </c>
      <c r="S83" s="805">
        <f>S82-M83</f>
        <v/>
      </c>
    </row>
    <row r="84" ht="11.25" customHeight="1" s="654">
      <c r="B84" s="797" t="n">
        <v>45680</v>
      </c>
      <c r="C84" s="178" t="inlineStr">
        <is>
          <t>현채인 월급</t>
        </is>
      </c>
      <c r="D84" s="819" t="n"/>
      <c r="E84" s="145" t="n">
        <v>48</v>
      </c>
      <c r="F84" s="82" t="inlineStr">
        <is>
          <t>해외지사비</t>
        </is>
      </c>
      <c r="G84" s="82" t="n"/>
      <c r="H84" s="82" t="n"/>
      <c r="I84" s="82" t="n"/>
      <c r="J84" s="82" t="n"/>
      <c r="K84" s="799" t="n">
        <v>25750</v>
      </c>
      <c r="L84" s="800">
        <f>'[2]통장내역(환율표)'!$D$246</f>
        <v/>
      </c>
      <c r="M84" s="810">
        <f>K84/L84</f>
        <v/>
      </c>
      <c r="N84" s="802">
        <f>N83+H84-K84</f>
        <v/>
      </c>
      <c r="O84" s="802">
        <f>O83+J84-M84</f>
        <v/>
      </c>
      <c r="P84" s="803" t="inlineStr">
        <is>
          <t>1월 송금</t>
        </is>
      </c>
      <c r="Q84" s="804" t="n"/>
      <c r="R84" s="804" t="inlineStr">
        <is>
          <t>FAE (Pan Shi Qiang)</t>
        </is>
      </c>
      <c r="S84" s="805">
        <f>S83-M84</f>
        <v/>
      </c>
    </row>
    <row r="85" ht="11.25" customHeight="1" s="654">
      <c r="B85" s="797" t="n">
        <v>45680</v>
      </c>
      <c r="C85" s="178" t="inlineStr">
        <is>
          <t>보너스</t>
        </is>
      </c>
      <c r="D85" s="819" t="n"/>
      <c r="E85" s="145" t="n">
        <v>48</v>
      </c>
      <c r="F85" s="82" t="inlineStr">
        <is>
          <t>해외지사비</t>
        </is>
      </c>
      <c r="G85" s="82" t="n"/>
      <c r="H85" s="799" t="n"/>
      <c r="I85" s="800" t="n"/>
      <c r="J85" s="820" t="n"/>
      <c r="K85" s="821" t="n">
        <v>66500</v>
      </c>
      <c r="L85" s="800">
        <f>'[2]통장내역(환율표)'!$D$246</f>
        <v/>
      </c>
      <c r="M85" s="810">
        <f>K85/L85</f>
        <v/>
      </c>
      <c r="N85" s="802">
        <f>N84+H85-K85</f>
        <v/>
      </c>
      <c r="O85" s="802">
        <f>O84+J85-M85</f>
        <v/>
      </c>
      <c r="P85" s="803" t="inlineStr">
        <is>
          <t>1월 송금</t>
        </is>
      </c>
      <c r="Q85" s="804" t="n"/>
      <c r="R85" s="804" t="inlineStr">
        <is>
          <t>FAE (Pan Shi Qiang)</t>
        </is>
      </c>
      <c r="S85" s="805">
        <f>S84-M85</f>
        <v/>
      </c>
    </row>
    <row r="86" ht="11.25" customHeight="1" s="654">
      <c r="B86" s="797" t="n">
        <v>45680</v>
      </c>
      <c r="C86" s="178" t="inlineStr">
        <is>
          <t>보험비(회사납부)
公司缴纳部分合计</t>
        </is>
      </c>
      <c r="D86" s="819" t="n"/>
      <c r="E86" s="145" t="n">
        <v>48</v>
      </c>
      <c r="F86" s="82" t="inlineStr">
        <is>
          <t>해외지사비</t>
        </is>
      </c>
      <c r="G86" s="82" t="n"/>
      <c r="H86" s="82" t="n"/>
      <c r="I86" s="82" t="n"/>
      <c r="J86" s="82" t="n"/>
      <c r="K86" s="799" t="n">
        <v>7431.44</v>
      </c>
      <c r="L86" s="800">
        <f>'[2]통장내역(환율표)'!$D$246</f>
        <v/>
      </c>
      <c r="M86" s="810">
        <f>K86/L86</f>
        <v/>
      </c>
      <c r="N86" s="802">
        <f>N85+H86-K86</f>
        <v/>
      </c>
      <c r="O86" s="802">
        <f>O85+J86-M86</f>
        <v/>
      </c>
      <c r="P86" s="803" t="inlineStr">
        <is>
          <t>1월 송금</t>
        </is>
      </c>
      <c r="Q86" s="804" t="n"/>
      <c r="R86" s="804" t="inlineStr">
        <is>
          <t>FAE (Pan Shi Qiang)</t>
        </is>
      </c>
      <c r="S86" s="805">
        <f>S85-M86</f>
        <v/>
      </c>
    </row>
    <row r="87" ht="11.25" customHeight="1" s="654">
      <c r="B87" s="797" t="n">
        <v>45680</v>
      </c>
      <c r="C87" s="178" t="inlineStr">
        <is>
          <t>대행수수료</t>
        </is>
      </c>
      <c r="D87" s="819" t="n"/>
      <c r="E87" s="145" t="n">
        <v>48</v>
      </c>
      <c r="F87" s="82" t="inlineStr">
        <is>
          <t>해외지사비</t>
        </is>
      </c>
      <c r="G87" s="82" t="n"/>
      <c r="H87" s="82" t="n"/>
      <c r="I87" s="82" t="n"/>
      <c r="J87" s="82" t="n"/>
      <c r="K87" s="799" t="n">
        <v>300</v>
      </c>
      <c r="L87" s="800">
        <f>'[2]통장내역(환율표)'!$D$246</f>
        <v/>
      </c>
      <c r="M87" s="810">
        <f>K87/L87</f>
        <v/>
      </c>
      <c r="N87" s="802">
        <f>N86+H87-K87</f>
        <v/>
      </c>
      <c r="O87" s="802">
        <f>O86+J87-M87</f>
        <v/>
      </c>
      <c r="P87" s="803" t="inlineStr">
        <is>
          <t>1월 송금</t>
        </is>
      </c>
      <c r="Q87" s="804" t="n"/>
      <c r="R87" s="804" t="inlineStr">
        <is>
          <t>FAE (Pan Shi Qiang)</t>
        </is>
      </c>
      <c r="S87" s="805">
        <f>S86-M87</f>
        <v/>
      </c>
    </row>
    <row r="88" ht="11.25" customHeight="1" s="654">
      <c r="B88" s="797" t="n">
        <v>45680</v>
      </c>
      <c r="C88" s="178" t="inlineStr">
        <is>
          <t>일비</t>
        </is>
      </c>
      <c r="D88" s="819" t="n"/>
      <c r="E88" s="145" t="n">
        <v>48</v>
      </c>
      <c r="F88" s="82" t="inlineStr">
        <is>
          <t>해외지사비</t>
        </is>
      </c>
      <c r="G88" s="82" t="n"/>
      <c r="H88" s="82" t="n"/>
      <c r="I88" s="82" t="n"/>
      <c r="J88" s="82" t="n"/>
      <c r="K88" s="799" t="n">
        <v>200</v>
      </c>
      <c r="L88" s="800">
        <f>'[2]통장내역(환율표)'!$D$246</f>
        <v/>
      </c>
      <c r="M88" s="810">
        <f>K88/L88</f>
        <v/>
      </c>
      <c r="N88" s="802">
        <f>N87+H88-K88</f>
        <v/>
      </c>
      <c r="O88" s="802">
        <f>O87+J88-M88</f>
        <v/>
      </c>
      <c r="P88" s="803" t="inlineStr">
        <is>
          <t>1월 송금</t>
        </is>
      </c>
      <c r="Q88" s="804" t="n"/>
      <c r="R88" s="804" t="inlineStr">
        <is>
          <t>FAE (Pan Shi Qiang)</t>
        </is>
      </c>
      <c r="S88" s="805">
        <f>S87-M88</f>
        <v/>
      </c>
    </row>
    <row r="89" ht="11.25" customHeight="1" s="654">
      <c r="B89" s="797" t="n">
        <v>45680</v>
      </c>
      <c r="C89" s="178" t="inlineStr">
        <is>
          <t>현채인 월급</t>
        </is>
      </c>
      <c r="D89" s="819" t="n"/>
      <c r="E89" s="145" t="n">
        <v>48</v>
      </c>
      <c r="F89" s="82" t="inlineStr">
        <is>
          <t>해외지사비</t>
        </is>
      </c>
      <c r="G89" s="82" t="n"/>
      <c r="H89" s="82" t="n"/>
      <c r="I89" s="82" t="n"/>
      <c r="J89" s="82" t="n"/>
      <c r="K89" s="799" t="n">
        <v>13390</v>
      </c>
      <c r="L89" s="800">
        <f>'[2]통장내역(환율표)'!$D$246</f>
        <v/>
      </c>
      <c r="M89" s="810">
        <f>K89/L89</f>
        <v/>
      </c>
      <c r="N89" s="802">
        <f>N88+H89-K89</f>
        <v/>
      </c>
      <c r="O89" s="802">
        <f>O88+J89-M89</f>
        <v/>
      </c>
      <c r="P89" s="803" t="inlineStr">
        <is>
          <t>1월 송금</t>
        </is>
      </c>
      <c r="Q89" s="804" t="n"/>
      <c r="R89" s="804" t="inlineStr">
        <is>
          <t>张亮(Zhang Liang)</t>
        </is>
      </c>
      <c r="S89" s="805">
        <f>S88-M89</f>
        <v/>
      </c>
    </row>
    <row r="90" ht="11.25" customHeight="1" s="654">
      <c r="B90" s="797" t="n">
        <v>45680</v>
      </c>
      <c r="C90" s="178" t="inlineStr">
        <is>
          <t>보너스</t>
        </is>
      </c>
      <c r="D90" s="819" t="n"/>
      <c r="E90" s="145" t="n">
        <v>48</v>
      </c>
      <c r="F90" s="82" t="inlineStr">
        <is>
          <t>해외지사비</t>
        </is>
      </c>
      <c r="G90" s="82" t="n"/>
      <c r="H90" s="82" t="n"/>
      <c r="I90" s="82" t="n"/>
      <c r="J90" s="82" t="n"/>
      <c r="K90" s="799" t="n">
        <v>6500</v>
      </c>
      <c r="L90" s="800">
        <f>'[2]통장내역(환율표)'!$D$246</f>
        <v/>
      </c>
      <c r="M90" s="810">
        <f>K90/L90</f>
        <v/>
      </c>
      <c r="N90" s="802">
        <f>N89+H90-K90</f>
        <v/>
      </c>
      <c r="O90" s="802">
        <f>O89+J90-M90</f>
        <v/>
      </c>
      <c r="P90" s="803" t="inlineStr">
        <is>
          <t>1월 송금</t>
        </is>
      </c>
      <c r="Q90" s="804" t="n"/>
      <c r="R90" s="804" t="inlineStr">
        <is>
          <t>张亮(Zhang Liang)</t>
        </is>
      </c>
      <c r="S90" s="805">
        <f>S89-M90</f>
        <v/>
      </c>
    </row>
    <row r="91" ht="11.25" customHeight="1" s="654">
      <c r="B91" s="797" t="n">
        <v>45680</v>
      </c>
      <c r="C91" s="178" t="inlineStr">
        <is>
          <t>보험비(회사납부)
公司缴纳部分合计</t>
        </is>
      </c>
      <c r="D91" s="819" t="n"/>
      <c r="E91" s="145" t="n">
        <v>48</v>
      </c>
      <c r="F91" s="82" t="inlineStr">
        <is>
          <t>해외지사비</t>
        </is>
      </c>
      <c r="G91" s="82" t="n"/>
      <c r="H91" s="82" t="n"/>
      <c r="I91" s="82" t="n"/>
      <c r="J91" s="82" t="n"/>
      <c r="K91" s="799" t="n">
        <v>3281.57</v>
      </c>
      <c r="L91" s="800">
        <f>'[2]통장내역(환율표)'!$D$246</f>
        <v/>
      </c>
      <c r="M91" s="810">
        <f>K91/L91</f>
        <v/>
      </c>
      <c r="N91" s="802">
        <f>N90+H91-K91</f>
        <v/>
      </c>
      <c r="O91" s="802">
        <f>O90+J91-M91</f>
        <v/>
      </c>
      <c r="P91" s="803" t="inlineStr">
        <is>
          <t>1월 송금</t>
        </is>
      </c>
      <c r="Q91" s="804" t="n"/>
      <c r="R91" s="804" t="inlineStr">
        <is>
          <t>张亮(Zhang Liang)</t>
        </is>
      </c>
      <c r="S91" s="805">
        <f>S90-M91</f>
        <v/>
      </c>
    </row>
    <row r="92" ht="11.25" customHeight="1" s="654">
      <c r="B92" s="797" t="n">
        <v>45680</v>
      </c>
      <c r="C92" s="178" t="inlineStr">
        <is>
          <t>대행수수료</t>
        </is>
      </c>
      <c r="D92" s="819" t="n"/>
      <c r="E92" s="145" t="n">
        <v>48</v>
      </c>
      <c r="F92" s="82" t="inlineStr">
        <is>
          <t>해외지사비</t>
        </is>
      </c>
      <c r="G92" s="82" t="n"/>
      <c r="H92" s="82" t="n"/>
      <c r="I92" s="82" t="n"/>
      <c r="J92" s="82" t="n"/>
      <c r="K92" s="799" t="n">
        <v>300</v>
      </c>
      <c r="L92" s="800">
        <f>'[2]통장내역(환율표)'!$D$246</f>
        <v/>
      </c>
      <c r="M92" s="810">
        <f>K92/L92</f>
        <v/>
      </c>
      <c r="N92" s="802">
        <f>N91+H92-K92</f>
        <v/>
      </c>
      <c r="O92" s="802">
        <f>O91+J92-M92</f>
        <v/>
      </c>
      <c r="P92" s="803" t="inlineStr">
        <is>
          <t>1월 송금</t>
        </is>
      </c>
      <c r="Q92" s="804" t="n"/>
      <c r="R92" s="804" t="inlineStr">
        <is>
          <t>张亮(Zhang Liang)</t>
        </is>
      </c>
      <c r="S92" s="805">
        <f>S91-M92</f>
        <v/>
      </c>
    </row>
    <row r="93" ht="11.25" customHeight="1" s="654">
      <c r="B93" s="797" t="n">
        <v>45680</v>
      </c>
      <c r="C93" s="178" t="inlineStr">
        <is>
          <t>일비</t>
        </is>
      </c>
      <c r="D93" s="819" t="n"/>
      <c r="E93" s="145" t="n">
        <v>48</v>
      </c>
      <c r="F93" s="82" t="inlineStr">
        <is>
          <t>해외지사비</t>
        </is>
      </c>
      <c r="G93" s="82" t="n"/>
      <c r="H93" s="82" t="n"/>
      <c r="I93" s="82" t="n"/>
      <c r="J93" s="82" t="n"/>
      <c r="K93" s="799" t="n">
        <v>200</v>
      </c>
      <c r="L93" s="800">
        <f>'[2]통장내역(환율표)'!$D$246</f>
        <v/>
      </c>
      <c r="M93" s="810">
        <f>K93/L93</f>
        <v/>
      </c>
      <c r="N93" s="802">
        <f>N92+H93-K93</f>
        <v/>
      </c>
      <c r="O93" s="802">
        <f>O92+J93-M93</f>
        <v/>
      </c>
      <c r="P93" s="803" t="inlineStr">
        <is>
          <t>1월 송금</t>
        </is>
      </c>
      <c r="Q93" s="804" t="n"/>
      <c r="R93" s="804" t="inlineStr">
        <is>
          <t>张亮(Zhang Liang)</t>
        </is>
      </c>
      <c r="S93" s="805">
        <f>S92-M93</f>
        <v/>
      </c>
    </row>
    <row r="94" ht="11.25" customHeight="1" s="654">
      <c r="B94" s="797" t="n">
        <v>45680</v>
      </c>
      <c r="C94" s="178" t="inlineStr">
        <is>
          <t>현채인 월급</t>
        </is>
      </c>
      <c r="D94" s="819" t="n"/>
      <c r="E94" s="145" t="n">
        <v>48</v>
      </c>
      <c r="F94" s="82" t="inlineStr">
        <is>
          <t>해외지사비</t>
        </is>
      </c>
      <c r="G94" s="82" t="n"/>
      <c r="H94" s="82" t="n"/>
      <c r="I94" s="82" t="n"/>
      <c r="J94" s="82" t="n"/>
      <c r="K94" s="799" t="n">
        <v>25750</v>
      </c>
      <c r="L94" s="800">
        <f>'[2]통장내역(환율표)'!$D$246</f>
        <v/>
      </c>
      <c r="M94" s="810">
        <f>K94/L94</f>
        <v/>
      </c>
      <c r="N94" s="802">
        <f>N93+H94-K94</f>
        <v/>
      </c>
      <c r="O94" s="802">
        <f>O93+J94-M94</f>
        <v/>
      </c>
      <c r="P94" s="803" t="inlineStr">
        <is>
          <t>1월 송금</t>
        </is>
      </c>
      <c r="Q94" s="804" t="n"/>
      <c r="R94" s="804" t="inlineStr">
        <is>
          <t>林洁婷 임결정</t>
        </is>
      </c>
      <c r="S94" s="805">
        <f>S93-M94</f>
        <v/>
      </c>
    </row>
    <row r="95" ht="11.25" customHeight="1" s="654">
      <c r="B95" s="797" t="n">
        <v>45680</v>
      </c>
      <c r="C95" s="178" t="inlineStr">
        <is>
          <t>보너스</t>
        </is>
      </c>
      <c r="D95" s="819" t="n"/>
      <c r="E95" s="145" t="n">
        <v>48</v>
      </c>
      <c r="F95" s="82" t="inlineStr">
        <is>
          <t>해외지사비</t>
        </is>
      </c>
      <c r="G95" s="82" t="n"/>
      <c r="H95" s="82" t="n"/>
      <c r="I95" s="82" t="n"/>
      <c r="J95" s="82" t="n"/>
      <c r="K95" s="799" t="n">
        <v>12500</v>
      </c>
      <c r="L95" s="800">
        <f>'[2]통장내역(환율표)'!$D$246</f>
        <v/>
      </c>
      <c r="M95" s="810">
        <f>K95/L95</f>
        <v/>
      </c>
      <c r="N95" s="802">
        <f>N94+H95-K95</f>
        <v/>
      </c>
      <c r="O95" s="802">
        <f>O94+J95-M95</f>
        <v/>
      </c>
      <c r="P95" s="803" t="inlineStr">
        <is>
          <t>1월 송금</t>
        </is>
      </c>
      <c r="Q95" s="804" t="n"/>
      <c r="R95" s="804" t="inlineStr">
        <is>
          <t>林洁婷 임결정</t>
        </is>
      </c>
      <c r="S95" s="805">
        <f>S94-M95</f>
        <v/>
      </c>
    </row>
    <row r="96" ht="11.25" customHeight="1" s="654">
      <c r="B96" s="797" t="n">
        <v>45680</v>
      </c>
      <c r="C96" s="178" t="inlineStr">
        <is>
          <t>보험비(회사납부)
公司缴纳部分合计</t>
        </is>
      </c>
      <c r="D96" s="819" t="n"/>
      <c r="E96" s="145" t="n">
        <v>48</v>
      </c>
      <c r="F96" s="82" t="inlineStr">
        <is>
          <t>해외지사비</t>
        </is>
      </c>
      <c r="G96" s="82" t="n"/>
      <c r="H96" s="82" t="n"/>
      <c r="I96" s="82" t="n"/>
      <c r="J96" s="82" t="n"/>
      <c r="K96" s="799" t="n">
        <v>7431.44</v>
      </c>
      <c r="L96" s="800">
        <f>'[2]통장내역(환율표)'!$D$246</f>
        <v/>
      </c>
      <c r="M96" s="810">
        <f>K96/L96</f>
        <v/>
      </c>
      <c r="N96" s="802">
        <f>N95+H96-K96</f>
        <v/>
      </c>
      <c r="O96" s="802">
        <f>O95+J96-M96</f>
        <v/>
      </c>
      <c r="P96" s="803" t="inlineStr">
        <is>
          <t>1월 송금</t>
        </is>
      </c>
      <c r="Q96" s="804" t="n"/>
      <c r="R96" s="804" t="inlineStr">
        <is>
          <t>林洁婷 임결정</t>
        </is>
      </c>
      <c r="S96" s="805">
        <f>S95-M96</f>
        <v/>
      </c>
    </row>
    <row r="97" ht="11.25" customHeight="1" s="654">
      <c r="B97" s="797" t="n">
        <v>45680</v>
      </c>
      <c r="C97" s="178" t="inlineStr">
        <is>
          <t>대행수수료</t>
        </is>
      </c>
      <c r="D97" s="819" t="n"/>
      <c r="E97" s="145" t="n">
        <v>48</v>
      </c>
      <c r="F97" s="82" t="inlineStr">
        <is>
          <t>해외지사비</t>
        </is>
      </c>
      <c r="G97" s="82" t="n"/>
      <c r="H97" s="82" t="n"/>
      <c r="I97" s="82" t="n"/>
      <c r="J97" s="82" t="n"/>
      <c r="K97" s="799" t="n">
        <v>300</v>
      </c>
      <c r="L97" s="800">
        <f>'[2]통장내역(환율표)'!$D$246</f>
        <v/>
      </c>
      <c r="M97" s="810">
        <f>K97/L97</f>
        <v/>
      </c>
      <c r="N97" s="802">
        <f>N96+H97-K97</f>
        <v/>
      </c>
      <c r="O97" s="802">
        <f>O96+J97-M97</f>
        <v/>
      </c>
      <c r="P97" s="803" t="inlineStr">
        <is>
          <t>1월 송금</t>
        </is>
      </c>
      <c r="Q97" s="804" t="n"/>
      <c r="R97" s="804" t="inlineStr">
        <is>
          <t>林洁婷 임결정</t>
        </is>
      </c>
      <c r="S97" s="805">
        <f>S96-M97</f>
        <v/>
      </c>
    </row>
    <row r="98" ht="11.25" customHeight="1" s="654">
      <c r="B98" s="797" t="n">
        <v>45680</v>
      </c>
      <c r="C98" s="178" t="inlineStr">
        <is>
          <t>현채인 월급</t>
        </is>
      </c>
      <c r="D98" s="819" t="n"/>
      <c r="E98" s="145" t="n">
        <v>48</v>
      </c>
      <c r="F98" s="82" t="inlineStr">
        <is>
          <t>해외지사비</t>
        </is>
      </c>
      <c r="G98" s="82" t="n"/>
      <c r="H98" s="82" t="n"/>
      <c r="I98" s="82" t="n"/>
      <c r="J98" s="82" t="n"/>
      <c r="K98" s="799" t="n">
        <v>21300</v>
      </c>
      <c r="L98" s="800">
        <f>'[2]통장내역(환율표)'!$D$246</f>
        <v/>
      </c>
      <c r="M98" s="810">
        <f>K98/L98</f>
        <v/>
      </c>
      <c r="N98" s="802">
        <f>N97+H98-K98</f>
        <v/>
      </c>
      <c r="O98" s="802">
        <f>O97+J98-M98</f>
        <v/>
      </c>
      <c r="P98" s="803" t="inlineStr">
        <is>
          <t>1월 송금</t>
        </is>
      </c>
      <c r="Q98" s="804" t="n"/>
      <c r="R98" s="804" t="inlineStr">
        <is>
          <t>朴美玲 박미령</t>
        </is>
      </c>
      <c r="S98" s="805">
        <f>S97-M98</f>
        <v/>
      </c>
    </row>
    <row r="99" ht="11.25" customHeight="1" s="654">
      <c r="B99" s="797" t="n">
        <v>45680</v>
      </c>
      <c r="C99" s="178" t="inlineStr">
        <is>
          <t>보너스</t>
        </is>
      </c>
      <c r="D99" s="819" t="n"/>
      <c r="E99" s="145" t="n">
        <v>48</v>
      </c>
      <c r="F99" s="82" t="inlineStr">
        <is>
          <t>해외지사비</t>
        </is>
      </c>
      <c r="G99" s="82" t="n"/>
      <c r="H99" s="82" t="n"/>
      <c r="I99" s="82" t="n"/>
      <c r="J99" s="82" t="n"/>
      <c r="K99" s="799" t="n">
        <v>2500</v>
      </c>
      <c r="L99" s="800">
        <f>'[2]통장내역(환율표)'!$D$246</f>
        <v/>
      </c>
      <c r="M99" s="810">
        <f>K99/L99</f>
        <v/>
      </c>
      <c r="N99" s="802">
        <f>N98+H99-K99</f>
        <v/>
      </c>
      <c r="O99" s="802">
        <f>O98+J99-M99</f>
        <v/>
      </c>
      <c r="P99" s="803" t="inlineStr">
        <is>
          <t>1월 송금</t>
        </is>
      </c>
      <c r="Q99" s="804" t="n"/>
      <c r="R99" s="804" t="inlineStr">
        <is>
          <t>朴美玲 박미령</t>
        </is>
      </c>
      <c r="S99" s="805">
        <f>S98-M99</f>
        <v/>
      </c>
    </row>
    <row r="100" ht="11.25" customHeight="1" s="654">
      <c r="B100" s="797" t="n">
        <v>45680</v>
      </c>
      <c r="C100" s="178" t="inlineStr">
        <is>
          <t>보험비(회사납부)
公司缴纳部分合计</t>
        </is>
      </c>
      <c r="D100" s="819" t="n"/>
      <c r="E100" s="145" t="n">
        <v>48</v>
      </c>
      <c r="F100" s="82" t="inlineStr">
        <is>
          <t>해외지사비</t>
        </is>
      </c>
      <c r="G100" s="82" t="n"/>
      <c r="H100" s="82" t="n"/>
      <c r="I100" s="82" t="n"/>
      <c r="J100" s="82" t="n"/>
      <c r="K100" s="799" t="n">
        <v>5941.29</v>
      </c>
      <c r="L100" s="800">
        <f>'[2]통장내역(환율표)'!$D$246</f>
        <v/>
      </c>
      <c r="M100" s="810">
        <f>K100/L100</f>
        <v/>
      </c>
      <c r="N100" s="802">
        <f>N99+H100-K100</f>
        <v/>
      </c>
      <c r="O100" s="802">
        <f>O99+J100-M100</f>
        <v/>
      </c>
      <c r="P100" s="803" t="inlineStr">
        <is>
          <t>1월 송금</t>
        </is>
      </c>
      <c r="Q100" s="804" t="n"/>
      <c r="R100" s="804" t="inlineStr">
        <is>
          <t>朴美玲 박미령</t>
        </is>
      </c>
      <c r="S100" s="805">
        <f>S99-M100</f>
        <v/>
      </c>
    </row>
    <row r="101" ht="11.25" customHeight="1" s="654">
      <c r="B101" s="797" t="n">
        <v>45680</v>
      </c>
      <c r="C101" s="178" t="inlineStr">
        <is>
          <t>대행수수료</t>
        </is>
      </c>
      <c r="D101" s="819" t="n"/>
      <c r="E101" s="145" t="n">
        <v>48</v>
      </c>
      <c r="F101" s="82" t="inlineStr">
        <is>
          <t>해외지사비</t>
        </is>
      </c>
      <c r="G101" s="82" t="n"/>
      <c r="H101" s="82" t="n"/>
      <c r="I101" s="82" t="n"/>
      <c r="J101" s="82" t="n"/>
      <c r="K101" s="799" t="n">
        <v>300</v>
      </c>
      <c r="L101" s="800">
        <f>'[2]통장내역(환율표)'!$D$246</f>
        <v/>
      </c>
      <c r="M101" s="810">
        <f>K101/L101</f>
        <v/>
      </c>
      <c r="N101" s="802">
        <f>N100+H101-K101</f>
        <v/>
      </c>
      <c r="O101" s="802">
        <f>O100+J101-M101</f>
        <v/>
      </c>
      <c r="P101" s="803" t="inlineStr">
        <is>
          <t>1월 송금</t>
        </is>
      </c>
      <c r="Q101" s="804" t="n"/>
      <c r="R101" s="804" t="inlineStr">
        <is>
          <t>朴美玲 박미령</t>
        </is>
      </c>
      <c r="S101" s="805">
        <f>S100-M101</f>
        <v/>
      </c>
    </row>
    <row r="102" ht="11.25" customHeight="1" s="654">
      <c r="B102" s="797" t="n">
        <v>45680</v>
      </c>
      <c r="C102" s="178" t="inlineStr">
        <is>
          <t>일비</t>
        </is>
      </c>
      <c r="D102" s="819" t="n"/>
      <c r="E102" s="145" t="n">
        <v>48</v>
      </c>
      <c r="F102" s="82" t="inlineStr">
        <is>
          <t>해외지사비</t>
        </is>
      </c>
      <c r="G102" s="82" t="n"/>
      <c r="H102" s="82" t="n"/>
      <c r="I102" s="82" t="n"/>
      <c r="J102" s="82" t="n"/>
      <c r="K102" s="799" t="n">
        <v>600</v>
      </c>
      <c r="L102" s="800">
        <f>'[2]통장내역(환율표)'!$D$246</f>
        <v/>
      </c>
      <c r="M102" s="810">
        <f>K102/L102</f>
        <v/>
      </c>
      <c r="N102" s="802">
        <f>N101+H102-K102</f>
        <v/>
      </c>
      <c r="O102" s="802">
        <f>O101+J102-M102</f>
        <v/>
      </c>
      <c r="P102" s="803" t="inlineStr">
        <is>
          <t>1월 송금</t>
        </is>
      </c>
      <c r="Q102" s="804" t="n"/>
      <c r="R102" s="804" t="inlineStr">
        <is>
          <t>朴美玲 박미령</t>
        </is>
      </c>
      <c r="S102" s="805">
        <f>S101-M102</f>
        <v/>
      </c>
    </row>
    <row r="103" ht="11.25" customHeight="1" s="654">
      <c r="B103" s="797" t="n">
        <v>45680</v>
      </c>
      <c r="C103" s="144" t="inlineStr">
        <is>
          <t>은행수수료</t>
        </is>
      </c>
      <c r="D103" s="819" t="n"/>
      <c r="E103" s="145" t="n">
        <v>49</v>
      </c>
      <c r="F103" s="82" t="inlineStr">
        <is>
          <t>해외지사비</t>
        </is>
      </c>
      <c r="G103" s="82" t="n"/>
      <c r="H103" s="82" t="n"/>
      <c r="I103" s="82" t="n"/>
      <c r="J103" s="82" t="n"/>
      <c r="K103" s="799" t="n">
        <v>12</v>
      </c>
      <c r="L103" s="800">
        <f>'[2]통장내역(환율표)'!$D$246</f>
        <v/>
      </c>
      <c r="M103" s="810">
        <f>K103/L103</f>
        <v/>
      </c>
      <c r="N103" s="802">
        <f>N102+H103-K103</f>
        <v/>
      </c>
      <c r="O103" s="802">
        <f>O102+J103-M103</f>
        <v/>
      </c>
      <c r="P103" s="803" t="inlineStr">
        <is>
          <t>1월 송금</t>
        </is>
      </c>
      <c r="Q103" s="804" t="n"/>
      <c r="R103" s="804" t="n"/>
      <c r="S103" s="805">
        <f>S102-M103</f>
        <v/>
      </c>
    </row>
    <row r="104" ht="11.25" customHeight="1" s="654">
      <c r="B104" s="822" t="n">
        <v>45682</v>
      </c>
      <c r="C104" s="228" t="inlineStr">
        <is>
          <t>USD입금 and RMB 환전</t>
        </is>
      </c>
      <c r="D104" s="823" t="n"/>
      <c r="E104" s="230" t="n">
        <v>50</v>
      </c>
      <c r="F104" s="231" t="inlineStr">
        <is>
          <t>해외지사비</t>
        </is>
      </c>
      <c r="G104" s="231" t="n"/>
      <c r="H104" s="231" t="n">
        <v>56133.42</v>
      </c>
      <c r="I104" s="231" t="n"/>
      <c r="J104" s="824" t="n">
        <v>7802</v>
      </c>
      <c r="K104" s="825" t="n"/>
      <c r="L104" s="826" t="n"/>
      <c r="M104" s="827" t="n"/>
      <c r="N104" s="827">
        <f>N103+H104-K104</f>
        <v/>
      </c>
      <c r="O104" s="827">
        <f>O103+J104-M104</f>
        <v/>
      </c>
      <c r="P104" s="828" t="inlineStr">
        <is>
          <t>1월 2차 송금</t>
        </is>
      </c>
      <c r="Q104" s="829" t="n"/>
      <c r="R104" s="829" t="n"/>
      <c r="S104" s="805" t="n"/>
    </row>
    <row r="105" ht="11.25" customHeight="1" s="654">
      <c r="B105" s="822" t="n">
        <v>45682</v>
      </c>
      <c r="C105" s="228" t="inlineStr">
        <is>
          <t>USD입금 and RMB 환전</t>
        </is>
      </c>
      <c r="D105" s="823" t="n"/>
      <c r="E105" s="230" t="n">
        <v>50</v>
      </c>
      <c r="F105" s="231" t="inlineStr">
        <is>
          <t>해외지사비</t>
        </is>
      </c>
      <c r="G105" s="231" t="n"/>
      <c r="H105" s="231" t="n"/>
      <c r="I105" s="231" t="n"/>
      <c r="J105" s="231" t="n"/>
      <c r="K105" s="825" t="n"/>
      <c r="L105" s="826" t="n"/>
      <c r="M105" s="827" t="n">
        <v>36</v>
      </c>
      <c r="N105" s="827">
        <f>N104+H105-K105</f>
        <v/>
      </c>
      <c r="O105" s="827">
        <f>O104+J105-M105</f>
        <v/>
      </c>
      <c r="P105" s="828" t="inlineStr">
        <is>
          <t>1월 2차 송금</t>
        </is>
      </c>
      <c r="Q105" s="829" t="n"/>
      <c r="R105" s="829" t="n"/>
      <c r="S105" s="805" t="n"/>
    </row>
  </sheetData>
  <autoFilter ref="B18:R105">
    <filterColumn colId="14" hiddenButton="0" showButton="0"/>
    <sortState ref="B20:R21">
      <sortCondition sortBy="cellColor" ref="M18:M20" dxfId="5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AC97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698" min="3" max="3"/>
    <col width="9.75" customWidth="1" style="698" min="4" max="4"/>
    <col width="12.125" customWidth="1" style="698" min="5" max="5"/>
    <col width="11.125" customWidth="1" style="698" min="6" max="6"/>
    <col width="9.875" customWidth="1" style="688" min="7" max="7"/>
    <col width="9.75" customWidth="1" style="698" min="8" max="8"/>
    <col width="9.875" customWidth="1" style="698" min="9" max="9"/>
    <col width="10.5" customWidth="1" style="688" min="10" max="10"/>
    <col width="11" customWidth="1" style="688" min="11" max="11"/>
    <col width="11.125" customWidth="1" style="698" min="12" max="12"/>
    <col width="9.75" customWidth="1" style="698" min="13" max="13"/>
    <col width="12.375" customWidth="1" style="698" min="14" max="14"/>
    <col width="9.875" customWidth="1" style="698" min="15" max="15"/>
    <col width="10.75" customWidth="1" style="698" min="16" max="16"/>
    <col width="9.625" customWidth="1" style="698" min="17" max="17"/>
    <col width="31.5" customWidth="1" style="688" min="18" max="18"/>
    <col width="10.5" bestFit="1" customWidth="1" style="39" min="19" max="19"/>
    <col width="9" customWidth="1" style="698" min="20" max="20"/>
    <col width="9" customWidth="1" style="830" min="21" max="21"/>
    <col width="9" customWidth="1" style="698" min="22" max="16384"/>
  </cols>
  <sheetData>
    <row r="1" ht="4.5" customHeight="1" s="654">
      <c r="A1" s="14" t="n"/>
      <c r="B1" s="831" t="n"/>
      <c r="C1" s="832" t="n"/>
      <c r="D1" s="832" t="n"/>
      <c r="E1" s="833" t="n"/>
      <c r="F1" s="833" t="n"/>
      <c r="G1" s="834" t="n"/>
      <c r="H1" s="833" t="n"/>
      <c r="I1" s="833" t="n"/>
      <c r="J1" s="835" t="n"/>
      <c r="K1" s="835" t="n"/>
      <c r="L1" s="833" t="n"/>
      <c r="M1" s="836" t="n"/>
      <c r="N1" s="836" t="n"/>
      <c r="O1" s="832" t="n"/>
      <c r="P1" s="837" t="n"/>
      <c r="Q1" s="837" t="n"/>
      <c r="R1" s="838" t="n"/>
      <c r="S1" s="24" t="n"/>
    </row>
    <row r="2" ht="15" customHeight="1" s="654">
      <c r="B2" s="839" t="inlineStr">
        <is>
          <t>▶ 25년 2월 전도금 정산 내역 (심천지사)_4000061 (B2F590)</t>
        </is>
      </c>
      <c r="C2" s="700" t="n"/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703" t="n"/>
      <c r="L2" s="702" t="n"/>
      <c r="M2" s="702" t="n"/>
      <c r="N2" s="704" t="n"/>
      <c r="O2" s="705" t="n"/>
      <c r="Q2" s="702" t="n"/>
    </row>
    <row r="3" ht="11.25" customFormat="1" customHeight="1" s="706">
      <c r="A3" s="26" t="n"/>
      <c r="B3" s="707" t="inlineStr">
        <is>
          <t>25년 1월 송금_1458.2(#)</t>
        </is>
      </c>
      <c r="C3" s="708" t="n"/>
      <c r="D3" s="708" t="n"/>
      <c r="E3" s="708" t="n"/>
      <c r="F3" s="184" t="n">
        <v>1458.2</v>
      </c>
      <c r="G3" s="709" t="n"/>
      <c r="H3" s="707" t="inlineStr">
        <is>
          <t>25년 1월 2차 송금_1,434.30 (#)</t>
        </is>
      </c>
      <c r="I3" s="708" t="n"/>
      <c r="K3" s="710" t="n"/>
      <c r="L3" s="184" t="n">
        <v>1434.3</v>
      </c>
      <c r="N3" s="707" t="inlineStr">
        <is>
          <t>25년 2월 송금_1447.40 (#)</t>
        </is>
      </c>
      <c r="O3" s="708" t="n"/>
      <c r="Q3" s="710" t="n"/>
      <c r="R3" s="184" t="n">
        <v>1447.4</v>
      </c>
      <c r="T3" s="707" t="n"/>
      <c r="U3" s="708" t="n"/>
      <c r="V3" s="710" t="n"/>
      <c r="W3" s="710" t="n"/>
      <c r="X3" s="711" t="n">
        <v>1327.2</v>
      </c>
    </row>
    <row r="4" ht="11.25" customHeight="1" s="654">
      <c r="A4" s="14" t="n"/>
      <c r="B4" s="712" t="inlineStr">
        <is>
          <t>대계정</t>
        </is>
      </c>
      <c r="C4" s="713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12" t="inlineStr">
        <is>
          <t>대계정</t>
        </is>
      </c>
      <c r="O4" s="713" t="inlineStr">
        <is>
          <t>소계정</t>
        </is>
      </c>
      <c r="P4" s="716" t="inlineStr">
        <is>
          <t>금액 (CNY)</t>
        </is>
      </c>
      <c r="Q4" s="717" t="inlineStr">
        <is>
          <t>금액 (USD)</t>
        </is>
      </c>
      <c r="R4" s="715" t="inlineStr">
        <is>
          <t>금액 (KRW)</t>
        </is>
      </c>
      <c r="U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>
        <v>13162.8</v>
      </c>
      <c r="E5" s="722" t="n">
        <v>1798.42</v>
      </c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>
        <v>3415.36</v>
      </c>
      <c r="K5" s="726" t="n">
        <v>472.51</v>
      </c>
      <c r="L5" s="723">
        <f>ROUND(K5*$L$3,0)</f>
        <v/>
      </c>
      <c r="M5" s="727">
        <f>L5+F5</f>
        <v/>
      </c>
      <c r="N5" s="725" t="inlineStr">
        <is>
          <t>업무추진비</t>
        </is>
      </c>
      <c r="O5" s="725" t="inlineStr">
        <is>
          <t>일반</t>
        </is>
      </c>
      <c r="P5" s="726" t="n"/>
      <c r="Q5" s="726" t="n"/>
      <c r="R5" s="723">
        <f>ROUND(Q5*$R$3,0)</f>
        <v/>
      </c>
      <c r="S5" s="728">
        <f>F5+L5+R5</f>
        <v/>
      </c>
      <c r="U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>
        <v>7210.07</v>
      </c>
      <c r="E6" s="721" t="n">
        <v>985.1</v>
      </c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7124.78</v>
      </c>
      <c r="K6" s="726" t="n">
        <v>985.71</v>
      </c>
      <c r="L6" s="723">
        <f>ROUND(K6*$L$3,0)</f>
        <v/>
      </c>
      <c r="M6" s="727">
        <f>L6+F6</f>
        <v/>
      </c>
      <c r="N6" s="725" t="inlineStr">
        <is>
          <t>여비교통비</t>
        </is>
      </c>
      <c r="O6" s="725" t="inlineStr">
        <is>
          <t>해외</t>
        </is>
      </c>
      <c r="P6" s="726" t="n"/>
      <c r="Q6" s="726" t="n"/>
      <c r="R6" s="723">
        <f>ROUND(Q6*$R$3,0)</f>
        <v/>
      </c>
      <c r="S6" s="728">
        <f>F6+L6+R6</f>
        <v/>
      </c>
      <c r="U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24224</v>
      </c>
      <c r="E7" s="721" t="n">
        <v>3309.7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/>
      <c r="K7" s="726" t="n"/>
      <c r="L7" s="723">
        <f>ROUND(K7*$L$3,0)</f>
        <v/>
      </c>
      <c r="M7" s="727">
        <f>L7+F7</f>
        <v/>
      </c>
      <c r="N7" s="725" t="inlineStr">
        <is>
          <t>지급임차료</t>
        </is>
      </c>
      <c r="O7" s="725" t="inlineStr">
        <is>
          <t>사무실임차료</t>
        </is>
      </c>
      <c r="P7" s="726" t="n"/>
      <c r="Q7" s="726" t="n"/>
      <c r="R7" s="723">
        <f>ROUND(Q7*$R$3,0)</f>
        <v/>
      </c>
      <c r="S7" s="728">
        <f>F7+L7+R7</f>
        <v/>
      </c>
      <c r="U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>
        <v>17500</v>
      </c>
      <c r="E8" s="721" t="n">
        <v>2391</v>
      </c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/>
      <c r="K8" s="726" t="n"/>
      <c r="L8" s="723">
        <f>ROUND(K8*$L$3,0)</f>
        <v/>
      </c>
      <c r="M8" s="727">
        <f>L8+F8</f>
        <v/>
      </c>
      <c r="N8" s="725" t="inlineStr">
        <is>
          <t>지급임차료</t>
        </is>
      </c>
      <c r="O8" s="840" t="inlineStr">
        <is>
          <t>차량임차료</t>
        </is>
      </c>
      <c r="P8" s="726" t="n"/>
      <c r="Q8" s="726" t="n"/>
      <c r="R8" s="841">
        <f>ROUND(Q8*$R$3,0)</f>
        <v/>
      </c>
      <c r="S8" s="728">
        <f>F8+L8+R8</f>
        <v/>
      </c>
      <c r="U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>
        <v>1155.8</v>
      </c>
      <c r="E9" s="721" t="n">
        <v>157.92</v>
      </c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93.06</v>
      </c>
      <c r="K9" s="726" t="n">
        <v>12.87</v>
      </c>
      <c r="L9" s="723">
        <f>ROUND(K9*$L$3,0)</f>
        <v/>
      </c>
      <c r="M9" s="727">
        <f>L9+F9</f>
        <v/>
      </c>
      <c r="N9" s="725" t="inlineStr">
        <is>
          <t>통신비</t>
        </is>
      </c>
      <c r="O9" s="840" t="inlineStr">
        <is>
          <t>기타</t>
        </is>
      </c>
      <c r="P9" s="726" t="n"/>
      <c r="Q9" s="726" t="n"/>
      <c r="R9" s="841">
        <f>ROUND(Q9*$R$3,0)</f>
        <v/>
      </c>
      <c r="S9" s="728">
        <f>F9+L9+R9</f>
        <v/>
      </c>
      <c r="U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14627.75</v>
      </c>
      <c r="E10" s="721" t="n">
        <v>1998.57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45500.22</v>
      </c>
      <c r="K10" s="726" t="n">
        <v>6294.91</v>
      </c>
      <c r="L10" s="723">
        <f>ROUND(K10*$L$3,0)</f>
        <v/>
      </c>
      <c r="M10" s="727">
        <f>L10+F10</f>
        <v/>
      </c>
      <c r="N10" s="725" t="inlineStr">
        <is>
          <t>해외지사비</t>
        </is>
      </c>
      <c r="O10" s="842" t="n"/>
      <c r="P10" s="726" t="n">
        <v>167290.76</v>
      </c>
      <c r="Q10" s="726" t="n">
        <v>22984.82</v>
      </c>
      <c r="R10" s="841">
        <f>ROUND(Q10*$R$3,0)</f>
        <v/>
      </c>
      <c r="S10" s="728">
        <f>F10+L10+R10</f>
        <v/>
      </c>
      <c r="U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733" t="inlineStr">
        <is>
          <t>성과급여조정</t>
        </is>
      </c>
      <c r="D11" s="733" t="n"/>
      <c r="E11" s="734" t="n"/>
      <c r="F11" s="735">
        <f>ROUND(E11*$F$3,0)</f>
        <v/>
      </c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738" t="n"/>
      <c r="L11" s="739">
        <f>ROUND(K11*$L$3,0)</f>
        <v/>
      </c>
      <c r="M11" s="727">
        <f>L11+F11</f>
        <v/>
      </c>
      <c r="N11" s="733" t="inlineStr">
        <is>
          <t>급여(incentive)</t>
        </is>
      </c>
      <c r="O11" s="843" t="inlineStr">
        <is>
          <t>포상금</t>
        </is>
      </c>
      <c r="P11" s="844" t="n">
        <v>56779</v>
      </c>
      <c r="Q11" s="844" t="n">
        <v>7783.81</v>
      </c>
      <c r="R11" s="845">
        <f>ROUND(Q11*$R$3,0)</f>
        <v/>
      </c>
      <c r="S11" s="728">
        <f>F11+L11+R11</f>
        <v/>
      </c>
      <c r="U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5" t="inlineStr">
        <is>
          <t>(-)잡이익</t>
        </is>
      </c>
      <c r="D12" s="151" t="n"/>
      <c r="E12" s="721" t="n"/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721" t="n"/>
      <c r="L12" s="723">
        <f>ROUND(K12*$L$3,0)</f>
        <v/>
      </c>
      <c r="M12" s="727">
        <f>L12+F12</f>
        <v/>
      </c>
      <c r="N12" s="725" t="inlineStr">
        <is>
          <t>(-)잡이익(50)</t>
        </is>
      </c>
      <c r="O12" s="842" t="inlineStr">
        <is>
          <t>(-)잡이익</t>
        </is>
      </c>
      <c r="P12" s="846" t="n"/>
      <c r="Q12" s="726" t="n"/>
      <c r="R12" s="841">
        <f>ROUND(Q12*$R$3,0)</f>
        <v/>
      </c>
      <c r="S12" s="728">
        <f>F12+L12+R12</f>
        <v/>
      </c>
      <c r="U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743" t="n"/>
      <c r="D13" s="744">
        <f>SUM(D5:D11)-D12</f>
        <v/>
      </c>
      <c r="E13" s="744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44">
        <f>SUM(K5:K11)-K12</f>
        <v/>
      </c>
      <c r="L13" s="745">
        <f>SUM(L5:L11)-L12</f>
        <v/>
      </c>
      <c r="M13" s="727">
        <f>L13+F13</f>
        <v/>
      </c>
      <c r="N13" s="742" t="inlineStr">
        <is>
          <t>Total</t>
        </is>
      </c>
      <c r="O13" s="743" t="n"/>
      <c r="P13" s="744">
        <f>SUM(P5:P11)-P12</f>
        <v/>
      </c>
      <c r="Q13" s="744">
        <f>SUM(Q5:Q11)-Q12</f>
        <v/>
      </c>
      <c r="R13" s="745">
        <f>SUM(R5:R11)-R12</f>
        <v/>
      </c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4" t="n"/>
      <c r="C14" s="700" t="n"/>
      <c r="D14" s="751">
        <f>SUM(D7:D10)</f>
        <v/>
      </c>
      <c r="E14" s="751">
        <f>SUM(E7:E10)</f>
        <v/>
      </c>
      <c r="F14" s="751">
        <f>SUM(F7:F10)</f>
        <v/>
      </c>
      <c r="G14" s="752" t="n"/>
      <c r="J14" s="753">
        <f>J13+D13+P13</f>
        <v/>
      </c>
      <c r="K14" s="753">
        <f>K13+E13+Q13</f>
        <v/>
      </c>
      <c r="L14" s="754">
        <f>L13+F13+R13</f>
        <v/>
      </c>
      <c r="M14" s="755">
        <f>M16-E12</f>
        <v/>
      </c>
      <c r="O14" s="702" t="n"/>
      <c r="P14" s="748">
        <f>P13+D13+J13</f>
        <v/>
      </c>
      <c r="Q14" s="748">
        <f>Q13+E13+K13</f>
        <v/>
      </c>
      <c r="R14" s="756">
        <f>R13+F13+L13</f>
        <v/>
      </c>
      <c r="X14" s="702" t="n"/>
      <c r="Y14" s="702" t="n"/>
      <c r="AB14" s="702" t="n"/>
      <c r="AC14" s="688" t="n"/>
    </row>
    <row r="15" ht="14.25" customHeight="1" s="654">
      <c r="A15" s="14" t="n"/>
      <c r="C15" s="700" t="n"/>
      <c r="D15" s="751" t="n"/>
      <c r="E15" s="751" t="n"/>
      <c r="F15" s="751" t="n"/>
      <c r="G15" s="752" t="n"/>
      <c r="K15" s="755">
        <f>K16-H95</f>
        <v/>
      </c>
      <c r="L15" s="755" t="n"/>
      <c r="M15" s="755">
        <f>M16-J95</f>
        <v/>
      </c>
      <c r="O15" s="702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>
      <c r="A16" s="14" t="n"/>
      <c r="C16" s="700" t="n"/>
      <c r="D16" s="700" t="n"/>
      <c r="E16" s="757" t="n"/>
      <c r="F16" s="757" t="n"/>
      <c r="G16" s="752" t="n"/>
      <c r="I16" s="702" t="n"/>
      <c r="J16" s="703" t="n"/>
      <c r="K16" s="758">
        <f>SUBTOTAL(9,K19:K97)</f>
        <v/>
      </c>
      <c r="L16" s="759" t="n"/>
      <c r="M16" s="758">
        <f>SUBTOTAL(9,M19:M97)</f>
        <v/>
      </c>
      <c r="N16" s="702" t="n"/>
      <c r="Q16" s="702" t="n"/>
    </row>
    <row r="17" ht="11.25" customHeight="1" s="654">
      <c r="A17" s="14" t="n"/>
      <c r="B17" s="847" t="inlineStr">
        <is>
          <t>날짜</t>
        </is>
      </c>
      <c r="C17" s="848" t="inlineStr">
        <is>
          <t>내역</t>
        </is>
      </c>
      <c r="D17" s="848" t="inlineStr">
        <is>
          <t>담당자</t>
        </is>
      </c>
      <c r="E17" s="849" t="inlineStr">
        <is>
          <t>증빙번호</t>
        </is>
      </c>
      <c r="F17" s="848" t="inlineStr">
        <is>
          <t>대계정</t>
        </is>
      </c>
      <c r="G17" s="850" t="inlineStr">
        <is>
          <t>소계정</t>
        </is>
      </c>
      <c r="H17" s="851" t="inlineStr">
        <is>
          <t>입금</t>
        </is>
      </c>
      <c r="I17" s="852" t="n"/>
      <c r="J17" s="853" t="n"/>
      <c r="K17" s="851" t="inlineStr">
        <is>
          <t>출금</t>
        </is>
      </c>
      <c r="L17" s="852" t="n"/>
      <c r="M17" s="853" t="n"/>
      <c r="N17" s="854" t="inlineStr">
        <is>
          <t>잔액</t>
        </is>
      </c>
      <c r="O17" s="853" t="n"/>
      <c r="P17" s="848" t="n"/>
      <c r="Q17" s="853" t="n"/>
      <c r="R17" s="850" t="inlineStr">
        <is>
          <t>항목</t>
        </is>
      </c>
    </row>
    <row r="18" ht="11.25" customHeight="1" s="654">
      <c r="A18" s="14" t="n"/>
      <c r="B18" s="855" t="inlineStr">
        <is>
          <t>날짜</t>
        </is>
      </c>
      <c r="C18" s="856" t="inlineStr">
        <is>
          <t>내역</t>
        </is>
      </c>
      <c r="D18" s="856" t="inlineStr">
        <is>
          <t>담당자</t>
        </is>
      </c>
      <c r="E18" s="857" t="inlineStr">
        <is>
          <t>증빙번호</t>
        </is>
      </c>
      <c r="F18" s="856" t="inlineStr">
        <is>
          <t>대계정</t>
        </is>
      </c>
      <c r="G18" s="858" t="inlineStr">
        <is>
          <t>소계정</t>
        </is>
      </c>
      <c r="H18" s="859" t="inlineStr">
        <is>
          <t>CNY</t>
        </is>
      </c>
      <c r="I18" s="859" t="inlineStr">
        <is>
          <t>환산요율</t>
        </is>
      </c>
      <c r="J18" s="860" t="inlineStr">
        <is>
          <t>USD</t>
        </is>
      </c>
      <c r="K18" s="860" t="inlineStr">
        <is>
          <t>CNY</t>
        </is>
      </c>
      <c r="L18" s="859" t="inlineStr">
        <is>
          <t>환산요율</t>
        </is>
      </c>
      <c r="M18" s="859" t="inlineStr">
        <is>
          <t>USD</t>
        </is>
      </c>
      <c r="N18" s="851" t="inlineStr">
        <is>
          <t>CNY</t>
        </is>
      </c>
      <c r="O18" s="851" t="inlineStr">
        <is>
          <t>USD</t>
        </is>
      </c>
      <c r="P18" s="856" t="inlineStr">
        <is>
          <t>비고</t>
        </is>
      </c>
      <c r="Q18" s="853" t="n"/>
      <c r="R18" s="858" t="inlineStr">
        <is>
          <t>항목</t>
        </is>
      </c>
    </row>
    <row r="19" ht="11.25" customHeight="1" s="654">
      <c r="B19" s="861" t="n">
        <v>45688</v>
      </c>
      <c r="C19" s="862" t="n"/>
      <c r="D19" s="862" t="n"/>
      <c r="E19" s="863" t="n"/>
      <c r="F19" s="864" t="n"/>
      <c r="G19" s="865" t="n"/>
      <c r="H19" s="866" t="n"/>
      <c r="I19" s="862" t="n"/>
      <c r="J19" s="865" t="n"/>
      <c r="K19" s="867" t="n"/>
      <c r="L19" s="868" t="n"/>
      <c r="M19" s="869" t="n"/>
      <c r="N19" s="870" t="n">
        <v>133987.2700000003</v>
      </c>
      <c r="O19" s="870" t="n">
        <v>18406.71070471978</v>
      </c>
      <c r="P19" s="871" t="n"/>
      <c r="Q19" s="863" t="n"/>
      <c r="R19" s="872" t="n"/>
      <c r="S19" s="796" t="n">
        <v>10640.70964246681</v>
      </c>
    </row>
    <row r="20" ht="12" customFormat="1" customHeight="1" s="830">
      <c r="A20" s="80" t="n"/>
      <c r="B20" s="873" t="n">
        <v>45699</v>
      </c>
      <c r="C20" s="250" t="inlineStr">
        <is>
          <t>USD입금 and RMB 환전</t>
        </is>
      </c>
      <c r="D20" s="250" t="n"/>
      <c r="E20" s="251" t="n">
        <v>1</v>
      </c>
      <c r="F20" s="251" t="n"/>
      <c r="G20" s="219" t="n"/>
      <c r="H20" s="220" t="n">
        <v>324926.21</v>
      </c>
      <c r="I20" s="807" t="n"/>
      <c r="J20" s="220" t="n">
        <v>44595</v>
      </c>
      <c r="K20" s="808" t="n"/>
      <c r="L20" s="809" t="n"/>
      <c r="M20" s="810" t="n"/>
      <c r="N20" s="810">
        <f>N19+H20-K20</f>
        <v/>
      </c>
      <c r="O20" s="810">
        <f>O19+J20-M20</f>
        <v/>
      </c>
      <c r="P20" s="811" t="n"/>
      <c r="Q20" s="812" t="n"/>
      <c r="R20" s="812" t="n"/>
      <c r="S20" s="805">
        <f>S19-M20</f>
        <v/>
      </c>
      <c r="T20" s="698" t="n"/>
      <c r="V20" s="698" t="n"/>
      <c r="W20" s="698" t="n"/>
      <c r="X20" s="698" t="n"/>
      <c r="Y20" s="698" t="n"/>
      <c r="Z20" s="698" t="n"/>
      <c r="AA20" s="698" t="n"/>
      <c r="AB20" s="698" t="n"/>
      <c r="AC20" s="698" t="n"/>
    </row>
    <row r="21" ht="12" customFormat="1" customHeight="1" s="830">
      <c r="A21" s="80" t="n"/>
      <c r="B21" s="806" t="n"/>
      <c r="C21" s="216" t="inlineStr">
        <is>
          <t>은행수수료</t>
        </is>
      </c>
      <c r="D21" s="250" t="n"/>
      <c r="E21" s="252" t="n"/>
      <c r="F21" s="252" t="inlineStr">
        <is>
          <t>해외지사비</t>
        </is>
      </c>
      <c r="G21" s="219" t="n"/>
      <c r="H21" s="220" t="n"/>
      <c r="I21" s="807" t="n"/>
      <c r="J21" s="220" t="n"/>
      <c r="K21" s="808" t="n"/>
      <c r="L21" s="809" t="n"/>
      <c r="M21" s="874" t="n">
        <v>51</v>
      </c>
      <c r="N21" s="810">
        <f>N20+H21-K21</f>
        <v/>
      </c>
      <c r="O21" s="810">
        <f>O20+J21-M21</f>
        <v/>
      </c>
      <c r="P21" s="811" t="inlineStr">
        <is>
          <t>2월 송금</t>
        </is>
      </c>
      <c r="Q21" s="812" t="n"/>
      <c r="R21" s="812" t="n"/>
      <c r="S21" s="805" t="n"/>
      <c r="T21" s="698" t="n"/>
      <c r="V21" s="698" t="n"/>
      <c r="W21" s="698" t="n"/>
      <c r="X21" s="698" t="n"/>
      <c r="Y21" s="698" t="n"/>
      <c r="Z21" s="698" t="n"/>
      <c r="AA21" s="698" t="n"/>
      <c r="AB21" s="698" t="n"/>
      <c r="AC21" s="698" t="n"/>
    </row>
    <row r="22" ht="12" customFormat="1" customHeight="1" s="830">
      <c r="A22" s="80" t="n"/>
      <c r="B22" s="875" t="n">
        <v>45702</v>
      </c>
      <c r="C22" s="144" t="inlineStr">
        <is>
          <t>사무실 임대료/전기세 관련</t>
        </is>
      </c>
      <c r="D22" s="149" t="n"/>
      <c r="E22" s="145" t="n">
        <v>2</v>
      </c>
      <c r="F22" s="253" t="inlineStr">
        <is>
          <t>지급임차료</t>
        </is>
      </c>
      <c r="G22" s="82" t="inlineStr">
        <is>
          <t>사무실임차료</t>
        </is>
      </c>
      <c r="H22" s="187" t="n"/>
      <c r="I22" s="798" t="n"/>
      <c r="J22" s="187" t="n"/>
      <c r="K22" s="799" t="n">
        <v>24224</v>
      </c>
      <c r="L22" s="800">
        <f>#REF!</f>
        <v/>
      </c>
      <c r="M22" s="876">
        <f>K22/L22</f>
        <v/>
      </c>
      <c r="N22" s="802">
        <f>N21+H22-K22</f>
        <v/>
      </c>
      <c r="O22" s="802">
        <f>O21+J22-M22</f>
        <v/>
      </c>
      <c r="P22" s="803" t="inlineStr">
        <is>
          <t>1월 송금</t>
        </is>
      </c>
      <c r="Q22" s="804" t="n"/>
      <c r="R22" s="804" t="n"/>
      <c r="S22" s="805">
        <f>S20-M22</f>
        <v/>
      </c>
      <c r="T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</row>
    <row r="23" ht="12" customFormat="1" customHeight="1" s="830">
      <c r="A23" s="80" t="n"/>
      <c r="B23" s="875" t="n">
        <v>45702</v>
      </c>
      <c r="C23" s="144" t="inlineStr">
        <is>
          <t>은행수수료</t>
        </is>
      </c>
      <c r="D23" s="149" t="n"/>
      <c r="E23" s="145" t="n">
        <v>3</v>
      </c>
      <c r="F23" s="253" t="inlineStr">
        <is>
          <t>해외지사비</t>
        </is>
      </c>
      <c r="G23" s="82" t="n"/>
      <c r="H23" s="187" t="n"/>
      <c r="I23" s="798" t="n"/>
      <c r="J23" s="187" t="n"/>
      <c r="K23" s="799" t="n">
        <v>7.2</v>
      </c>
      <c r="L23" s="800">
        <f>#REF!</f>
        <v/>
      </c>
      <c r="M23" s="876">
        <f>K23/L23</f>
        <v/>
      </c>
      <c r="N23" s="802">
        <f>N22+H23-K23</f>
        <v/>
      </c>
      <c r="O23" s="802">
        <f>O22+J23-M23</f>
        <v/>
      </c>
      <c r="P23" s="803" t="inlineStr">
        <is>
          <t>1월 송금</t>
        </is>
      </c>
      <c r="Q23" s="804" t="n"/>
      <c r="R23" s="804" t="n"/>
      <c r="S23" s="805">
        <f>S22-M23</f>
        <v/>
      </c>
      <c r="T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</row>
    <row r="24" ht="11.25" customFormat="1" customHeight="1" s="688">
      <c r="A24" s="80" t="n"/>
      <c r="B24" s="875" t="n">
        <v>45702</v>
      </c>
      <c r="C24" s="144" t="inlineStr">
        <is>
          <t>사무실 주차비</t>
        </is>
      </c>
      <c r="D24" s="149" t="n"/>
      <c r="E24" s="145" t="n">
        <v>4</v>
      </c>
      <c r="F24" s="253" t="inlineStr">
        <is>
          <t>여비교통비</t>
        </is>
      </c>
      <c r="G24" s="82" t="inlineStr">
        <is>
          <t>해외</t>
        </is>
      </c>
      <c r="H24" s="187" t="n"/>
      <c r="I24" s="798" t="n"/>
      <c r="J24" s="187" t="n"/>
      <c r="K24" s="799" t="n">
        <v>1600</v>
      </c>
      <c r="L24" s="800">
        <f>#REF!</f>
        <v/>
      </c>
      <c r="M24" s="876">
        <f>K24/L24</f>
        <v/>
      </c>
      <c r="N24" s="802">
        <f>N23+H24-K24</f>
        <v/>
      </c>
      <c r="O24" s="802">
        <f>O23+J24-M24</f>
        <v/>
      </c>
      <c r="P24" s="803" t="inlineStr">
        <is>
          <t>1월 송금</t>
        </is>
      </c>
      <c r="Q24" s="804" t="n"/>
      <c r="R24" s="804" t="n"/>
      <c r="S24" s="805">
        <f>S23-M24</f>
        <v/>
      </c>
      <c r="T24" s="698" t="n"/>
      <c r="U24" s="830" t="n"/>
      <c r="V24" s="698" t="n"/>
      <c r="W24" s="698" t="n"/>
      <c r="X24" s="698" t="n"/>
      <c r="Y24" s="698" t="n"/>
      <c r="Z24" s="698" t="n"/>
      <c r="AA24" s="698" t="n"/>
      <c r="AB24" s="698" t="n"/>
      <c r="AC24" s="698" t="n"/>
    </row>
    <row r="25" ht="11.25" customFormat="1" customHeight="1" s="688">
      <c r="A25" s="80" t="n"/>
      <c r="B25" s="875" t="n">
        <v>45702</v>
      </c>
      <c r="C25" s="144" t="inlineStr">
        <is>
          <t>은행수수료</t>
        </is>
      </c>
      <c r="D25" s="149" t="n"/>
      <c r="E25" s="145" t="n">
        <v>5</v>
      </c>
      <c r="F25" s="253" t="inlineStr">
        <is>
          <t>해외지사비</t>
        </is>
      </c>
      <c r="G25" s="82" t="n"/>
      <c r="H25" s="187" t="n"/>
      <c r="I25" s="798" t="n"/>
      <c r="J25" s="187" t="n"/>
      <c r="K25" s="799" t="n">
        <v>3.6</v>
      </c>
      <c r="L25" s="800">
        <f>#REF!</f>
        <v/>
      </c>
      <c r="M25" s="876">
        <f>K25/L25</f>
        <v/>
      </c>
      <c r="N25" s="802">
        <f>N24+H25-K25</f>
        <v/>
      </c>
      <c r="O25" s="802">
        <f>O24+J25-M25</f>
        <v/>
      </c>
      <c r="P25" s="803" t="inlineStr">
        <is>
          <t>1월 송금</t>
        </is>
      </c>
      <c r="Q25" s="804" t="n"/>
      <c r="R25" s="804" t="n"/>
      <c r="S25" s="805">
        <f>S24-M25</f>
        <v/>
      </c>
      <c r="T25" s="698" t="n"/>
      <c r="U25" s="830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</row>
    <row r="26" ht="11.25" customFormat="1" customHeight="1" s="688">
      <c r="A26" s="80" t="n"/>
      <c r="B26" s="875" t="n">
        <v>45708</v>
      </c>
      <c r="C26" s="144" t="inlineStr">
        <is>
          <t>세무대행비</t>
        </is>
      </c>
      <c r="D26" s="149" t="n"/>
      <c r="E26" s="145" t="n">
        <v>6</v>
      </c>
      <c r="F26" s="253" t="inlineStr">
        <is>
          <t>해외지사비</t>
        </is>
      </c>
      <c r="G26" s="82" t="n"/>
      <c r="H26" s="187" t="n"/>
      <c r="I26" s="798" t="n"/>
      <c r="J26" s="187" t="n"/>
      <c r="K26" s="799" t="n">
        <v>1010</v>
      </c>
      <c r="L26" s="800">
        <f>#REF!</f>
        <v/>
      </c>
      <c r="M26" s="876">
        <f>K26/L26</f>
        <v/>
      </c>
      <c r="N26" s="802">
        <f>N25+H26-K26</f>
        <v/>
      </c>
      <c r="O26" s="802">
        <f>O25+J26-M26</f>
        <v/>
      </c>
      <c r="P26" s="803" t="inlineStr">
        <is>
          <t>1월 송금</t>
        </is>
      </c>
      <c r="Q26" s="804" t="n"/>
      <c r="R26" s="804" t="n"/>
      <c r="S26" s="805">
        <f>S25-M26</f>
        <v/>
      </c>
      <c r="T26" s="698" t="n"/>
      <c r="U26" s="830" t="n"/>
      <c r="V26" s="698" t="n"/>
      <c r="W26" s="698" t="n"/>
      <c r="X26" s="698" t="n"/>
      <c r="Y26" s="698" t="n"/>
      <c r="Z26" s="698" t="n"/>
      <c r="AA26" s="698" t="n"/>
      <c r="AB26" s="698" t="n"/>
      <c r="AC26" s="698" t="n"/>
    </row>
    <row r="27" ht="11.25" customFormat="1" customHeight="1" s="688">
      <c r="A27" s="80" t="n"/>
      <c r="B27" s="875" t="n">
        <v>45708</v>
      </c>
      <c r="C27" s="144" t="inlineStr">
        <is>
          <t>은행수수료</t>
        </is>
      </c>
      <c r="D27" s="149" t="n"/>
      <c r="E27" s="145" t="n">
        <v>7</v>
      </c>
      <c r="F27" s="253" t="inlineStr">
        <is>
          <t>해외지사비</t>
        </is>
      </c>
      <c r="G27" s="82" t="n"/>
      <c r="H27" s="187" t="n"/>
      <c r="I27" s="798" t="n"/>
      <c r="J27" s="187" t="n"/>
      <c r="K27" s="799" t="n">
        <v>3.6</v>
      </c>
      <c r="L27" s="800">
        <f>#REF!</f>
        <v/>
      </c>
      <c r="M27" s="876">
        <f>K27/L27</f>
        <v/>
      </c>
      <c r="N27" s="802">
        <f>N26+H27-K27</f>
        <v/>
      </c>
      <c r="O27" s="802">
        <f>O26+J27-M27</f>
        <v/>
      </c>
      <c r="P27" s="803" t="inlineStr">
        <is>
          <t>1월 송금</t>
        </is>
      </c>
      <c r="Q27" s="804" t="n"/>
      <c r="R27" s="804" t="n"/>
      <c r="S27" s="805">
        <f>S26-M27</f>
        <v/>
      </c>
      <c r="T27" s="698" t="n"/>
      <c r="U27" s="830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</row>
    <row r="28" ht="11.25" customFormat="1" customHeight="1" s="688">
      <c r="A28" s="80" t="n"/>
      <c r="B28" s="875" t="n">
        <v>45708</v>
      </c>
      <c r="C28" s="144" t="inlineStr">
        <is>
          <t>차량 Rent비</t>
        </is>
      </c>
      <c r="D28" s="149" t="n"/>
      <c r="E28" s="149" t="n">
        <v>8</v>
      </c>
      <c r="F28" s="253" t="inlineStr">
        <is>
          <t>지급임차료</t>
        </is>
      </c>
      <c r="G28" s="82" t="inlineStr">
        <is>
          <t>차량임차료</t>
        </is>
      </c>
      <c r="H28" s="150" t="n"/>
      <c r="I28" s="189" t="n"/>
      <c r="J28" s="189" t="n"/>
      <c r="K28" s="799" t="n">
        <v>10500</v>
      </c>
      <c r="L28" s="800">
        <f>#REF!</f>
        <v/>
      </c>
      <c r="M28" s="876">
        <f>K28/L28</f>
        <v/>
      </c>
      <c r="N28" s="802">
        <f>N27+H28-K28</f>
        <v/>
      </c>
      <c r="O28" s="802">
        <f>O27+J28-M28</f>
        <v/>
      </c>
      <c r="P28" s="803" t="inlineStr">
        <is>
          <t>1월 송금</t>
        </is>
      </c>
      <c r="Q28" s="804" t="n"/>
      <c r="R28" s="804" t="n"/>
      <c r="S28" s="805">
        <f>S27-M28</f>
        <v/>
      </c>
      <c r="T28" s="698" t="n"/>
      <c r="U28" s="830" t="n"/>
      <c r="V28" s="698" t="n"/>
      <c r="W28" s="698" t="n"/>
      <c r="X28" s="698" t="n"/>
      <c r="Y28" s="698" t="n"/>
      <c r="Z28" s="698" t="n"/>
      <c r="AA28" s="698" t="n"/>
      <c r="AB28" s="698" t="n"/>
      <c r="AC28" s="698" t="n"/>
    </row>
    <row r="29" ht="11.25" customFormat="1" customHeight="1" s="688">
      <c r="A29" s="80" t="n"/>
      <c r="B29" s="875" t="n">
        <v>45708</v>
      </c>
      <c r="C29" s="144" t="inlineStr">
        <is>
          <t>차량 기사비</t>
        </is>
      </c>
      <c r="D29" s="149" t="n"/>
      <c r="E29" s="149" t="n">
        <v>8</v>
      </c>
      <c r="F29" s="253" t="inlineStr">
        <is>
          <t>해외지사비</t>
        </is>
      </c>
      <c r="G29" s="82" t="n"/>
      <c r="H29" s="150" t="n"/>
      <c r="I29" s="189" t="n"/>
      <c r="J29" s="189" t="n"/>
      <c r="K29" s="799" t="n">
        <v>6000</v>
      </c>
      <c r="L29" s="800">
        <f>#REF!</f>
        <v/>
      </c>
      <c r="M29" s="876">
        <f>K29/L29</f>
        <v/>
      </c>
      <c r="N29" s="802">
        <f>N28+H29-K29</f>
        <v/>
      </c>
      <c r="O29" s="802">
        <f>O28+J29-M29</f>
        <v/>
      </c>
      <c r="P29" s="803" t="inlineStr">
        <is>
          <t>1월 송금</t>
        </is>
      </c>
      <c r="Q29" s="804" t="n"/>
      <c r="R29" s="804" t="n"/>
      <c r="S29" s="805">
        <f>S28-M29</f>
        <v/>
      </c>
      <c r="T29" s="698" t="n"/>
      <c r="U29" s="830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</row>
    <row r="30" ht="11.25" customFormat="1" customHeight="1" s="688">
      <c r="A30" s="80" t="n"/>
      <c r="B30" s="875" t="n">
        <v>45708</v>
      </c>
      <c r="C30" s="144" t="inlineStr">
        <is>
          <t>기사 야근비용</t>
        </is>
      </c>
      <c r="D30" s="149" t="n"/>
      <c r="E30" s="149" t="n">
        <v>8</v>
      </c>
      <c r="F30" s="253" t="inlineStr">
        <is>
          <t>해외지사비</t>
        </is>
      </c>
      <c r="G30" s="82" t="n"/>
      <c r="H30" s="150" t="n"/>
      <c r="I30" s="189" t="n"/>
      <c r="J30" s="189" t="n"/>
      <c r="K30" s="799" t="n">
        <v>680</v>
      </c>
      <c r="L30" s="800">
        <f>#REF!</f>
        <v/>
      </c>
      <c r="M30" s="876">
        <f>K30/L30</f>
        <v/>
      </c>
      <c r="N30" s="802">
        <f>N29+H30-K30</f>
        <v/>
      </c>
      <c r="O30" s="802">
        <f>O29+J30-M30</f>
        <v/>
      </c>
      <c r="P30" s="803" t="inlineStr">
        <is>
          <t>1월 송금</t>
        </is>
      </c>
      <c r="Q30" s="804" t="n"/>
      <c r="R30" s="804" t="n"/>
      <c r="S30" s="805">
        <f>S29-M30</f>
        <v/>
      </c>
      <c r="T30" s="698" t="n"/>
      <c r="U30" s="830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</row>
    <row r="31" ht="11.25" customFormat="1" customHeight="1" s="688">
      <c r="A31" s="80" t="n"/>
      <c r="B31" s="875" t="n">
        <v>45708</v>
      </c>
      <c r="C31" s="144" t="inlineStr">
        <is>
          <t>차량 Rent비</t>
        </is>
      </c>
      <c r="D31" s="149" t="n"/>
      <c r="E31" s="149" t="n">
        <v>8</v>
      </c>
      <c r="F31" s="253" t="inlineStr">
        <is>
          <t>지급임차료</t>
        </is>
      </c>
      <c r="G31" s="82" t="inlineStr">
        <is>
          <t>차량임차료</t>
        </is>
      </c>
      <c r="H31" s="150" t="n"/>
      <c r="I31" s="189" t="n"/>
      <c r="J31" s="189" t="n"/>
      <c r="K31" s="799" t="n">
        <v>7000</v>
      </c>
      <c r="L31" s="800">
        <f>#REF!</f>
        <v/>
      </c>
      <c r="M31" s="876">
        <f>K31/L31</f>
        <v/>
      </c>
      <c r="N31" s="802">
        <f>N30+H31-K31</f>
        <v/>
      </c>
      <c r="O31" s="802">
        <f>O30+J31-M31</f>
        <v/>
      </c>
      <c r="P31" s="803" t="inlineStr">
        <is>
          <t>1월 송금</t>
        </is>
      </c>
      <c r="Q31" s="804" t="n"/>
      <c r="R31" s="804" t="n"/>
      <c r="S31" s="805">
        <f>S30-M31</f>
        <v/>
      </c>
      <c r="T31" s="698" t="n"/>
      <c r="U31" s="830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</row>
    <row r="32" ht="11.25" customFormat="1" customHeight="1" s="688">
      <c r="A32" s="80" t="n"/>
      <c r="B32" s="875" t="n">
        <v>45708</v>
      </c>
      <c r="C32" s="144" t="inlineStr">
        <is>
          <t>차량 기사비</t>
        </is>
      </c>
      <c r="D32" s="149" t="n"/>
      <c r="E32" s="149" t="n">
        <v>8</v>
      </c>
      <c r="F32" s="253" t="inlineStr">
        <is>
          <t>해외지사비</t>
        </is>
      </c>
      <c r="G32" s="82" t="n"/>
      <c r="H32" s="150" t="n"/>
      <c r="I32" s="189" t="n"/>
      <c r="J32" s="189" t="n"/>
      <c r="K32" s="799" t="n">
        <v>6000</v>
      </c>
      <c r="L32" s="800">
        <f>#REF!</f>
        <v/>
      </c>
      <c r="M32" s="876">
        <f>K32/L32</f>
        <v/>
      </c>
      <c r="N32" s="802">
        <f>N31+H32-K32</f>
        <v/>
      </c>
      <c r="O32" s="802">
        <f>O31+J32-M32</f>
        <v/>
      </c>
      <c r="P32" s="803" t="inlineStr">
        <is>
          <t>1월 송금</t>
        </is>
      </c>
      <c r="Q32" s="804" t="n"/>
      <c r="R32" s="804" t="n"/>
      <c r="S32" s="805">
        <f>S31-M32</f>
        <v/>
      </c>
      <c r="T32" s="698" t="n"/>
      <c r="U32" s="830" t="n"/>
      <c r="V32" s="698" t="n"/>
      <c r="W32" s="698" t="n"/>
      <c r="X32" s="698" t="n"/>
      <c r="Y32" s="698" t="n"/>
      <c r="Z32" s="698" t="n"/>
      <c r="AA32" s="698" t="n"/>
      <c r="AB32" s="698" t="n"/>
      <c r="AC32" s="698" t="n"/>
    </row>
    <row r="33" ht="11.25" customFormat="1" customHeight="1" s="688">
      <c r="A33" s="80" t="n"/>
      <c r="B33" s="875" t="n">
        <v>45708</v>
      </c>
      <c r="C33" s="144" t="inlineStr">
        <is>
          <t>기사 야근비용</t>
        </is>
      </c>
      <c r="D33" s="149" t="n"/>
      <c r="E33" s="149" t="n">
        <v>8</v>
      </c>
      <c r="F33" s="253" t="inlineStr">
        <is>
          <t>해외지사비</t>
        </is>
      </c>
      <c r="G33" s="82" t="n"/>
      <c r="H33" s="150" t="n"/>
      <c r="I33" s="189" t="n"/>
      <c r="J33" s="189" t="n"/>
      <c r="K33" s="799" t="n">
        <v>230</v>
      </c>
      <c r="L33" s="800">
        <f>#REF!</f>
        <v/>
      </c>
      <c r="M33" s="876">
        <f>K33/L33</f>
        <v/>
      </c>
      <c r="N33" s="802">
        <f>N32+H33-K33</f>
        <v/>
      </c>
      <c r="O33" s="802">
        <f>O32+J33-M33</f>
        <v/>
      </c>
      <c r="P33" s="803" t="inlineStr">
        <is>
          <t>1월 송금</t>
        </is>
      </c>
      <c r="Q33" s="804" t="n"/>
      <c r="R33" s="804" t="n"/>
      <c r="S33" s="805">
        <f>S32-M33</f>
        <v/>
      </c>
      <c r="T33" s="698" t="n"/>
      <c r="U33" s="830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</row>
    <row r="34" ht="11.25" customFormat="1" customHeight="1" s="688">
      <c r="A34" s="80" t="n"/>
      <c r="B34" s="875" t="n">
        <v>45708</v>
      </c>
      <c r="C34" s="144" t="inlineStr">
        <is>
          <t>은행수수료</t>
        </is>
      </c>
      <c r="D34" s="149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9" t="n">
        <v>7.2</v>
      </c>
      <c r="L34" s="800">
        <f>#REF!</f>
        <v/>
      </c>
      <c r="M34" s="876">
        <f>K34/L34</f>
        <v/>
      </c>
      <c r="N34" s="802">
        <f>N33+H34-K34</f>
        <v/>
      </c>
      <c r="O34" s="802">
        <f>O33+J34-M34</f>
        <v/>
      </c>
      <c r="P34" s="803" t="inlineStr">
        <is>
          <t>1월 송금</t>
        </is>
      </c>
      <c r="Q34" s="804" t="n"/>
      <c r="R34" s="804" t="n"/>
      <c r="S34" s="805">
        <f>S33-M34</f>
        <v/>
      </c>
      <c r="T34" s="698" t="n"/>
      <c r="U34" s="830" t="n"/>
      <c r="V34" s="698" t="n"/>
      <c r="W34" s="698" t="n"/>
      <c r="X34" s="698" t="n"/>
      <c r="Y34" s="698" t="n"/>
      <c r="Z34" s="698" t="n"/>
      <c r="AA34" s="698" t="n"/>
      <c r="AB34" s="698" t="n"/>
      <c r="AC34" s="698" t="n"/>
    </row>
    <row r="35" ht="11.25" customFormat="1" customHeight="1" s="688">
      <c r="A35" s="80" t="n"/>
      <c r="B35" s="875" t="n">
        <v>45708</v>
      </c>
      <c r="C35" s="144" t="inlineStr">
        <is>
          <t>신순연_사무실 wfi, 통신비</t>
        </is>
      </c>
      <c r="D35" s="877" t="n"/>
      <c r="E35" s="149" t="n">
        <v>10</v>
      </c>
      <c r="F35" s="145" t="inlineStr">
        <is>
          <t>통신비</t>
        </is>
      </c>
      <c r="G35" s="82" t="inlineStr">
        <is>
          <t>기타</t>
        </is>
      </c>
      <c r="H35" s="150" t="n"/>
      <c r="I35" s="149" t="n"/>
      <c r="J35" s="149" t="n"/>
      <c r="K35" s="799" t="n">
        <v>397.8</v>
      </c>
      <c r="L35" s="800">
        <f>#REF!</f>
        <v/>
      </c>
      <c r="M35" s="876">
        <f>K35/L35</f>
        <v/>
      </c>
      <c r="N35" s="802">
        <f>N34+H35-K35</f>
        <v/>
      </c>
      <c r="O35" s="802">
        <f>O34+J35-M35</f>
        <v/>
      </c>
      <c r="P35" s="803" t="inlineStr">
        <is>
          <t>1월 송금</t>
        </is>
      </c>
      <c r="Q35" s="804" t="n"/>
      <c r="R35" s="804" t="n"/>
      <c r="S35" s="805">
        <f>S34-M35</f>
        <v/>
      </c>
      <c r="T35" s="698" t="n"/>
      <c r="U35" s="830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</row>
    <row r="36" ht="11.25" customFormat="1" customHeight="1" s="688">
      <c r="A36" s="80" t="n"/>
      <c r="B36" s="875" t="n">
        <v>45708</v>
      </c>
      <c r="C36" s="144" t="inlineStr">
        <is>
          <t>은행수수료</t>
        </is>
      </c>
      <c r="D36" s="877" t="n"/>
      <c r="E36" s="149" t="n">
        <v>11</v>
      </c>
      <c r="F36" s="145" t="inlineStr">
        <is>
          <t>해외지사비</t>
        </is>
      </c>
      <c r="G36" s="82" t="n"/>
      <c r="H36" s="150" t="n"/>
      <c r="I36" s="149" t="n"/>
      <c r="J36" s="149" t="n"/>
      <c r="K36" s="799" t="n">
        <v>3.6</v>
      </c>
      <c r="L36" s="800">
        <f>#REF!</f>
        <v/>
      </c>
      <c r="M36" s="876">
        <f>K36/L36</f>
        <v/>
      </c>
      <c r="N36" s="802">
        <f>N35+H36-K36</f>
        <v/>
      </c>
      <c r="O36" s="802">
        <f>O35+J36-M36</f>
        <v/>
      </c>
      <c r="P36" s="803" t="inlineStr">
        <is>
          <t>1월 송금</t>
        </is>
      </c>
      <c r="Q36" s="804" t="n"/>
      <c r="R36" s="804" t="n"/>
      <c r="S36" s="805">
        <f>S35-M36</f>
        <v/>
      </c>
      <c r="T36" s="698" t="n"/>
      <c r="U36" s="830" t="n"/>
      <c r="V36" s="698" t="n"/>
      <c r="W36" s="698" t="n"/>
      <c r="X36" s="698" t="n"/>
      <c r="Y36" s="698" t="n"/>
      <c r="Z36" s="698" t="n"/>
      <c r="AA36" s="698" t="n"/>
      <c r="AB36" s="698" t="n"/>
      <c r="AC36" s="698" t="n"/>
    </row>
    <row r="37" ht="11.25" customFormat="1" customHeight="1" s="688">
      <c r="A37" s="80" t="n"/>
      <c r="B37" s="875" t="n">
        <v>45708</v>
      </c>
      <c r="C37" s="144" t="inlineStr">
        <is>
          <t>Pan Shi Qiang_출장비</t>
        </is>
      </c>
      <c r="D37" s="149" t="n"/>
      <c r="E37" s="145" t="n">
        <v>12</v>
      </c>
      <c r="F37" s="145" t="inlineStr">
        <is>
          <t>여비교통비</t>
        </is>
      </c>
      <c r="G37" s="82" t="inlineStr">
        <is>
          <t>해외</t>
        </is>
      </c>
      <c r="H37" s="150" t="n"/>
      <c r="I37" s="149" t="n"/>
      <c r="J37" s="149" t="n"/>
      <c r="K37" s="799" t="n">
        <v>1231.33</v>
      </c>
      <c r="L37" s="800">
        <f>#REF!</f>
        <v/>
      </c>
      <c r="M37" s="876">
        <f>K37/L37</f>
        <v/>
      </c>
      <c r="N37" s="802">
        <f>N36+H37-K37</f>
        <v/>
      </c>
      <c r="O37" s="802">
        <f>O36+J37-M37</f>
        <v/>
      </c>
      <c r="P37" s="803" t="inlineStr">
        <is>
          <t>1월 송금</t>
        </is>
      </c>
      <c r="Q37" s="804" t="n"/>
      <c r="R37" s="804" t="n"/>
      <c r="S37" s="805">
        <f>S36-M37</f>
        <v/>
      </c>
      <c r="T37" s="698" t="n"/>
      <c r="U37" s="830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</row>
    <row r="38" ht="11.25" customFormat="1" customHeight="1" s="688">
      <c r="A38" s="80" t="n"/>
      <c r="B38" s="875" t="n">
        <v>45708</v>
      </c>
      <c r="C38" s="144" t="inlineStr">
        <is>
          <t>Pan Shi Qiang_통신비</t>
        </is>
      </c>
      <c r="D38" s="149" t="n"/>
      <c r="E38" s="145" t="n">
        <v>13</v>
      </c>
      <c r="F38" s="145" t="inlineStr">
        <is>
          <t>통신비</t>
        </is>
      </c>
      <c r="G38" s="82" t="inlineStr">
        <is>
          <t>기타</t>
        </is>
      </c>
      <c r="H38" s="150" t="n"/>
      <c r="I38" s="149" t="n"/>
      <c r="J38" s="149" t="n"/>
      <c r="K38" s="799" t="n">
        <v>108.9</v>
      </c>
      <c r="L38" s="800">
        <f>#REF!</f>
        <v/>
      </c>
      <c r="M38" s="876">
        <f>K38/L38</f>
        <v/>
      </c>
      <c r="N38" s="802">
        <f>N37+H38-K38</f>
        <v/>
      </c>
      <c r="O38" s="802">
        <f>O37+J38-M38</f>
        <v/>
      </c>
      <c r="P38" s="803" t="inlineStr">
        <is>
          <t>1월 송금</t>
        </is>
      </c>
      <c r="Q38" s="804" t="n"/>
      <c r="R38" s="804" t="n"/>
      <c r="S38" s="805">
        <f>S37-M38</f>
        <v/>
      </c>
      <c r="T38" s="698" t="n"/>
      <c r="U38" s="830" t="n"/>
      <c r="V38" s="698" t="n"/>
      <c r="W38" s="698" t="n"/>
      <c r="X38" s="698" t="n"/>
      <c r="Y38" s="698" t="n"/>
      <c r="Z38" s="698" t="n"/>
      <c r="AA38" s="698" t="n"/>
      <c r="AB38" s="698" t="n"/>
      <c r="AC38" s="698" t="n"/>
    </row>
    <row r="39" ht="11.25" customFormat="1" customHeight="1" s="688">
      <c r="A39" s="80" t="n"/>
      <c r="B39" s="875" t="n">
        <v>45708</v>
      </c>
      <c r="C39" s="144" t="inlineStr">
        <is>
          <t>은행수수료</t>
        </is>
      </c>
      <c r="D39" s="149" t="n"/>
      <c r="E39" s="145" t="n">
        <v>14</v>
      </c>
      <c r="F39" s="145" t="inlineStr">
        <is>
          <t>해외지사비</t>
        </is>
      </c>
      <c r="G39" s="82" t="n"/>
      <c r="H39" s="150" t="n"/>
      <c r="I39" s="149" t="n"/>
      <c r="J39" s="149" t="n"/>
      <c r="K39" s="799" t="n">
        <v>3.6</v>
      </c>
      <c r="L39" s="800">
        <f>#REF!</f>
        <v/>
      </c>
      <c r="M39" s="876">
        <f>K39/L39</f>
        <v/>
      </c>
      <c r="N39" s="802">
        <f>N38+H39-K39</f>
        <v/>
      </c>
      <c r="O39" s="802">
        <f>O38+J39-M39</f>
        <v/>
      </c>
      <c r="P39" s="803" t="inlineStr">
        <is>
          <t>1월 송금</t>
        </is>
      </c>
      <c r="Q39" s="804" t="n"/>
      <c r="R39" s="804" t="n"/>
      <c r="S39" s="805">
        <f>S38-M39</f>
        <v/>
      </c>
      <c r="T39" s="698" t="n"/>
      <c r="U39" s="830" t="n"/>
      <c r="V39" s="698" t="n"/>
      <c r="W39" s="698" t="n"/>
      <c r="X39" s="698" t="n"/>
      <c r="Y39" s="698" t="n"/>
      <c r="Z39" s="698" t="n"/>
      <c r="AA39" s="698" t="n"/>
      <c r="AB39" s="698" t="n"/>
      <c r="AC39" s="698" t="n"/>
    </row>
    <row r="40" ht="11.25" customFormat="1" customHeight="1" s="688">
      <c r="A40" s="80" t="n"/>
      <c r="B40" s="875" t="n">
        <v>45708</v>
      </c>
      <c r="C40" s="144" t="inlineStr">
        <is>
          <t>Zhang Liang_시내교통비</t>
        </is>
      </c>
      <c r="D40" s="149" t="n"/>
      <c r="E40" s="145" t="n">
        <v>15</v>
      </c>
      <c r="F40" s="145" t="inlineStr">
        <is>
          <t>여비교통비</t>
        </is>
      </c>
      <c r="G40" s="82" t="inlineStr">
        <is>
          <t>해외</t>
        </is>
      </c>
      <c r="H40" s="150" t="n"/>
      <c r="I40" s="149" t="n"/>
      <c r="J40" s="149" t="n"/>
      <c r="K40" s="878" t="n">
        <v>503.6</v>
      </c>
      <c r="L40" s="800">
        <f>#REF!</f>
        <v/>
      </c>
      <c r="M40" s="876">
        <f>K40/L40</f>
        <v/>
      </c>
      <c r="N40" s="802">
        <f>N39+H40-K40</f>
        <v/>
      </c>
      <c r="O40" s="802">
        <f>O39+J40-M40</f>
        <v/>
      </c>
      <c r="P40" s="803" t="inlineStr">
        <is>
          <t>1월 송금</t>
        </is>
      </c>
      <c r="Q40" s="804" t="n"/>
      <c r="R40" s="804" t="n"/>
      <c r="S40" s="805">
        <f>S39-M40</f>
        <v/>
      </c>
      <c r="T40" s="698" t="n"/>
      <c r="U40" s="830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</row>
    <row r="41" ht="11.25" customFormat="1" customHeight="1" s="688">
      <c r="A41" s="80" t="n"/>
      <c r="B41" s="875" t="n">
        <v>45708</v>
      </c>
      <c r="C41" s="144" t="inlineStr">
        <is>
          <t>Zhang Liang_출장비</t>
        </is>
      </c>
      <c r="D41" s="149" t="n"/>
      <c r="E41" s="145" t="n">
        <v>16</v>
      </c>
      <c r="F41" s="145" t="inlineStr">
        <is>
          <t>여비교통비</t>
        </is>
      </c>
      <c r="G41" s="82" t="inlineStr">
        <is>
          <t>해외</t>
        </is>
      </c>
      <c r="H41" s="150" t="n"/>
      <c r="I41" s="149" t="n"/>
      <c r="J41" s="149" t="n"/>
      <c r="K41" s="878" t="n">
        <v>617.75</v>
      </c>
      <c r="L41" s="800">
        <f>#REF!</f>
        <v/>
      </c>
      <c r="M41" s="876">
        <f>K41/L41</f>
        <v/>
      </c>
      <c r="N41" s="802">
        <f>N40+H41-K41</f>
        <v/>
      </c>
      <c r="O41" s="802">
        <f>O40+J41-M41</f>
        <v/>
      </c>
      <c r="P41" s="803" t="inlineStr">
        <is>
          <t>1월 송금</t>
        </is>
      </c>
      <c r="Q41" s="804" t="n"/>
      <c r="R41" s="804" t="n"/>
      <c r="S41" s="805">
        <f>S40-M41</f>
        <v/>
      </c>
      <c r="T41" s="698" t="n"/>
      <c r="U41" s="830" t="n"/>
      <c r="V41" s="698" t="n"/>
      <c r="W41" s="698" t="n"/>
      <c r="X41" s="698" t="n"/>
      <c r="Y41" s="698" t="n"/>
      <c r="Z41" s="698" t="n"/>
      <c r="AA41" s="698" t="n"/>
      <c r="AB41" s="698" t="n"/>
      <c r="AC41" s="698" t="n"/>
    </row>
    <row r="42" ht="11.25" customFormat="1" customHeight="1" s="688">
      <c r="A42" s="80" t="n"/>
      <c r="B42" s="875" t="n">
        <v>45708</v>
      </c>
      <c r="C42" s="144" t="inlineStr">
        <is>
          <t>Zhang Liang_통신비</t>
        </is>
      </c>
      <c r="D42" s="149" t="n"/>
      <c r="E42" s="145" t="n">
        <v>17</v>
      </c>
      <c r="F42" s="145" t="inlineStr">
        <is>
          <t>통신비</t>
        </is>
      </c>
      <c r="G42" s="82" t="inlineStr">
        <is>
          <t>기타</t>
        </is>
      </c>
      <c r="H42" s="150" t="n"/>
      <c r="I42" s="149" t="n"/>
      <c r="J42" s="149" t="n"/>
      <c r="K42" s="799" t="n">
        <v>350</v>
      </c>
      <c r="L42" s="800">
        <f>#REF!</f>
        <v/>
      </c>
      <c r="M42" s="876">
        <f>K42/L42</f>
        <v/>
      </c>
      <c r="N42" s="802">
        <f>N41+H42-K42</f>
        <v/>
      </c>
      <c r="O42" s="802">
        <f>O41+J42-M42</f>
        <v/>
      </c>
      <c r="P42" s="803" t="inlineStr">
        <is>
          <t>1월 송금</t>
        </is>
      </c>
      <c r="Q42" s="804" t="n"/>
      <c r="R42" s="804" t="n"/>
      <c r="S42" s="805">
        <f>S41-M42</f>
        <v/>
      </c>
      <c r="T42" s="698" t="n"/>
      <c r="U42" s="830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</row>
    <row r="43" ht="11.25" customFormat="1" customHeight="1" s="688">
      <c r="A43" s="80" t="n"/>
      <c r="B43" s="875" t="n">
        <v>45708</v>
      </c>
      <c r="C43" s="144" t="inlineStr">
        <is>
          <t>Zhang Liang_택배비</t>
        </is>
      </c>
      <c r="D43" s="149" t="n"/>
      <c r="E43" s="145" t="n">
        <v>18</v>
      </c>
      <c r="F43" s="145" t="inlineStr">
        <is>
          <t>해외지사비</t>
        </is>
      </c>
      <c r="G43" s="82" t="n"/>
      <c r="H43" s="150" t="n"/>
      <c r="I43" s="149" t="n"/>
      <c r="J43" s="149" t="n"/>
      <c r="K43" s="878" t="n">
        <v>133.15</v>
      </c>
      <c r="L43" s="800">
        <f>#REF!</f>
        <v/>
      </c>
      <c r="M43" s="876">
        <f>K43/L43</f>
        <v/>
      </c>
      <c r="N43" s="802">
        <f>N42+H43-K43</f>
        <v/>
      </c>
      <c r="O43" s="802">
        <f>O42+J43-M43</f>
        <v/>
      </c>
      <c r="P43" s="803" t="inlineStr">
        <is>
          <t>1월 송금</t>
        </is>
      </c>
      <c r="Q43" s="804" t="n"/>
      <c r="R43" s="804" t="n"/>
      <c r="S43" s="805">
        <f>S42-M43</f>
        <v/>
      </c>
      <c r="T43" s="698" t="n"/>
      <c r="U43" s="830" t="n"/>
      <c r="V43" s="698" t="n"/>
      <c r="W43" s="698" t="n"/>
      <c r="X43" s="698" t="n"/>
      <c r="Y43" s="698" t="n"/>
      <c r="Z43" s="698" t="n"/>
      <c r="AA43" s="698" t="n"/>
      <c r="AB43" s="698" t="n"/>
      <c r="AC43" s="698" t="n"/>
    </row>
    <row r="44" ht="11.25" customFormat="1" customHeight="1" s="688">
      <c r="A44" s="80" t="n"/>
      <c r="B44" s="875" t="n">
        <v>45708</v>
      </c>
      <c r="C44" s="144" t="inlineStr">
        <is>
          <t>Zhang Liang_사무용품</t>
        </is>
      </c>
      <c r="D44" s="149" t="n"/>
      <c r="E44" s="145" t="n">
        <v>19</v>
      </c>
      <c r="F44" s="145" t="inlineStr">
        <is>
          <t>해외지사비</t>
        </is>
      </c>
      <c r="G44" s="82" t="n"/>
      <c r="H44" s="150" t="n"/>
      <c r="I44" s="149" t="n"/>
      <c r="J44" s="149" t="n"/>
      <c r="K44" s="878" t="n">
        <v>369.6</v>
      </c>
      <c r="L44" s="800">
        <f>#REF!</f>
        <v/>
      </c>
      <c r="M44" s="876">
        <f>K44/L44</f>
        <v/>
      </c>
      <c r="N44" s="802">
        <f>N43+H44-K44</f>
        <v/>
      </c>
      <c r="O44" s="802">
        <f>O43+J44-M44</f>
        <v/>
      </c>
      <c r="P44" s="803" t="inlineStr">
        <is>
          <t>1월 송금</t>
        </is>
      </c>
      <c r="Q44" s="804" t="n"/>
      <c r="R44" s="804" t="n"/>
      <c r="S44" s="805">
        <f>S43-M44</f>
        <v/>
      </c>
      <c r="T44" s="698" t="n"/>
      <c r="U44" s="830" t="n"/>
      <c r="V44" s="698" t="n"/>
      <c r="W44" s="698" t="n"/>
      <c r="X44" s="698" t="n"/>
      <c r="Y44" s="698" t="n"/>
      <c r="Z44" s="698" t="n"/>
      <c r="AA44" s="698" t="n"/>
      <c r="AB44" s="698" t="n"/>
      <c r="AC44" s="698" t="n"/>
    </row>
    <row r="45" ht="11.25" customFormat="1" customHeight="1" s="688">
      <c r="A45" s="80" t="n"/>
      <c r="B45" s="875" t="n">
        <v>45708</v>
      </c>
      <c r="C45" s="144" t="inlineStr">
        <is>
          <t>은행수수료</t>
        </is>
      </c>
      <c r="D45" s="149" t="n"/>
      <c r="E45" s="145" t="n">
        <v>20</v>
      </c>
      <c r="F45" s="145" t="inlineStr">
        <is>
          <t>해외지사비</t>
        </is>
      </c>
      <c r="G45" s="82" t="n"/>
      <c r="H45" s="150" t="n"/>
      <c r="I45" s="149" t="n"/>
      <c r="J45" s="149" t="n"/>
      <c r="K45" s="799" t="n">
        <v>3.6</v>
      </c>
      <c r="L45" s="800">
        <f>#REF!</f>
        <v/>
      </c>
      <c r="M45" s="876">
        <f>K45/L45</f>
        <v/>
      </c>
      <c r="N45" s="802">
        <f>N44+H45-K45</f>
        <v/>
      </c>
      <c r="O45" s="802">
        <f>O44+J45-M45</f>
        <v/>
      </c>
      <c r="P45" s="803" t="inlineStr">
        <is>
          <t>1월 송금</t>
        </is>
      </c>
      <c r="Q45" s="804" t="n"/>
      <c r="R45" s="804" t="n"/>
      <c r="S45" s="805">
        <f>S44-M45</f>
        <v/>
      </c>
      <c r="T45" s="698" t="n"/>
      <c r="U45" s="830" t="n"/>
      <c r="V45" s="698" t="n"/>
      <c r="W45" s="698" t="n"/>
      <c r="X45" s="698" t="n"/>
      <c r="Y45" s="698" t="n"/>
      <c r="Z45" s="698" t="n"/>
      <c r="AA45" s="698" t="n"/>
      <c r="AB45" s="698" t="n"/>
      <c r="AC45" s="698" t="n"/>
    </row>
    <row r="46" ht="11.25" customFormat="1" customHeight="1" s="688">
      <c r="A46" s="80" t="n"/>
      <c r="B46" s="875" t="n">
        <v>45708</v>
      </c>
      <c r="C46" s="144" t="inlineStr">
        <is>
          <t>Lin Jie Ting_시내/시외교통비</t>
        </is>
      </c>
      <c r="D46" s="149" t="n"/>
      <c r="E46" s="145" t="n">
        <v>21</v>
      </c>
      <c r="F46" s="145" t="inlineStr">
        <is>
          <t>여비교통비</t>
        </is>
      </c>
      <c r="G46" s="82" t="inlineStr">
        <is>
          <t>해외</t>
        </is>
      </c>
      <c r="H46" s="150" t="n"/>
      <c r="I46" s="149" t="n"/>
      <c r="J46" s="149" t="n"/>
      <c r="K46" s="878" t="n">
        <v>292.46</v>
      </c>
      <c r="L46" s="800">
        <f>#REF!</f>
        <v/>
      </c>
      <c r="M46" s="876">
        <f>K46/L46</f>
        <v/>
      </c>
      <c r="N46" s="802">
        <f>N45+H46-K46</f>
        <v/>
      </c>
      <c r="O46" s="802">
        <f>O45+J46-M46</f>
        <v/>
      </c>
      <c r="P46" s="803" t="inlineStr">
        <is>
          <t>1월 송금</t>
        </is>
      </c>
      <c r="Q46" s="804" t="n"/>
      <c r="R46" s="804" t="n"/>
      <c r="S46" s="805">
        <f>S45-M46</f>
        <v/>
      </c>
      <c r="T46" s="698" t="n"/>
      <c r="U46" s="830" t="n"/>
      <c r="V46" s="698" t="n"/>
      <c r="W46" s="698" t="n"/>
      <c r="X46" s="698" t="n"/>
      <c r="Y46" s="698" t="n"/>
      <c r="Z46" s="698" t="n"/>
      <c r="AA46" s="698" t="n"/>
      <c r="AB46" s="698" t="n"/>
      <c r="AC46" s="698" t="n"/>
    </row>
    <row r="47" ht="11.25" customFormat="1" customHeight="1" s="688">
      <c r="A47" s="80" t="n"/>
      <c r="B47" s="875" t="n">
        <v>45708</v>
      </c>
      <c r="C47" s="144" t="inlineStr">
        <is>
          <t>Lin Jie Ting_통신비</t>
        </is>
      </c>
      <c r="D47" s="149" t="n"/>
      <c r="E47" s="145" t="n">
        <v>22</v>
      </c>
      <c r="F47" s="145" t="inlineStr">
        <is>
          <t>통신비</t>
        </is>
      </c>
      <c r="G47" s="82" t="inlineStr">
        <is>
          <t>기타</t>
        </is>
      </c>
      <c r="H47" s="150" t="n"/>
      <c r="I47" s="149" t="n"/>
      <c r="J47" s="149" t="n"/>
      <c r="K47" s="878" t="n">
        <v>299.1</v>
      </c>
      <c r="L47" s="800">
        <f>#REF!</f>
        <v/>
      </c>
      <c r="M47" s="876">
        <f>K47/L47</f>
        <v/>
      </c>
      <c r="N47" s="802">
        <f>N46+H47-K47</f>
        <v/>
      </c>
      <c r="O47" s="802">
        <f>O46+J47-M47</f>
        <v/>
      </c>
      <c r="P47" s="803" t="inlineStr">
        <is>
          <t>1월 송금</t>
        </is>
      </c>
      <c r="Q47" s="804" t="n"/>
      <c r="R47" s="804" t="n"/>
      <c r="S47" s="805">
        <f>S46-M47</f>
        <v/>
      </c>
      <c r="T47" s="698" t="n"/>
      <c r="U47" s="830" t="n"/>
      <c r="V47" s="698" t="n"/>
      <c r="W47" s="698" t="n"/>
      <c r="X47" s="698" t="n"/>
      <c r="Y47" s="698" t="n"/>
      <c r="Z47" s="698" t="n"/>
      <c r="AA47" s="698" t="n"/>
      <c r="AB47" s="698" t="n"/>
      <c r="AC47" s="698" t="n"/>
    </row>
    <row r="48" ht="11.25" customFormat="1" customHeight="1" s="688">
      <c r="A48" s="80" t="n"/>
      <c r="B48" s="875" t="n">
        <v>45708</v>
      </c>
      <c r="C48" s="144" t="inlineStr">
        <is>
          <t>Lin Jie Ting_택배비</t>
        </is>
      </c>
      <c r="D48" s="149" t="n"/>
      <c r="E48" s="145" t="n">
        <v>23</v>
      </c>
      <c r="F48" s="145" t="inlineStr">
        <is>
          <t>해외지사비</t>
        </is>
      </c>
      <c r="G48" s="82" t="n"/>
      <c r="H48" s="150" t="n"/>
      <c r="I48" s="149" t="n"/>
      <c r="J48" s="149" t="n"/>
      <c r="K48" s="878" t="n">
        <v>24</v>
      </c>
      <c r="L48" s="800">
        <f>#REF!</f>
        <v/>
      </c>
      <c r="M48" s="876">
        <f>K48/L48</f>
        <v/>
      </c>
      <c r="N48" s="802">
        <f>N47+H48-K48</f>
        <v/>
      </c>
      <c r="O48" s="802">
        <f>O47+J48-M48</f>
        <v/>
      </c>
      <c r="P48" s="803" t="inlineStr">
        <is>
          <t>1월 송금</t>
        </is>
      </c>
      <c r="Q48" s="804" t="n"/>
      <c r="R48" s="804" t="n"/>
      <c r="S48" s="805">
        <f>S47-M48</f>
        <v/>
      </c>
      <c r="T48" s="698" t="n"/>
      <c r="U48" s="830" t="n"/>
      <c r="V48" s="698" t="n"/>
      <c r="W48" s="698" t="n"/>
      <c r="X48" s="698" t="n"/>
      <c r="Y48" s="698" t="n"/>
      <c r="Z48" s="698" t="n"/>
      <c r="AA48" s="698" t="n"/>
      <c r="AB48" s="698" t="n"/>
      <c r="AC48" s="698" t="n"/>
    </row>
    <row r="49" ht="11.25" customFormat="1" customHeight="1" s="688">
      <c r="A49" s="80" t="n"/>
      <c r="B49" s="875" t="n">
        <v>45708</v>
      </c>
      <c r="C49" s="144" t="inlineStr">
        <is>
          <t>Lin Jie Ting_사무용품비</t>
        </is>
      </c>
      <c r="D49" s="149" t="n"/>
      <c r="E49" s="145" t="n">
        <v>24</v>
      </c>
      <c r="F49" s="145" t="inlineStr">
        <is>
          <t>해외지사비</t>
        </is>
      </c>
      <c r="G49" s="82" t="n"/>
      <c r="H49" s="150" t="n"/>
      <c r="I49" s="149" t="n"/>
      <c r="J49" s="149" t="n"/>
      <c r="K49" s="878" t="n">
        <v>145</v>
      </c>
      <c r="L49" s="800">
        <f>#REF!</f>
        <v/>
      </c>
      <c r="M49" s="876">
        <f>K49/L49</f>
        <v/>
      </c>
      <c r="N49" s="802">
        <f>N48+H49-K49</f>
        <v/>
      </c>
      <c r="O49" s="802">
        <f>O48+J49-M49</f>
        <v/>
      </c>
      <c r="P49" s="803" t="inlineStr">
        <is>
          <t>1월 송금</t>
        </is>
      </c>
      <c r="Q49" s="804" t="n"/>
      <c r="R49" s="804" t="n"/>
      <c r="S49" s="805">
        <f>S48-M49</f>
        <v/>
      </c>
      <c r="T49" s="698" t="n"/>
      <c r="U49" s="830" t="n"/>
      <c r="V49" s="698" t="n"/>
      <c r="W49" s="698" t="n"/>
      <c r="X49" s="698" t="n"/>
      <c r="Y49" s="698" t="n"/>
      <c r="Z49" s="698" t="n"/>
      <c r="AA49" s="698" t="n"/>
      <c r="AB49" s="698" t="n"/>
      <c r="AC49" s="698" t="n"/>
    </row>
    <row r="50" ht="11.25" customFormat="1" customHeight="1" s="688">
      <c r="A50" s="80" t="n"/>
      <c r="B50" s="875" t="n">
        <v>45708</v>
      </c>
      <c r="C50" s="144" t="inlineStr">
        <is>
          <t>Lin Jie Ting_업무추진비</t>
        </is>
      </c>
      <c r="D50" s="149" t="n"/>
      <c r="E50" s="145" t="n">
        <v>25</v>
      </c>
      <c r="F50" s="145" t="inlineStr">
        <is>
          <t>업무추진비</t>
        </is>
      </c>
      <c r="G50" s="82" t="inlineStr">
        <is>
          <t>일반</t>
        </is>
      </c>
      <c r="H50" s="150" t="n"/>
      <c r="I50" s="149" t="n"/>
      <c r="J50" s="149" t="n"/>
      <c r="K50" s="878" t="n">
        <v>2929.16</v>
      </c>
      <c r="L50" s="800">
        <f>#REF!</f>
        <v/>
      </c>
      <c r="M50" s="876">
        <f>K50/L50</f>
        <v/>
      </c>
      <c r="N50" s="802">
        <f>N49+H50-K50</f>
        <v/>
      </c>
      <c r="O50" s="802">
        <f>O49+J50-M50</f>
        <v/>
      </c>
      <c r="P50" s="803" t="inlineStr">
        <is>
          <t>1월 송금</t>
        </is>
      </c>
      <c r="Q50" s="804" t="n"/>
      <c r="R50" s="804" t="n"/>
      <c r="S50" s="805">
        <f>S49-M50</f>
        <v/>
      </c>
      <c r="T50" s="698" t="n"/>
      <c r="U50" s="830" t="n"/>
      <c r="V50" s="698" t="n"/>
      <c r="W50" s="698" t="n"/>
      <c r="X50" s="698" t="n"/>
      <c r="Y50" s="698" t="n"/>
      <c r="Z50" s="698" t="n"/>
      <c r="AA50" s="698" t="n"/>
      <c r="AB50" s="698" t="n"/>
      <c r="AC50" s="698" t="n"/>
    </row>
    <row r="51" ht="11.25" customFormat="1" customHeight="1" s="688">
      <c r="A51" s="80" t="n"/>
      <c r="B51" s="875" t="n">
        <v>45708</v>
      </c>
      <c r="C51" s="144" t="inlineStr">
        <is>
          <t>은행수수료</t>
        </is>
      </c>
      <c r="D51" s="149" t="n"/>
      <c r="E51" s="145" t="n">
        <v>26</v>
      </c>
      <c r="F51" s="82" t="inlineStr">
        <is>
          <t>해외지사비</t>
        </is>
      </c>
      <c r="G51" s="82" t="n"/>
      <c r="H51" s="150" t="n"/>
      <c r="I51" s="149" t="n"/>
      <c r="J51" s="149" t="n"/>
      <c r="K51" s="799" t="n">
        <v>3.6</v>
      </c>
      <c r="L51" s="800">
        <f>#REF!</f>
        <v/>
      </c>
      <c r="M51" s="876">
        <f>K51/L51</f>
        <v/>
      </c>
      <c r="N51" s="802">
        <f>N50+H51-K51</f>
        <v/>
      </c>
      <c r="O51" s="802">
        <f>O50+J51-M51</f>
        <v/>
      </c>
      <c r="P51" s="803" t="inlineStr">
        <is>
          <t>1월 송금</t>
        </is>
      </c>
      <c r="Q51" s="804" t="n"/>
      <c r="R51" s="804" t="n"/>
      <c r="S51" s="805">
        <f>S50-M51</f>
        <v/>
      </c>
      <c r="T51" s="698" t="n"/>
      <c r="U51" s="830" t="n"/>
      <c r="V51" s="698" t="n"/>
      <c r="W51" s="698" t="n"/>
      <c r="X51" s="698" t="n"/>
      <c r="Y51" s="698" t="n"/>
      <c r="Z51" s="698" t="n"/>
      <c r="AA51" s="698" t="n"/>
      <c r="AB51" s="698" t="n"/>
      <c r="AC51" s="698" t="n"/>
    </row>
    <row r="52" ht="11.25" customFormat="1" customHeight="1" s="688">
      <c r="A52" s="80" t="n"/>
      <c r="B52" s="875" t="n">
        <v>45708</v>
      </c>
      <c r="C52" s="144" t="inlineStr">
        <is>
          <t>김명관_출장비</t>
        </is>
      </c>
      <c r="D52" s="149" t="n"/>
      <c r="E52" s="145" t="n">
        <v>27</v>
      </c>
      <c r="F52" s="82" t="inlineStr">
        <is>
          <t>여비교통비</t>
        </is>
      </c>
      <c r="G52" s="82" t="inlineStr">
        <is>
          <t>해외</t>
        </is>
      </c>
      <c r="H52" s="150" t="n"/>
      <c r="I52" s="149" t="n"/>
      <c r="J52" s="149" t="n"/>
      <c r="K52" s="878" t="n">
        <v>2964.93</v>
      </c>
      <c r="L52" s="800">
        <f>#REF!</f>
        <v/>
      </c>
      <c r="M52" s="876">
        <f>K52/L52</f>
        <v/>
      </c>
      <c r="N52" s="802">
        <f>N51+H52-K52</f>
        <v/>
      </c>
      <c r="O52" s="802">
        <f>O51+J52-M52</f>
        <v/>
      </c>
      <c r="P52" s="803" t="inlineStr">
        <is>
          <t>1월 송금</t>
        </is>
      </c>
      <c r="Q52" s="804" t="n"/>
      <c r="R52" s="804" t="n"/>
      <c r="S52" s="805">
        <f>S51-M52</f>
        <v/>
      </c>
      <c r="T52" s="698" t="n"/>
      <c r="U52" s="830" t="n"/>
      <c r="V52" s="698" t="n"/>
      <c r="W52" s="698" t="n"/>
      <c r="X52" s="698" t="n"/>
      <c r="Y52" s="698" t="n"/>
      <c r="Z52" s="698" t="n"/>
      <c r="AA52" s="698" t="n"/>
      <c r="AB52" s="698" t="n"/>
      <c r="AC52" s="698" t="n"/>
    </row>
    <row r="53" ht="11.25" customFormat="1" customHeight="1" s="688">
      <c r="A53" s="80" t="n"/>
      <c r="B53" s="875" t="n">
        <v>45708</v>
      </c>
      <c r="C53" s="144" t="inlineStr">
        <is>
          <t>김명관_업무추진비</t>
        </is>
      </c>
      <c r="D53" s="149" t="n"/>
      <c r="E53" s="145" t="n">
        <v>28</v>
      </c>
      <c r="F53" s="82" t="inlineStr">
        <is>
          <t>업무추진비</t>
        </is>
      </c>
      <c r="G53" s="82" t="inlineStr">
        <is>
          <t>일반</t>
        </is>
      </c>
      <c r="H53" s="150" t="n"/>
      <c r="I53" s="149" t="n"/>
      <c r="J53" s="149" t="n"/>
      <c r="K53" s="878">
        <f>L53*M53</f>
        <v/>
      </c>
      <c r="L53" s="800">
        <f>#REF!</f>
        <v/>
      </c>
      <c r="M53" s="876" t="n">
        <v>1398.209871816715</v>
      </c>
      <c r="N53" s="802">
        <f>N52+H53-K53</f>
        <v/>
      </c>
      <c r="O53" s="802">
        <f>O52+J53-M53</f>
        <v/>
      </c>
      <c r="P53" s="803" t="inlineStr">
        <is>
          <t>1월 송금</t>
        </is>
      </c>
      <c r="Q53" s="804" t="n"/>
      <c r="R53" s="804" t="n"/>
      <c r="S53" s="805">
        <f>S52-M53</f>
        <v/>
      </c>
      <c r="T53" s="698" t="n"/>
      <c r="U53" s="830" t="n"/>
      <c r="V53" s="698" t="n"/>
      <c r="W53" s="698" t="n"/>
      <c r="X53" s="698" t="n"/>
      <c r="Y53" s="698" t="n"/>
      <c r="Z53" s="698" t="n"/>
      <c r="AA53" s="698" t="n"/>
      <c r="AB53" s="698" t="n"/>
      <c r="AC53" s="698" t="n"/>
    </row>
    <row r="54" ht="11.25" customFormat="1" customHeight="1" s="688">
      <c r="A54" s="80" t="n"/>
      <c r="B54" s="875" t="n">
        <v>45708</v>
      </c>
      <c r="C54" s="144" t="inlineStr">
        <is>
          <t>김명관_업무추진비</t>
        </is>
      </c>
      <c r="D54" s="149" t="n"/>
      <c r="E54" s="145" t="n">
        <v>28</v>
      </c>
      <c r="F54" s="82" t="inlineStr">
        <is>
          <t>업무추진비</t>
        </is>
      </c>
      <c r="G54" s="82" t="inlineStr">
        <is>
          <t>일반</t>
        </is>
      </c>
      <c r="H54" s="150" t="n"/>
      <c r="I54" s="149" t="n"/>
      <c r="J54" s="149" t="n"/>
      <c r="K54" s="878">
        <f>13575-K53</f>
        <v/>
      </c>
      <c r="L54" s="800">
        <f>#REF!</f>
        <v/>
      </c>
      <c r="M54" s="879">
        <f>K54/L54</f>
        <v/>
      </c>
      <c r="N54" s="802">
        <f>N53+H54-K54</f>
        <v/>
      </c>
      <c r="O54" s="802">
        <f>O53+J54-M54</f>
        <v/>
      </c>
      <c r="P54" s="803" t="inlineStr">
        <is>
          <t>1월 2차 송금</t>
        </is>
      </c>
      <c r="Q54" s="804" t="n"/>
      <c r="R54" s="804" t="n"/>
      <c r="S54" s="805">
        <f>7766-M54</f>
        <v/>
      </c>
      <c r="T54" s="698" t="n"/>
      <c r="U54" s="830" t="n"/>
      <c r="V54" s="698" t="n"/>
      <c r="W54" s="698" t="n"/>
      <c r="X54" s="698" t="n"/>
      <c r="Y54" s="698" t="n"/>
      <c r="Z54" s="698" t="n"/>
      <c r="AA54" s="698" t="n"/>
      <c r="AB54" s="698" t="n"/>
      <c r="AC54" s="698" t="n"/>
    </row>
    <row r="55" ht="11.25" customFormat="1" customHeight="1" s="688">
      <c r="A55" s="80" t="n"/>
      <c r="B55" s="875" t="n">
        <v>45708</v>
      </c>
      <c r="C55" s="144" t="inlineStr">
        <is>
          <t>은행수수료</t>
        </is>
      </c>
      <c r="D55" s="149" t="n"/>
      <c r="E55" s="145" t="n">
        <v>29</v>
      </c>
      <c r="F55" s="82" t="inlineStr">
        <is>
          <t>해외지사비</t>
        </is>
      </c>
      <c r="G55" s="82" t="n"/>
      <c r="H55" s="150" t="n"/>
      <c r="I55" s="149" t="n"/>
      <c r="J55" s="149" t="n"/>
      <c r="K55" s="878" t="n">
        <v>7.2</v>
      </c>
      <c r="L55" s="800">
        <f>#REF!</f>
        <v/>
      </c>
      <c r="M55" s="879">
        <f>K55/L55</f>
        <v/>
      </c>
      <c r="N55" s="802">
        <f>N54+H55-K55</f>
        <v/>
      </c>
      <c r="O55" s="802">
        <f>O54+J55-M55</f>
        <v/>
      </c>
      <c r="P55" s="803" t="inlineStr">
        <is>
          <t>1월 2차 송금</t>
        </is>
      </c>
      <c r="Q55" s="804" t="n"/>
      <c r="R55" s="804" t="n"/>
      <c r="S55" s="805">
        <f>S54-M55</f>
        <v/>
      </c>
      <c r="T55" s="698" t="n"/>
      <c r="U55" s="830" t="n"/>
      <c r="V55" s="698" t="n"/>
      <c r="W55" s="698" t="n"/>
      <c r="X55" s="698" t="n"/>
      <c r="Y55" s="698" t="n"/>
      <c r="Z55" s="698" t="n"/>
      <c r="AA55" s="698" t="n"/>
      <c r="AB55" s="698" t="n"/>
      <c r="AC55" s="698" t="n"/>
    </row>
    <row r="56" ht="11.25" customFormat="1" customHeight="1" s="688">
      <c r="A56" s="80" t="n"/>
      <c r="B56" s="875" t="n">
        <v>45708</v>
      </c>
      <c r="C56" s="144" t="inlineStr">
        <is>
          <t>Piao Mei Ling_업무추진비</t>
        </is>
      </c>
      <c r="D56" s="149" t="n"/>
      <c r="E56" s="82" t="n">
        <v>30</v>
      </c>
      <c r="F56" s="82" t="inlineStr">
        <is>
          <t>업무추진비</t>
        </is>
      </c>
      <c r="G56" s="82" t="inlineStr">
        <is>
          <t>일반</t>
        </is>
      </c>
      <c r="H56" s="82" t="n"/>
      <c r="I56" s="82" t="n"/>
      <c r="J56" s="82" t="n"/>
      <c r="K56" s="820" t="n">
        <v>74</v>
      </c>
      <c r="L56" s="800">
        <f>#REF!</f>
        <v/>
      </c>
      <c r="M56" s="879">
        <f>K56/L56</f>
        <v/>
      </c>
      <c r="N56" s="802">
        <f>N55+H56-K56</f>
        <v/>
      </c>
      <c r="O56" s="802">
        <f>O55+J56-M56</f>
        <v/>
      </c>
      <c r="P56" s="803" t="inlineStr">
        <is>
          <t>1월 2차 송금</t>
        </is>
      </c>
      <c r="Q56" s="804" t="n"/>
      <c r="R56" s="804" t="n"/>
      <c r="S56" s="805">
        <f>S55-M56</f>
        <v/>
      </c>
      <c r="T56" s="698" t="n"/>
      <c r="U56" s="830" t="n"/>
      <c r="V56" s="698" t="n"/>
      <c r="W56" s="698" t="n"/>
      <c r="X56" s="698" t="n"/>
      <c r="Y56" s="698" t="n"/>
      <c r="Z56" s="698" t="n"/>
      <c r="AA56" s="698" t="n"/>
      <c r="AB56" s="698" t="n"/>
      <c r="AC56" s="698" t="n"/>
    </row>
    <row r="57" ht="11.25" customFormat="1" customHeight="1" s="688">
      <c r="A57" s="80" t="n"/>
      <c r="B57" s="875" t="n">
        <v>45708</v>
      </c>
      <c r="C57" s="144" t="inlineStr">
        <is>
          <t>Piao Mei Ling_통신비</t>
        </is>
      </c>
      <c r="D57" s="149" t="n"/>
      <c r="E57" s="145" t="n">
        <v>31</v>
      </c>
      <c r="F57" s="82" t="inlineStr">
        <is>
          <t>통신비</t>
        </is>
      </c>
      <c r="G57" s="82" t="inlineStr">
        <is>
          <t>기타</t>
        </is>
      </c>
      <c r="H57" s="82" t="n"/>
      <c r="I57" s="82" t="n"/>
      <c r="J57" s="82" t="n"/>
      <c r="K57" s="820" t="n">
        <v>93.06</v>
      </c>
      <c r="L57" s="800">
        <f>#REF!</f>
        <v/>
      </c>
      <c r="M57" s="879">
        <f>K57/L57</f>
        <v/>
      </c>
      <c r="N57" s="802">
        <f>N56+H57-K57</f>
        <v/>
      </c>
      <c r="O57" s="802">
        <f>O56+J57-M57</f>
        <v/>
      </c>
      <c r="P57" s="803" t="inlineStr">
        <is>
          <t>1월 2차 송금</t>
        </is>
      </c>
      <c r="Q57" s="804" t="n"/>
      <c r="R57" s="804" t="n"/>
      <c r="S57" s="805">
        <f>S56-M57</f>
        <v/>
      </c>
      <c r="T57" s="698" t="n"/>
      <c r="U57" s="830" t="n"/>
      <c r="V57" s="698" t="n"/>
      <c r="W57" s="698" t="n"/>
      <c r="X57" s="698" t="n"/>
      <c r="Y57" s="698" t="n"/>
      <c r="Z57" s="698" t="n"/>
      <c r="AA57" s="698" t="n"/>
      <c r="AB57" s="698" t="n"/>
      <c r="AC57" s="698" t="n"/>
    </row>
    <row r="58" ht="11.25" customFormat="1" customHeight="1" s="688">
      <c r="A58" s="80" t="n"/>
      <c r="B58" s="875" t="n">
        <v>45708</v>
      </c>
      <c r="C58" s="144" t="inlineStr">
        <is>
          <t>Piao Mei Ling_출장비</t>
        </is>
      </c>
      <c r="D58" s="149" t="n"/>
      <c r="E58" s="145" t="n">
        <v>32</v>
      </c>
      <c r="F58" s="82" t="inlineStr">
        <is>
          <t>여비교통비</t>
        </is>
      </c>
      <c r="G58" s="82" t="inlineStr">
        <is>
          <t>해외</t>
        </is>
      </c>
      <c r="H58" s="82" t="n"/>
      <c r="I58" s="82" t="n"/>
      <c r="J58" s="82" t="n"/>
      <c r="K58" s="820" t="n">
        <v>1970.3</v>
      </c>
      <c r="L58" s="800">
        <f>#REF!</f>
        <v/>
      </c>
      <c r="M58" s="879">
        <f>K58/L58</f>
        <v/>
      </c>
      <c r="N58" s="802">
        <f>N57+H58-K58</f>
        <v/>
      </c>
      <c r="O58" s="802">
        <f>O57+J58-M58</f>
        <v/>
      </c>
      <c r="P58" s="803" t="inlineStr">
        <is>
          <t>1월 2차 송금</t>
        </is>
      </c>
      <c r="Q58" s="804" t="n"/>
      <c r="R58" s="804" t="n"/>
      <c r="S58" s="805">
        <f>S57-M58</f>
        <v/>
      </c>
      <c r="T58" s="698" t="n"/>
      <c r="U58" s="830" t="n"/>
      <c r="V58" s="698" t="n"/>
      <c r="W58" s="698" t="n"/>
      <c r="X58" s="698" t="n"/>
      <c r="Y58" s="698" t="n"/>
      <c r="Z58" s="698" t="n"/>
      <c r="AA58" s="698" t="n"/>
      <c r="AB58" s="698" t="n"/>
      <c r="AC58" s="698" t="n"/>
    </row>
    <row r="59" ht="11.25" customFormat="1" customHeight="1" s="688">
      <c r="A59" s="80" t="n"/>
      <c r="B59" s="875" t="n">
        <v>45708</v>
      </c>
      <c r="C59" s="144" t="inlineStr">
        <is>
          <t>Piao Mei Ling_시내교통비</t>
        </is>
      </c>
      <c r="D59" s="149" t="n"/>
      <c r="E59" s="145" t="n">
        <v>33</v>
      </c>
      <c r="F59" s="82" t="inlineStr">
        <is>
          <t>여비교통비</t>
        </is>
      </c>
      <c r="G59" s="82" t="inlineStr">
        <is>
          <t>해외</t>
        </is>
      </c>
      <c r="H59" s="82" t="n"/>
      <c r="I59" s="82" t="n"/>
      <c r="J59" s="82" t="n"/>
      <c r="K59" s="820" t="n">
        <v>93.48</v>
      </c>
      <c r="L59" s="800">
        <f>#REF!</f>
        <v/>
      </c>
      <c r="M59" s="879">
        <f>K59/L59</f>
        <v/>
      </c>
      <c r="N59" s="802">
        <f>N58+H59-K59</f>
        <v/>
      </c>
      <c r="O59" s="802">
        <f>O58+J59-M59</f>
        <v/>
      </c>
      <c r="P59" s="803" t="inlineStr">
        <is>
          <t>1월 2차 송금</t>
        </is>
      </c>
      <c r="Q59" s="804" t="n"/>
      <c r="R59" s="804" t="n"/>
      <c r="S59" s="805">
        <f>S58-M59</f>
        <v/>
      </c>
      <c r="T59" s="698" t="n"/>
      <c r="U59" s="830" t="n"/>
      <c r="V59" s="698" t="n"/>
      <c r="W59" s="698" t="n"/>
      <c r="X59" s="698" t="n"/>
      <c r="Y59" s="698" t="n"/>
      <c r="Z59" s="698" t="n"/>
      <c r="AA59" s="698" t="n"/>
      <c r="AB59" s="698" t="n"/>
      <c r="AC59" s="698" t="n"/>
    </row>
    <row r="60" ht="11.25" customFormat="1" customHeight="1" s="688">
      <c r="A60" s="80" t="n"/>
      <c r="B60" s="875" t="n">
        <v>45708</v>
      </c>
      <c r="C60" s="144" t="inlineStr">
        <is>
          <t>Piao Mei Ling_사무실운영비</t>
        </is>
      </c>
      <c r="D60" s="149" t="n"/>
      <c r="E60" s="82" t="n">
        <v>34</v>
      </c>
      <c r="F60" s="821" t="inlineStr">
        <is>
          <t>해외지사비</t>
        </is>
      </c>
      <c r="G60" s="82" t="n"/>
      <c r="H60" s="82" t="n"/>
      <c r="I60" s="82" t="n"/>
      <c r="J60" s="82" t="n"/>
      <c r="K60" s="820" t="n">
        <v>137.4</v>
      </c>
      <c r="L60" s="800">
        <f>#REF!</f>
        <v/>
      </c>
      <c r="M60" s="879">
        <f>K60/L60</f>
        <v/>
      </c>
      <c r="N60" s="802">
        <f>N59+H60-K60</f>
        <v/>
      </c>
      <c r="O60" s="802">
        <f>O59+J60-M60</f>
        <v/>
      </c>
      <c r="P60" s="803" t="inlineStr">
        <is>
          <t>1월 2차 송금</t>
        </is>
      </c>
      <c r="Q60" s="804" t="n"/>
      <c r="R60" s="804" t="n"/>
      <c r="S60" s="805">
        <f>S59-M60</f>
        <v/>
      </c>
      <c r="T60" s="698" t="n"/>
      <c r="U60" s="830" t="n"/>
      <c r="V60" s="698" t="n"/>
      <c r="W60" s="698" t="n"/>
      <c r="X60" s="698" t="n"/>
      <c r="Y60" s="698" t="n"/>
      <c r="Z60" s="698" t="n"/>
      <c r="AA60" s="698" t="n"/>
      <c r="AB60" s="698" t="n"/>
      <c r="AC60" s="698" t="n"/>
    </row>
    <row r="61" ht="11.25" customFormat="1" customHeight="1" s="688">
      <c r="A61" s="80" t="n"/>
      <c r="B61" s="875" t="n">
        <v>45708</v>
      </c>
      <c r="C61" s="144" t="inlineStr">
        <is>
          <t>은행수수료</t>
        </is>
      </c>
      <c r="D61" s="149" t="n"/>
      <c r="E61" s="82" t="n">
        <v>35</v>
      </c>
      <c r="F61" s="82" t="inlineStr">
        <is>
          <t>해외지사비</t>
        </is>
      </c>
      <c r="G61" s="82" t="n"/>
      <c r="H61" s="82" t="n"/>
      <c r="I61" s="82" t="n"/>
      <c r="J61" s="82" t="n"/>
      <c r="K61" s="820" t="n">
        <v>3.6</v>
      </c>
      <c r="L61" s="800">
        <f>#REF!</f>
        <v/>
      </c>
      <c r="M61" s="879">
        <f>K61/L61</f>
        <v/>
      </c>
      <c r="N61" s="802">
        <f>N60+H61-K61</f>
        <v/>
      </c>
      <c r="O61" s="802">
        <f>O60+J61-M61</f>
        <v/>
      </c>
      <c r="P61" s="803" t="inlineStr">
        <is>
          <t>1월 2차 송금</t>
        </is>
      </c>
      <c r="Q61" s="804" t="n"/>
      <c r="R61" s="804" t="n"/>
      <c r="S61" s="805">
        <f>S60-M61</f>
        <v/>
      </c>
      <c r="T61" s="698" t="n"/>
      <c r="U61" s="830" t="n"/>
      <c r="V61" s="698" t="n"/>
      <c r="W61" s="698" t="n"/>
      <c r="X61" s="698" t="n"/>
      <c r="Y61" s="698" t="n"/>
      <c r="Z61" s="698" t="n"/>
      <c r="AA61" s="698" t="n"/>
      <c r="AB61" s="698" t="n"/>
      <c r="AC61" s="698" t="n"/>
    </row>
    <row r="62" ht="11.25" customHeight="1" s="654">
      <c r="B62" s="875" t="n">
        <v>45708</v>
      </c>
      <c r="C62" s="178" t="inlineStr">
        <is>
          <t>Chen Guo Liang_주차비</t>
        </is>
      </c>
      <c r="D62" s="149" t="n"/>
      <c r="E62" s="145" t="n">
        <v>36</v>
      </c>
      <c r="F62" s="82" t="inlineStr">
        <is>
          <t>여비교통비</t>
        </is>
      </c>
      <c r="G62" s="82" t="inlineStr">
        <is>
          <t>해외</t>
        </is>
      </c>
      <c r="H62" s="82" t="n"/>
      <c r="I62" s="82" t="n"/>
      <c r="J62" s="82" t="n"/>
      <c r="K62" s="878" t="n">
        <v>270</v>
      </c>
      <c r="L62" s="800">
        <f>#REF!</f>
        <v/>
      </c>
      <c r="M62" s="879">
        <f>K62/L62</f>
        <v/>
      </c>
      <c r="N62" s="802">
        <f>N61+H62-K62</f>
        <v/>
      </c>
      <c r="O62" s="802">
        <f>O61+J62-M62</f>
        <v/>
      </c>
      <c r="P62" s="803" t="inlineStr">
        <is>
          <t>1월 2차 송금</t>
        </is>
      </c>
      <c r="Q62" s="804" t="n"/>
      <c r="R62" s="804" t="n"/>
      <c r="S62" s="805">
        <f>S61-M62</f>
        <v/>
      </c>
    </row>
    <row r="63" ht="11.25" customHeight="1" s="654">
      <c r="B63" s="875" t="n">
        <v>45708</v>
      </c>
      <c r="C63" s="178" t="inlineStr">
        <is>
          <t>Chen Guo Liang_주유비</t>
        </is>
      </c>
      <c r="D63" s="149" t="n"/>
      <c r="E63" s="145" t="n">
        <v>37</v>
      </c>
      <c r="F63" s="82" t="inlineStr">
        <is>
          <t>여비교통비</t>
        </is>
      </c>
      <c r="G63" s="82" t="inlineStr">
        <is>
          <t>해외</t>
        </is>
      </c>
      <c r="H63" s="82" t="n"/>
      <c r="I63" s="82" t="n"/>
      <c r="J63" s="82" t="n"/>
      <c r="K63" s="878" t="n">
        <v>2380</v>
      </c>
      <c r="L63" s="800">
        <f>#REF!</f>
        <v/>
      </c>
      <c r="M63" s="879">
        <f>K63/L63</f>
        <v/>
      </c>
      <c r="N63" s="802">
        <f>N62+H63-K63</f>
        <v/>
      </c>
      <c r="O63" s="802">
        <f>O62+J63-M63</f>
        <v/>
      </c>
      <c r="P63" s="803" t="inlineStr">
        <is>
          <t>1월 2차 송금</t>
        </is>
      </c>
      <c r="Q63" s="804" t="n"/>
      <c r="R63" s="804" t="n"/>
      <c r="S63" s="805">
        <f>S62-M63</f>
        <v/>
      </c>
    </row>
    <row r="64" ht="11.25" customHeight="1" s="654">
      <c r="B64" s="875" t="n">
        <v>45708</v>
      </c>
      <c r="C64" s="178" t="inlineStr">
        <is>
          <t>Chen Guo Liang_톨비</t>
        </is>
      </c>
      <c r="D64" s="149" t="n"/>
      <c r="E64" s="145" t="n">
        <v>38</v>
      </c>
      <c r="F64" s="82" t="inlineStr">
        <is>
          <t>여비교통비</t>
        </is>
      </c>
      <c r="G64" s="181" t="inlineStr">
        <is>
          <t>해외</t>
        </is>
      </c>
      <c r="H64" s="181" t="n"/>
      <c r="I64" s="181" t="n"/>
      <c r="J64" s="181" t="n"/>
      <c r="K64" s="878" t="n">
        <v>381</v>
      </c>
      <c r="L64" s="800">
        <f>#REF!</f>
        <v/>
      </c>
      <c r="M64" s="879">
        <f>K64/L64</f>
        <v/>
      </c>
      <c r="N64" s="802">
        <f>N63+H64-K64</f>
        <v/>
      </c>
      <c r="O64" s="802">
        <f>O63+J64-M64</f>
        <v/>
      </c>
      <c r="P64" s="803" t="inlineStr">
        <is>
          <t>1월 2차 송금</t>
        </is>
      </c>
      <c r="Q64" s="804" t="n"/>
      <c r="R64" s="804" t="n"/>
      <c r="S64" s="805">
        <f>S63-M64</f>
        <v/>
      </c>
    </row>
    <row r="65" ht="11.25" customHeight="1" s="654">
      <c r="B65" s="875" t="n">
        <v>45708</v>
      </c>
      <c r="C65" s="144" t="inlineStr">
        <is>
          <t>은행수수료</t>
        </is>
      </c>
      <c r="D65" s="149" t="n"/>
      <c r="E65" s="145" t="n">
        <v>39</v>
      </c>
      <c r="F65" s="82" t="inlineStr">
        <is>
          <t>해외지사비</t>
        </is>
      </c>
      <c r="G65" s="181" t="n"/>
      <c r="H65" s="181" t="n"/>
      <c r="I65" s="181" t="n"/>
      <c r="J65" s="181" t="n"/>
      <c r="K65" s="878" t="n">
        <v>3.6</v>
      </c>
      <c r="L65" s="800">
        <f>#REF!</f>
        <v/>
      </c>
      <c r="M65" s="879">
        <f>K65/L65</f>
        <v/>
      </c>
      <c r="N65" s="802">
        <f>N64+H65-K65</f>
        <v/>
      </c>
      <c r="O65" s="802">
        <f>O64+J65-M65</f>
        <v/>
      </c>
      <c r="P65" s="803" t="inlineStr">
        <is>
          <t>1월 2차 송금</t>
        </is>
      </c>
      <c r="Q65" s="804" t="n"/>
      <c r="R65" s="804" t="n"/>
      <c r="S65" s="805">
        <f>S64-M65</f>
        <v/>
      </c>
    </row>
    <row r="66" ht="11.25" customHeight="1" s="654">
      <c r="B66" s="875" t="n">
        <v>45708</v>
      </c>
      <c r="C66" s="178" t="inlineStr">
        <is>
          <t>Liu Ming Liang_톨비</t>
        </is>
      </c>
      <c r="D66" s="149" t="n"/>
      <c r="E66" s="145" t="n">
        <v>40</v>
      </c>
      <c r="F66" s="82" t="inlineStr">
        <is>
          <t>여비교통비</t>
        </is>
      </c>
      <c r="G66" s="181" t="inlineStr">
        <is>
          <t>해외</t>
        </is>
      </c>
      <c r="H66" s="181" t="n"/>
      <c r="I66" s="181" t="n"/>
      <c r="J66" s="181" t="n"/>
      <c r="K66" s="878" t="n">
        <v>497</v>
      </c>
      <c r="L66" s="800">
        <f>#REF!</f>
        <v/>
      </c>
      <c r="M66" s="879">
        <f>K66/L66</f>
        <v/>
      </c>
      <c r="N66" s="802">
        <f>N65+H66-K66</f>
        <v/>
      </c>
      <c r="O66" s="802">
        <f>O65+J66-M66</f>
        <v/>
      </c>
      <c r="P66" s="803" t="inlineStr">
        <is>
          <t>1월 2차 송금</t>
        </is>
      </c>
      <c r="Q66" s="804" t="n"/>
      <c r="R66" s="804" t="n"/>
      <c r="S66" s="805">
        <f>S65-M66</f>
        <v/>
      </c>
    </row>
    <row r="67" ht="11.25" customHeight="1" s="654">
      <c r="B67" s="875" t="n">
        <v>45708</v>
      </c>
      <c r="C67" s="178" t="inlineStr">
        <is>
          <t>Liu Ming Liang_주유비</t>
        </is>
      </c>
      <c r="D67" s="149" t="n"/>
      <c r="E67" s="181" t="n">
        <v>41</v>
      </c>
      <c r="F67" s="181" t="inlineStr">
        <is>
          <t>여비교통비</t>
        </is>
      </c>
      <c r="G67" s="181" t="inlineStr">
        <is>
          <t>해외</t>
        </is>
      </c>
      <c r="H67" s="181" t="n"/>
      <c r="I67" s="181" t="n"/>
      <c r="J67" s="181" t="n"/>
      <c r="K67" s="880" t="n">
        <v>1488</v>
      </c>
      <c r="L67" s="800">
        <f>#REF!</f>
        <v/>
      </c>
      <c r="M67" s="879">
        <f>K67/L67</f>
        <v/>
      </c>
      <c r="N67" s="802">
        <f>N66+H67-K67</f>
        <v/>
      </c>
      <c r="O67" s="802">
        <f>O66+J67-M67</f>
        <v/>
      </c>
      <c r="P67" s="803" t="inlineStr">
        <is>
          <t>1월 2차 송금</t>
        </is>
      </c>
      <c r="Q67" s="804" t="n"/>
      <c r="R67" s="804" t="n"/>
      <c r="S67" s="805">
        <f>S66-M67</f>
        <v/>
      </c>
    </row>
    <row r="68" ht="11.25" customHeight="1" s="654">
      <c r="B68" s="875" t="n">
        <v>45708</v>
      </c>
      <c r="C68" s="178" t="inlineStr">
        <is>
          <t>Liu Ming Liang_주차비</t>
        </is>
      </c>
      <c r="D68" s="149" t="n"/>
      <c r="E68" s="145" t="n">
        <v>42</v>
      </c>
      <c r="F68" s="181" t="inlineStr">
        <is>
          <t>여비교통비</t>
        </is>
      </c>
      <c r="G68" s="181" t="inlineStr">
        <is>
          <t>해외</t>
        </is>
      </c>
      <c r="H68" s="181" t="n"/>
      <c r="I68" s="181" t="n"/>
      <c r="J68" s="181" t="n"/>
      <c r="K68" s="878" t="n">
        <v>45</v>
      </c>
      <c r="L68" s="800">
        <f>#REF!</f>
        <v/>
      </c>
      <c r="M68" s="879">
        <f>K68/L68</f>
        <v/>
      </c>
      <c r="N68" s="802">
        <f>N67+H68-K68</f>
        <v/>
      </c>
      <c r="O68" s="802">
        <f>O67+J68-M68</f>
        <v/>
      </c>
      <c r="P68" s="803" t="inlineStr">
        <is>
          <t>1월 2차 송금</t>
        </is>
      </c>
      <c r="Q68" s="804" t="n"/>
      <c r="R68" s="804" t="n"/>
      <c r="S68" s="805">
        <f>S67-M68</f>
        <v/>
      </c>
    </row>
    <row r="69" ht="11.25" customHeight="1" s="654">
      <c r="B69" s="875" t="n">
        <v>45708</v>
      </c>
      <c r="C69" s="144" t="inlineStr">
        <is>
          <t>은행수수료</t>
        </is>
      </c>
      <c r="D69" s="149" t="n"/>
      <c r="E69" s="145" t="n">
        <v>43</v>
      </c>
      <c r="F69" s="181" t="inlineStr">
        <is>
          <t>해외지사비</t>
        </is>
      </c>
      <c r="G69" s="181" t="n"/>
      <c r="H69" s="181" t="n"/>
      <c r="I69" s="181" t="n"/>
      <c r="J69" s="181" t="n"/>
      <c r="K69" s="878" t="n">
        <v>3.6</v>
      </c>
      <c r="L69" s="800">
        <f>#REF!</f>
        <v/>
      </c>
      <c r="M69" s="879">
        <f>K69/L69</f>
        <v/>
      </c>
      <c r="N69" s="802">
        <f>N68+H69-K69</f>
        <v/>
      </c>
      <c r="O69" s="802">
        <f>O68+J69-M69</f>
        <v/>
      </c>
      <c r="P69" s="803" t="inlineStr">
        <is>
          <t>1월 2차 송금</t>
        </is>
      </c>
      <c r="Q69" s="804" t="n"/>
      <c r="R69" s="804" t="n"/>
      <c r="S69" s="805">
        <f>S68-M69</f>
        <v/>
      </c>
    </row>
    <row r="70" ht="11.25" customHeight="1" s="654">
      <c r="B70" s="875" t="n">
        <v>45708</v>
      </c>
      <c r="C70" s="178" t="inlineStr">
        <is>
          <t>주재원 주재수당</t>
        </is>
      </c>
      <c r="D70" s="149" t="n"/>
      <c r="E70" s="145" t="n">
        <v>44</v>
      </c>
      <c r="F70" s="181" t="inlineStr">
        <is>
          <t>해외지사비</t>
        </is>
      </c>
      <c r="G70" s="181" t="n"/>
      <c r="H70" s="181" t="n"/>
      <c r="I70" s="181" t="n"/>
      <c r="J70" s="181" t="n"/>
      <c r="K70" s="799" t="n">
        <v>16000</v>
      </c>
      <c r="L70" s="800">
        <f>#REF!</f>
        <v/>
      </c>
      <c r="M70" s="879">
        <f>K70/L70</f>
        <v/>
      </c>
      <c r="N70" s="802">
        <f>N69+H70-K70</f>
        <v/>
      </c>
      <c r="O70" s="802">
        <f>O69+J70-M70</f>
        <v/>
      </c>
      <c r="P70" s="803" t="inlineStr">
        <is>
          <t>1월 2차 송금</t>
        </is>
      </c>
      <c r="Q70" s="804" t="n"/>
      <c r="R70" s="804" t="n"/>
      <c r="S70" s="805">
        <f>S69-M70</f>
        <v/>
      </c>
    </row>
    <row r="71" ht="11.25" customHeight="1" s="654">
      <c r="B71" s="875" t="n">
        <v>45708</v>
      </c>
      <c r="C71" s="178" t="inlineStr">
        <is>
          <t>주재원 주택수당</t>
        </is>
      </c>
      <c r="D71" s="149" t="n"/>
      <c r="E71" s="181" t="n">
        <v>44</v>
      </c>
      <c r="F71" s="181" t="inlineStr">
        <is>
          <t>해외지사비</t>
        </is>
      </c>
      <c r="G71" s="181" t="n"/>
      <c r="H71" s="181" t="n"/>
      <c r="I71" s="181" t="n"/>
      <c r="J71" s="181" t="n"/>
      <c r="K71" s="799" t="n">
        <v>24000</v>
      </c>
      <c r="L71" s="800">
        <f>#REF!</f>
        <v/>
      </c>
      <c r="M71" s="879">
        <f>K71/L71</f>
        <v/>
      </c>
      <c r="N71" s="802">
        <f>N70+H71-K71</f>
        <v/>
      </c>
      <c r="O71" s="802">
        <f>O70+J71-M71</f>
        <v/>
      </c>
      <c r="P71" s="803" t="inlineStr">
        <is>
          <t>1월 2차 송금</t>
        </is>
      </c>
      <c r="Q71" s="804" t="n"/>
      <c r="R71" s="804" t="n"/>
      <c r="S71" s="805">
        <f>S70-M71</f>
        <v/>
      </c>
    </row>
    <row r="72" ht="11.25" customHeight="1" s="654">
      <c r="B72" s="875" t="n">
        <v>45708</v>
      </c>
      <c r="C72" s="144" t="inlineStr">
        <is>
          <t>보험(주재원/현채인)</t>
        </is>
      </c>
      <c r="D72" s="149" t="n"/>
      <c r="E72" s="145" t="n">
        <v>44</v>
      </c>
      <c r="F72" s="181" t="inlineStr">
        <is>
          <t>해외지사비</t>
        </is>
      </c>
      <c r="G72" s="181" t="n"/>
      <c r="H72" s="181" t="n"/>
      <c r="I72" s="181" t="n"/>
      <c r="J72" s="181" t="n"/>
      <c r="K72" s="799" t="n">
        <v>5305.190000000001</v>
      </c>
      <c r="L72" s="800">
        <f>#REF!</f>
        <v/>
      </c>
      <c r="M72" s="879">
        <f>K72/L72</f>
        <v/>
      </c>
      <c r="N72" s="802">
        <f>N71+H72-K72</f>
        <v/>
      </c>
      <c r="O72" s="802">
        <f>O71+J72-M72</f>
        <v/>
      </c>
      <c r="P72" s="803" t="inlineStr">
        <is>
          <t>1월 2차 송금</t>
        </is>
      </c>
      <c r="Q72" s="804" t="n"/>
      <c r="R72" s="804" t="n"/>
      <c r="S72" s="805">
        <f>S71-M72</f>
        <v/>
      </c>
    </row>
    <row r="73" ht="11.25" customHeight="1" s="654">
      <c r="B73" s="875" t="n">
        <v>45708</v>
      </c>
      <c r="C73" s="178" t="inlineStr">
        <is>
          <t>세금(주재원/현채인)</t>
        </is>
      </c>
      <c r="D73" s="149" t="n"/>
      <c r="E73" s="145" t="n">
        <v>44</v>
      </c>
      <c r="F73" s="181" t="inlineStr">
        <is>
          <t>해외지사비</t>
        </is>
      </c>
      <c r="G73" s="181" t="n"/>
      <c r="H73" s="181" t="n"/>
      <c r="I73" s="181" t="n"/>
      <c r="J73" s="181" t="n"/>
      <c r="K73" s="799">
        <f>L73*M73</f>
        <v/>
      </c>
      <c r="L73" s="800">
        <f>#REF!</f>
        <v/>
      </c>
      <c r="M73" s="879" t="n">
        <v>5.482473300726269</v>
      </c>
      <c r="N73" s="802">
        <f>N72+H73-K73</f>
        <v/>
      </c>
      <c r="O73" s="802">
        <f>O72+J73-M73</f>
        <v/>
      </c>
      <c r="P73" s="803" t="inlineStr">
        <is>
          <t>1월 2차 송금</t>
        </is>
      </c>
      <c r="Q73" s="804" t="n"/>
      <c r="R73" s="804" t="n"/>
      <c r="S73" s="805">
        <f>S72-M73</f>
        <v/>
      </c>
    </row>
    <row r="74" ht="11.25" customHeight="1" s="654">
      <c r="B74" s="875" t="n">
        <v>45708</v>
      </c>
      <c r="C74" s="178" t="inlineStr">
        <is>
          <t>세금(주재원/현채인)</t>
        </is>
      </c>
      <c r="D74" s="149" t="n"/>
      <c r="E74" s="145" t="n">
        <v>44</v>
      </c>
      <c r="F74" s="181" t="inlineStr">
        <is>
          <t>해외지사비</t>
        </is>
      </c>
      <c r="G74" s="181" t="n"/>
      <c r="H74" s="181" t="n"/>
      <c r="I74" s="181" t="n"/>
      <c r="J74" s="181" t="n"/>
      <c r="K74" s="799">
        <f>3152.56-K73</f>
        <v/>
      </c>
      <c r="L74" s="800">
        <f>#REF!</f>
        <v/>
      </c>
      <c r="M74" s="874">
        <f>K74/L74</f>
        <v/>
      </c>
      <c r="N74" s="802">
        <f>N73+H74-K74</f>
        <v/>
      </c>
      <c r="O74" s="802">
        <f>O73+J74-M74</f>
        <v/>
      </c>
      <c r="P74" s="803" t="inlineStr">
        <is>
          <t>2월 송금</t>
        </is>
      </c>
      <c r="Q74" s="804" t="n"/>
      <c r="R74" s="804" t="n"/>
      <c r="S74" s="805">
        <f>44544-M74</f>
        <v/>
      </c>
    </row>
    <row r="75" ht="11.25" customHeight="1" s="654">
      <c r="B75" s="875" t="n">
        <v>45708</v>
      </c>
      <c r="C75" s="178" t="inlineStr">
        <is>
          <t>대행수수료</t>
        </is>
      </c>
      <c r="D75" s="149" t="n"/>
      <c r="E75" s="145" t="n">
        <v>44</v>
      </c>
      <c r="F75" s="181" t="inlineStr">
        <is>
          <t>해외지사비</t>
        </is>
      </c>
      <c r="G75" s="181" t="n"/>
      <c r="H75" s="181" t="n"/>
      <c r="I75" s="181" t="n"/>
      <c r="J75" s="181" t="n"/>
      <c r="K75" s="799" t="n">
        <v>300</v>
      </c>
      <c r="L75" s="800">
        <f>#REF!</f>
        <v/>
      </c>
      <c r="M75" s="874">
        <f>K75/L75</f>
        <v/>
      </c>
      <c r="N75" s="802">
        <f>N74+H75-K75</f>
        <v/>
      </c>
      <c r="O75" s="802">
        <f>O74+J75-M75</f>
        <v/>
      </c>
      <c r="P75" s="803" t="inlineStr">
        <is>
          <t>2월 송금</t>
        </is>
      </c>
      <c r="Q75" s="804" t="n"/>
      <c r="R75" s="804" t="n"/>
      <c r="S75" s="805">
        <f>S74-M75</f>
        <v/>
      </c>
    </row>
    <row r="76" ht="11.25" customHeight="1" s="654">
      <c r="B76" s="875" t="n">
        <v>45708</v>
      </c>
      <c r="C76" s="178" t="inlineStr">
        <is>
          <t>주재원 주재수당</t>
        </is>
      </c>
      <c r="D76" s="149" t="n"/>
      <c r="E76" s="145" t="n">
        <v>44</v>
      </c>
      <c r="F76" s="181" t="inlineStr">
        <is>
          <t>해외지사비</t>
        </is>
      </c>
      <c r="G76" s="181" t="n"/>
      <c r="H76" s="181" t="n"/>
      <c r="I76" s="181" t="n"/>
      <c r="J76" s="181" t="n"/>
      <c r="K76" s="799" t="n">
        <v>16000</v>
      </c>
      <c r="L76" s="800">
        <f>#REF!</f>
        <v/>
      </c>
      <c r="M76" s="874">
        <f>K76/L76</f>
        <v/>
      </c>
      <c r="N76" s="802">
        <f>N75+H76-K76</f>
        <v/>
      </c>
      <c r="O76" s="802">
        <f>O75+J76-M76</f>
        <v/>
      </c>
      <c r="P76" s="803" t="inlineStr">
        <is>
          <t>2월 송금</t>
        </is>
      </c>
      <c r="Q76" s="804" t="n"/>
      <c r="R76" s="804" t="n"/>
      <c r="S76" s="805">
        <f>S75-M76</f>
        <v/>
      </c>
    </row>
    <row r="77" ht="11.25" customHeight="1" s="654">
      <c r="B77" s="875" t="n">
        <v>45708</v>
      </c>
      <c r="C77" s="178" t="inlineStr">
        <is>
          <t>주재원 주택수당</t>
        </is>
      </c>
      <c r="D77" s="149" t="n"/>
      <c r="E77" s="82" t="n">
        <v>44</v>
      </c>
      <c r="F77" s="181" t="inlineStr">
        <is>
          <t>해외지사비</t>
        </is>
      </c>
      <c r="G77" s="82" t="n"/>
      <c r="H77" s="82" t="n"/>
      <c r="I77" s="82" t="n"/>
      <c r="J77" s="82" t="n"/>
      <c r="K77" s="799" t="n">
        <v>24000</v>
      </c>
      <c r="L77" s="800">
        <f>#REF!</f>
        <v/>
      </c>
      <c r="M77" s="874">
        <f>K77/L77</f>
        <v/>
      </c>
      <c r="N77" s="802">
        <f>N76+H77-K77</f>
        <v/>
      </c>
      <c r="O77" s="802">
        <f>O76+J77-M77</f>
        <v/>
      </c>
      <c r="P77" s="803" t="inlineStr">
        <is>
          <t>2월 송금</t>
        </is>
      </c>
      <c r="Q77" s="804" t="n"/>
      <c r="R77" s="804" t="n"/>
      <c r="S77" s="805">
        <f>S76-M77</f>
        <v/>
      </c>
    </row>
    <row r="78" ht="11.25" customHeight="1" s="654">
      <c r="B78" s="875" t="n">
        <v>45708</v>
      </c>
      <c r="C78" s="178" t="inlineStr">
        <is>
          <t>보험(주재원/현채인)</t>
        </is>
      </c>
      <c r="D78" s="149" t="n"/>
      <c r="E78" s="145" t="n">
        <v>44</v>
      </c>
      <c r="F78" s="181" t="inlineStr">
        <is>
          <t>해외지사비</t>
        </is>
      </c>
      <c r="G78" s="82" t="n"/>
      <c r="H78" s="82" t="n"/>
      <c r="I78" s="82" t="n"/>
      <c r="J78" s="82" t="n"/>
      <c r="K78" s="799" t="n">
        <v>8726.189999999999</v>
      </c>
      <c r="L78" s="800">
        <f>#REF!</f>
        <v/>
      </c>
      <c r="M78" s="874">
        <f>K78/L78</f>
        <v/>
      </c>
      <c r="N78" s="802">
        <f>N77+H78-K78</f>
        <v/>
      </c>
      <c r="O78" s="802">
        <f>O77+J78-M78</f>
        <v/>
      </c>
      <c r="P78" s="803" t="inlineStr">
        <is>
          <t>2월 송금</t>
        </is>
      </c>
      <c r="Q78" s="804" t="n"/>
      <c r="R78" s="804" t="n"/>
      <c r="S78" s="805">
        <f>S77-M78</f>
        <v/>
      </c>
    </row>
    <row r="79" ht="11.25" customHeight="1" s="654">
      <c r="B79" s="875" t="n">
        <v>45708</v>
      </c>
      <c r="C79" s="178" t="inlineStr">
        <is>
          <t>세금(주재원/현채인)</t>
        </is>
      </c>
      <c r="D79" s="149" t="n"/>
      <c r="E79" s="145" t="n">
        <v>44</v>
      </c>
      <c r="F79" s="181" t="inlineStr">
        <is>
          <t>해외지사비</t>
        </is>
      </c>
      <c r="G79" s="82" t="n"/>
      <c r="H79" s="82" t="n"/>
      <c r="I79" s="82" t="n"/>
      <c r="J79" s="82" t="n"/>
      <c r="K79" s="799" t="n">
        <v>2863.9</v>
      </c>
      <c r="L79" s="800">
        <f>#REF!</f>
        <v/>
      </c>
      <c r="M79" s="874">
        <f>K79/L79</f>
        <v/>
      </c>
      <c r="N79" s="802">
        <f>N78+H79-K79</f>
        <v/>
      </c>
      <c r="O79" s="802">
        <f>O78+J79-M79</f>
        <v/>
      </c>
      <c r="P79" s="803" t="inlineStr">
        <is>
          <t>2월 송금</t>
        </is>
      </c>
      <c r="Q79" s="804" t="n"/>
      <c r="R79" s="804" t="n"/>
      <c r="S79" s="805">
        <f>S78-M79</f>
        <v/>
      </c>
    </row>
    <row r="80" ht="11.25" customHeight="1" s="654">
      <c r="B80" s="875" t="n">
        <v>45708</v>
      </c>
      <c r="C80" s="178" t="inlineStr">
        <is>
          <t>대행수수료</t>
        </is>
      </c>
      <c r="D80" s="149" t="n"/>
      <c r="E80" s="82" t="n">
        <v>44</v>
      </c>
      <c r="F80" s="181" t="inlineStr">
        <is>
          <t>해외지사비</t>
        </is>
      </c>
      <c r="G80" s="82" t="n"/>
      <c r="H80" s="82" t="n"/>
      <c r="I80" s="82" t="n"/>
      <c r="J80" s="82" t="n"/>
      <c r="K80" s="799" t="n">
        <v>300</v>
      </c>
      <c r="L80" s="800">
        <f>#REF!</f>
        <v/>
      </c>
      <c r="M80" s="874">
        <f>K80/L80</f>
        <v/>
      </c>
      <c r="N80" s="802">
        <f>N79+H80-K80</f>
        <v/>
      </c>
      <c r="O80" s="802">
        <f>O79+J80-M80</f>
        <v/>
      </c>
      <c r="P80" s="803" t="inlineStr">
        <is>
          <t>2월 송금</t>
        </is>
      </c>
      <c r="Q80" s="804" t="n"/>
      <c r="R80" s="804" t="n"/>
      <c r="S80" s="805">
        <f>S79-M80</f>
        <v/>
      </c>
    </row>
    <row r="81" ht="11.25" customHeight="1" s="654">
      <c r="B81" s="875" t="n">
        <v>45708</v>
      </c>
      <c r="C81" s="178" t="inlineStr">
        <is>
          <t>현채인 월급</t>
        </is>
      </c>
      <c r="D81" s="149" t="n"/>
      <c r="E81" s="145" t="n">
        <v>44</v>
      </c>
      <c r="F81" s="181" t="inlineStr">
        <is>
          <t>해외지사비</t>
        </is>
      </c>
      <c r="G81" s="82" t="n"/>
      <c r="H81" s="82" t="n"/>
      <c r="I81" s="82" t="n"/>
      <c r="J81" s="82" t="n"/>
      <c r="K81" s="799" t="n">
        <v>25750</v>
      </c>
      <c r="L81" s="800">
        <f>#REF!</f>
        <v/>
      </c>
      <c r="M81" s="874">
        <f>K81/L81</f>
        <v/>
      </c>
      <c r="N81" s="802">
        <f>N80+H81-K81</f>
        <v/>
      </c>
      <c r="O81" s="802">
        <f>O80+J81-M81</f>
        <v/>
      </c>
      <c r="P81" s="803" t="inlineStr">
        <is>
          <t>2월 송금</t>
        </is>
      </c>
      <c r="Q81" s="804" t="n"/>
      <c r="R81" s="804" t="n"/>
      <c r="S81" s="805">
        <f>S80-M81</f>
        <v/>
      </c>
    </row>
    <row r="82" ht="11.25" customHeight="1" s="654">
      <c r="B82" s="875" t="n">
        <v>45708</v>
      </c>
      <c r="C82" s="178" t="inlineStr">
        <is>
          <t>보험비(회사납부)
公司缴纳部分合计</t>
        </is>
      </c>
      <c r="D82" s="183" t="n"/>
      <c r="E82" s="145" t="n">
        <v>44</v>
      </c>
      <c r="F82" s="181" t="inlineStr">
        <is>
          <t>해외지사비</t>
        </is>
      </c>
      <c r="G82" s="82" t="n"/>
      <c r="H82" s="82" t="n"/>
      <c r="I82" s="82" t="n"/>
      <c r="J82" s="82" t="n"/>
      <c r="K82" s="799" t="n">
        <v>7431.44</v>
      </c>
      <c r="L82" s="800">
        <f>#REF!</f>
        <v/>
      </c>
      <c r="M82" s="874">
        <f>K82/L82</f>
        <v/>
      </c>
      <c r="N82" s="802">
        <f>N81+H82-K82</f>
        <v/>
      </c>
      <c r="O82" s="802">
        <f>O81+J82-M82</f>
        <v/>
      </c>
      <c r="P82" s="803" t="inlineStr">
        <is>
          <t>2월 송금</t>
        </is>
      </c>
      <c r="Q82" s="804" t="n"/>
      <c r="R82" s="804" t="n"/>
      <c r="S82" s="805">
        <f>S81-M82</f>
        <v/>
      </c>
    </row>
    <row r="83" ht="11.25" customHeight="1" s="654">
      <c r="B83" s="875" t="n">
        <v>45708</v>
      </c>
      <c r="C83" s="144" t="inlineStr">
        <is>
          <t>대행수수료</t>
        </is>
      </c>
      <c r="D83" s="183" t="n"/>
      <c r="E83" s="145" t="n">
        <v>44</v>
      </c>
      <c r="F83" s="181" t="inlineStr">
        <is>
          <t>해외지사비</t>
        </is>
      </c>
      <c r="G83" s="82" t="n"/>
      <c r="H83" s="82" t="n"/>
      <c r="I83" s="82" t="n"/>
      <c r="J83" s="82" t="n"/>
      <c r="K83" s="799" t="n">
        <v>300</v>
      </c>
      <c r="L83" s="800">
        <f>#REF!</f>
        <v/>
      </c>
      <c r="M83" s="874">
        <f>K83/L83</f>
        <v/>
      </c>
      <c r="N83" s="802">
        <f>N82+H83-K83</f>
        <v/>
      </c>
      <c r="O83" s="802">
        <f>O82+J83-M83</f>
        <v/>
      </c>
      <c r="P83" s="803" t="inlineStr">
        <is>
          <t>2월 송금</t>
        </is>
      </c>
      <c r="Q83" s="804" t="n"/>
      <c r="R83" s="804" t="n"/>
      <c r="S83" s="805">
        <f>S82-M83</f>
        <v/>
      </c>
    </row>
    <row r="84" ht="11.25" customHeight="1" s="654">
      <c r="B84" s="875" t="n">
        <v>45708</v>
      </c>
      <c r="C84" s="178" t="inlineStr">
        <is>
          <t>일비</t>
        </is>
      </c>
      <c r="D84" s="183" t="n"/>
      <c r="E84" s="145" t="n">
        <v>44</v>
      </c>
      <c r="F84" s="181" t="inlineStr">
        <is>
          <t>해외지사비</t>
        </is>
      </c>
      <c r="G84" s="82" t="n"/>
      <c r="H84" s="82" t="n"/>
      <c r="I84" s="82" t="n"/>
      <c r="J84" s="82" t="n"/>
      <c r="K84" s="799" t="n">
        <v>300</v>
      </c>
      <c r="L84" s="800">
        <f>#REF!</f>
        <v/>
      </c>
      <c r="M84" s="874">
        <f>K84/L84</f>
        <v/>
      </c>
      <c r="N84" s="802">
        <f>N83+H84-K84</f>
        <v/>
      </c>
      <c r="O84" s="802">
        <f>O83+J84-M84</f>
        <v/>
      </c>
      <c r="P84" s="803" t="inlineStr">
        <is>
          <t>2월 송금</t>
        </is>
      </c>
      <c r="Q84" s="804" t="n"/>
      <c r="R84" s="804" t="n"/>
      <c r="S84" s="805">
        <f>S83-M84</f>
        <v/>
      </c>
    </row>
    <row r="85" ht="11.25" customHeight="1" s="654">
      <c r="B85" s="875" t="n">
        <v>45708</v>
      </c>
      <c r="C85" s="178" t="inlineStr">
        <is>
          <t>현채인 월급</t>
        </is>
      </c>
      <c r="D85" s="183" t="n"/>
      <c r="E85" s="145" t="n">
        <v>44</v>
      </c>
      <c r="F85" s="181" t="inlineStr">
        <is>
          <t>해외지사비</t>
        </is>
      </c>
      <c r="G85" s="82" t="n"/>
      <c r="H85" s="82" t="n"/>
      <c r="I85" s="82" t="n"/>
      <c r="J85" s="82" t="n"/>
      <c r="K85" s="799" t="n">
        <v>13390</v>
      </c>
      <c r="L85" s="800">
        <f>#REF!</f>
        <v/>
      </c>
      <c r="M85" s="874">
        <f>K85/L85</f>
        <v/>
      </c>
      <c r="N85" s="802">
        <f>N84+H85-K85</f>
        <v/>
      </c>
      <c r="O85" s="802">
        <f>O84+J85-M85</f>
        <v/>
      </c>
      <c r="P85" s="803" t="inlineStr">
        <is>
          <t>2월 송금</t>
        </is>
      </c>
      <c r="Q85" s="804" t="n"/>
      <c r="R85" s="804" t="n"/>
      <c r="S85" s="805">
        <f>S84-M85</f>
        <v/>
      </c>
    </row>
    <row r="86" ht="11.25" customHeight="1" s="654">
      <c r="B86" s="875" t="n">
        <v>45708</v>
      </c>
      <c r="C86" s="178" t="inlineStr">
        <is>
          <t>보너스</t>
        </is>
      </c>
      <c r="D86" s="819" t="n"/>
      <c r="E86" s="145" t="n">
        <v>44</v>
      </c>
      <c r="F86" s="82" t="inlineStr">
        <is>
          <t>급여</t>
        </is>
      </c>
      <c r="G86" s="82" t="inlineStr">
        <is>
          <t>포상금</t>
        </is>
      </c>
      <c r="H86" s="82" t="n"/>
      <c r="I86" s="82" t="n"/>
      <c r="J86" s="82" t="n"/>
      <c r="K86" s="799" t="n">
        <v>19074</v>
      </c>
      <c r="L86" s="800">
        <f>#REF!</f>
        <v/>
      </c>
      <c r="M86" s="874">
        <f>K86/L86</f>
        <v/>
      </c>
      <c r="N86" s="802">
        <f>N85+H86-K86</f>
        <v/>
      </c>
      <c r="O86" s="802">
        <f>O85+J86-M86</f>
        <v/>
      </c>
      <c r="P86" s="803" t="inlineStr">
        <is>
          <t>2월 송금</t>
        </is>
      </c>
      <c r="Q86" s="804" t="n"/>
      <c r="R86" s="804" t="n"/>
      <c r="S86" s="805">
        <f>S85-M86</f>
        <v/>
      </c>
    </row>
    <row r="87" ht="11.25" customHeight="1" s="654">
      <c r="B87" s="875" t="n">
        <v>45708</v>
      </c>
      <c r="C87" s="178" t="inlineStr">
        <is>
          <t>보험비(회사납부)
公司缴纳部分合计</t>
        </is>
      </c>
      <c r="D87" s="819" t="n"/>
      <c r="E87" s="145" t="n">
        <v>44</v>
      </c>
      <c r="F87" s="181" t="inlineStr">
        <is>
          <t>해외지사비</t>
        </is>
      </c>
      <c r="G87" s="82" t="n"/>
      <c r="H87" s="82" t="n"/>
      <c r="I87" s="82" t="n"/>
      <c r="J87" s="82" t="n"/>
      <c r="K87" s="799" t="n">
        <v>3281.57</v>
      </c>
      <c r="L87" s="800">
        <f>#REF!</f>
        <v/>
      </c>
      <c r="M87" s="874">
        <f>K87/L87</f>
        <v/>
      </c>
      <c r="N87" s="802">
        <f>N86+H87-K87</f>
        <v/>
      </c>
      <c r="O87" s="802">
        <f>O86+J87-M87</f>
        <v/>
      </c>
      <c r="P87" s="803" t="inlineStr">
        <is>
          <t>2월 송금</t>
        </is>
      </c>
      <c r="Q87" s="804" t="n"/>
      <c r="R87" s="804" t="n"/>
      <c r="S87" s="805">
        <f>S86-M87</f>
        <v/>
      </c>
    </row>
    <row r="88" ht="11.25" customHeight="1" s="654">
      <c r="B88" s="875" t="n">
        <v>45708</v>
      </c>
      <c r="C88" s="178" t="inlineStr">
        <is>
          <t>대행수수료</t>
        </is>
      </c>
      <c r="D88" s="819" t="n"/>
      <c r="E88" s="145" t="n">
        <v>44</v>
      </c>
      <c r="F88" s="181" t="inlineStr">
        <is>
          <t>해외지사비</t>
        </is>
      </c>
      <c r="G88" s="82" t="n"/>
      <c r="H88" s="82" t="n"/>
      <c r="I88" s="82" t="n"/>
      <c r="J88" s="82" t="n"/>
      <c r="K88" s="799" t="n">
        <v>300</v>
      </c>
      <c r="L88" s="800">
        <f>#REF!</f>
        <v/>
      </c>
      <c r="M88" s="874">
        <f>K88/L88</f>
        <v/>
      </c>
      <c r="N88" s="802">
        <f>N87+H88-K88</f>
        <v/>
      </c>
      <c r="O88" s="802">
        <f>O87+J88-M88</f>
        <v/>
      </c>
      <c r="P88" s="803" t="inlineStr">
        <is>
          <t>2월 송금</t>
        </is>
      </c>
      <c r="Q88" s="804" t="n"/>
      <c r="R88" s="804" t="n"/>
      <c r="S88" s="805">
        <f>S87-M88</f>
        <v/>
      </c>
    </row>
    <row r="89" ht="11.25" customHeight="1" s="654">
      <c r="B89" s="875" t="n">
        <v>45708</v>
      </c>
      <c r="C89" s="178" t="inlineStr">
        <is>
          <t>현채인 월급</t>
        </is>
      </c>
      <c r="D89" s="819" t="n"/>
      <c r="E89" s="145" t="n">
        <v>44</v>
      </c>
      <c r="F89" s="181" t="inlineStr">
        <is>
          <t>해외지사비</t>
        </is>
      </c>
      <c r="G89" s="82" t="n"/>
      <c r="H89" s="82" t="n"/>
      <c r="I89" s="82" t="n"/>
      <c r="J89" s="82" t="n"/>
      <c r="K89" s="799" t="n">
        <v>25750</v>
      </c>
      <c r="L89" s="800">
        <f>#REF!</f>
        <v/>
      </c>
      <c r="M89" s="874">
        <f>K89/L89</f>
        <v/>
      </c>
      <c r="N89" s="802">
        <f>N88+H89-K89</f>
        <v/>
      </c>
      <c r="O89" s="802">
        <f>O88+J89-M89</f>
        <v/>
      </c>
      <c r="P89" s="803" t="inlineStr">
        <is>
          <t>2월 송금</t>
        </is>
      </c>
      <c r="Q89" s="804" t="n"/>
      <c r="R89" s="804" t="n"/>
      <c r="S89" s="805">
        <f>S88-M89</f>
        <v/>
      </c>
    </row>
    <row r="90" ht="11.25" customHeight="1" s="654">
      <c r="B90" s="875" t="n">
        <v>45708</v>
      </c>
      <c r="C90" s="178" t="inlineStr">
        <is>
          <t>보너스</t>
        </is>
      </c>
      <c r="D90" s="819" t="n"/>
      <c r="E90" s="145" t="n">
        <v>44</v>
      </c>
      <c r="F90" s="82" t="inlineStr">
        <is>
          <t>급여</t>
        </is>
      </c>
      <c r="G90" s="82" t="inlineStr">
        <is>
          <t>포상금</t>
        </is>
      </c>
      <c r="H90" s="82" t="n"/>
      <c r="I90" s="82" t="n"/>
      <c r="J90" s="82" t="n"/>
      <c r="K90" s="799" t="n">
        <v>37705</v>
      </c>
      <c r="L90" s="800">
        <f>#REF!</f>
        <v/>
      </c>
      <c r="M90" s="874">
        <f>K90/L90</f>
        <v/>
      </c>
      <c r="N90" s="802">
        <f>N89+H90-K90</f>
        <v/>
      </c>
      <c r="O90" s="802">
        <f>O89+J90-M90</f>
        <v/>
      </c>
      <c r="P90" s="803" t="inlineStr">
        <is>
          <t>2월 송금</t>
        </is>
      </c>
      <c r="Q90" s="804" t="n"/>
      <c r="R90" s="804" t="n"/>
      <c r="S90" s="805">
        <f>S89-M90</f>
        <v/>
      </c>
    </row>
    <row r="91" ht="11.25" customHeight="1" s="654">
      <c r="B91" s="875" t="n">
        <v>45708</v>
      </c>
      <c r="C91" s="178" t="inlineStr">
        <is>
          <t>보험비(회사납부)
公司缴纳部分合计</t>
        </is>
      </c>
      <c r="D91" s="819" t="n"/>
      <c r="E91" s="145" t="n">
        <v>44</v>
      </c>
      <c r="F91" s="181" t="inlineStr">
        <is>
          <t>해외지사비</t>
        </is>
      </c>
      <c r="G91" s="82" t="n"/>
      <c r="H91" s="82" t="n"/>
      <c r="I91" s="82" t="n"/>
      <c r="J91" s="82" t="n"/>
      <c r="K91" s="799" t="n">
        <v>7431.44</v>
      </c>
      <c r="L91" s="800">
        <f>#REF!</f>
        <v/>
      </c>
      <c r="M91" s="874">
        <f>K91/L91</f>
        <v/>
      </c>
      <c r="N91" s="802">
        <f>N90+H91-K91</f>
        <v/>
      </c>
      <c r="O91" s="802">
        <f>O90+J91-M91</f>
        <v/>
      </c>
      <c r="P91" s="803" t="inlineStr">
        <is>
          <t>2월 송금</t>
        </is>
      </c>
      <c r="Q91" s="804" t="n"/>
      <c r="R91" s="804" t="n"/>
      <c r="S91" s="805">
        <f>S90-M91</f>
        <v/>
      </c>
    </row>
    <row r="92" ht="11.25" customHeight="1" s="654">
      <c r="B92" s="875" t="n">
        <v>45708</v>
      </c>
      <c r="C92" s="178" t="inlineStr">
        <is>
          <t>대행수수료</t>
        </is>
      </c>
      <c r="D92" s="819" t="n"/>
      <c r="E92" s="145" t="n">
        <v>44</v>
      </c>
      <c r="F92" s="181" t="inlineStr">
        <is>
          <t>해외지사비</t>
        </is>
      </c>
      <c r="G92" s="82" t="n"/>
      <c r="H92" s="82" t="n"/>
      <c r="I92" s="82" t="n"/>
      <c r="J92" s="82" t="n"/>
      <c r="K92" s="799" t="n">
        <v>300</v>
      </c>
      <c r="L92" s="800">
        <f>#REF!</f>
        <v/>
      </c>
      <c r="M92" s="874">
        <f>K92/L92</f>
        <v/>
      </c>
      <c r="N92" s="802">
        <f>N91+H92-K92</f>
        <v/>
      </c>
      <c r="O92" s="802">
        <f>O91+J92-M92</f>
        <v/>
      </c>
      <c r="P92" s="803" t="inlineStr">
        <is>
          <t>2월 송금</t>
        </is>
      </c>
      <c r="Q92" s="804" t="n"/>
      <c r="R92" s="804" t="n"/>
      <c r="S92" s="805">
        <f>S91-M92</f>
        <v/>
      </c>
    </row>
    <row r="93" ht="11.25" customHeight="1" s="654">
      <c r="B93" s="875" t="n">
        <v>45708</v>
      </c>
      <c r="C93" s="178" t="inlineStr">
        <is>
          <t>현채인 월급</t>
        </is>
      </c>
      <c r="D93" s="819" t="n"/>
      <c r="E93" s="145" t="n">
        <v>44</v>
      </c>
      <c r="F93" s="181" t="inlineStr">
        <is>
          <t>해외지사비</t>
        </is>
      </c>
      <c r="G93" s="82" t="n"/>
      <c r="H93" s="82" t="n"/>
      <c r="I93" s="82" t="n"/>
      <c r="J93" s="82" t="n"/>
      <c r="K93" s="799" t="n">
        <v>21300</v>
      </c>
      <c r="L93" s="800">
        <f>#REF!</f>
        <v/>
      </c>
      <c r="M93" s="874">
        <f>K93/L93</f>
        <v/>
      </c>
      <c r="N93" s="802">
        <f>N92+H93-K93</f>
        <v/>
      </c>
      <c r="O93" s="802">
        <f>O92+J93-M93</f>
        <v/>
      </c>
      <c r="P93" s="803" t="inlineStr">
        <is>
          <t>2월 송금</t>
        </is>
      </c>
      <c r="Q93" s="804" t="n"/>
      <c r="R93" s="804" t="n"/>
      <c r="S93" s="805">
        <f>S92-M93</f>
        <v/>
      </c>
    </row>
    <row r="94" ht="11.25" customHeight="1" s="654">
      <c r="B94" s="875" t="n">
        <v>45708</v>
      </c>
      <c r="C94" s="178" t="inlineStr">
        <is>
          <t>보험비(회사납부)
公司缴纳部分合计</t>
        </is>
      </c>
      <c r="D94" s="819" t="n"/>
      <c r="E94" s="145" t="n">
        <v>44</v>
      </c>
      <c r="F94" s="181" t="inlineStr">
        <is>
          <t>해외지사비</t>
        </is>
      </c>
      <c r="G94" s="82" t="n"/>
      <c r="H94" s="82" t="n"/>
      <c r="I94" s="82" t="n"/>
      <c r="J94" s="82" t="n"/>
      <c r="K94" s="799" t="n">
        <v>5941.29</v>
      </c>
      <c r="L94" s="800">
        <f>#REF!</f>
        <v/>
      </c>
      <c r="M94" s="874">
        <f>K94/L94</f>
        <v/>
      </c>
      <c r="N94" s="802">
        <f>N93+H94-K94</f>
        <v/>
      </c>
      <c r="O94" s="802">
        <f>O93+J94-M94</f>
        <v/>
      </c>
      <c r="P94" s="803" t="inlineStr">
        <is>
          <t>2월 송금</t>
        </is>
      </c>
      <c r="Q94" s="804" t="n"/>
      <c r="R94" s="804" t="n"/>
      <c r="S94" s="805">
        <f>S93-M94</f>
        <v/>
      </c>
    </row>
    <row r="95" ht="11.25" customHeight="1" s="654">
      <c r="B95" s="875" t="n">
        <v>45708</v>
      </c>
      <c r="C95" s="178" t="inlineStr">
        <is>
          <t>대행수수료</t>
        </is>
      </c>
      <c r="D95" s="819" t="n"/>
      <c r="E95" s="145" t="n">
        <v>44</v>
      </c>
      <c r="F95" s="181" t="inlineStr">
        <is>
          <t>해외지사비</t>
        </is>
      </c>
      <c r="G95" s="82" t="n"/>
      <c r="H95" s="799" t="n"/>
      <c r="I95" s="800" t="n"/>
      <c r="J95" s="820" t="n"/>
      <c r="K95" s="799" t="n">
        <v>300</v>
      </c>
      <c r="L95" s="800">
        <f>#REF!</f>
        <v/>
      </c>
      <c r="M95" s="874">
        <f>K95/L95</f>
        <v/>
      </c>
      <c r="N95" s="802">
        <f>N94+H95-K95</f>
        <v/>
      </c>
      <c r="O95" s="802">
        <f>O94+J95-M95</f>
        <v/>
      </c>
      <c r="P95" s="803" t="inlineStr">
        <is>
          <t>2월 송금</t>
        </is>
      </c>
      <c r="Q95" s="804" t="n"/>
      <c r="R95" s="804" t="n"/>
      <c r="S95" s="805">
        <f>S94-M95</f>
        <v/>
      </c>
    </row>
    <row r="96" ht="11.25" customHeight="1" s="654">
      <c r="B96" s="875" t="n">
        <v>45708</v>
      </c>
      <c r="C96" s="178" t="inlineStr">
        <is>
          <t>일비</t>
        </is>
      </c>
      <c r="D96" s="819" t="n"/>
      <c r="E96" s="145" t="n">
        <v>44</v>
      </c>
      <c r="F96" s="181" t="inlineStr">
        <is>
          <t>해외지사비</t>
        </is>
      </c>
      <c r="G96" s="82" t="n"/>
      <c r="H96" s="82" t="n"/>
      <c r="I96" s="82" t="n"/>
      <c r="J96" s="82" t="n"/>
      <c r="K96" s="881" t="n">
        <v>200</v>
      </c>
      <c r="L96" s="800">
        <f>#REF!</f>
        <v/>
      </c>
      <c r="M96" s="874">
        <f>K96/L96</f>
        <v/>
      </c>
      <c r="N96" s="802">
        <f>N95+H96-K96</f>
        <v/>
      </c>
      <c r="O96" s="802">
        <f>O95+J96-M96</f>
        <v/>
      </c>
      <c r="P96" s="803" t="inlineStr">
        <is>
          <t>2월 송금</t>
        </is>
      </c>
      <c r="Q96" s="804" t="n"/>
      <c r="R96" s="804" t="n"/>
      <c r="S96" s="805">
        <f>S95-M96</f>
        <v/>
      </c>
    </row>
    <row r="97" ht="11.25" customHeight="1" s="654">
      <c r="B97" s="797" t="n">
        <v>45708</v>
      </c>
      <c r="C97" s="144" t="inlineStr">
        <is>
          <t>은행수수료</t>
        </is>
      </c>
      <c r="D97" s="819" t="n"/>
      <c r="E97" s="145" t="n">
        <v>45</v>
      </c>
      <c r="F97" s="181" t="inlineStr">
        <is>
          <t>해외지사비</t>
        </is>
      </c>
      <c r="G97" s="82" t="n"/>
      <c r="H97" s="82" t="n"/>
      <c r="I97" s="82" t="n"/>
      <c r="J97" s="82" t="n"/>
      <c r="K97" s="799" t="n">
        <v>12</v>
      </c>
      <c r="L97" s="800">
        <f>#REF!</f>
        <v/>
      </c>
      <c r="M97" s="874">
        <f>K97/L97</f>
        <v/>
      </c>
      <c r="N97" s="802">
        <f>N96+H97-K97</f>
        <v/>
      </c>
      <c r="O97" s="802">
        <f>O96+J97-M97</f>
        <v/>
      </c>
      <c r="P97" s="803" t="inlineStr">
        <is>
          <t>2월 송금</t>
        </is>
      </c>
      <c r="Q97" s="804" t="n"/>
      <c r="R97" s="804" t="n"/>
      <c r="S97" s="805">
        <f>S96-M97</f>
        <v/>
      </c>
    </row>
  </sheetData>
  <autoFilter ref="B18:R97">
    <filterColumn colId="14" hiddenButton="0" showButton="0"/>
    <sortState ref="B20:R21">
      <sortCondition sortBy="cellColor" ref="M18:M20" dxfId="4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AC106"/>
  <sheetViews>
    <sheetView showGridLines="0" zoomScaleNormal="100" workbookViewId="0">
      <pane ySplit="19" topLeftCell="A8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700" min="3" max="3"/>
    <col width="9.75" customWidth="1" style="698" min="4" max="4"/>
    <col width="12.125" customWidth="1" style="698" min="5" max="5"/>
    <col width="12.5" customWidth="1" style="698" min="6" max="6"/>
    <col width="9.875" customWidth="1" style="688" min="7" max="7"/>
    <col width="9.75" customWidth="1" style="698" min="8" max="8"/>
    <col width="9.875" customWidth="1" style="698" min="9" max="9"/>
    <col width="10.5" customWidth="1" style="688" min="10" max="10"/>
    <col width="11" customWidth="1" style="750" min="11" max="11"/>
    <col width="11.125" customWidth="1" style="698" min="12" max="12"/>
    <col width="9.75" customWidth="1" style="698" min="13" max="13"/>
    <col width="12.375" customWidth="1" style="698" min="14" max="14"/>
    <col width="9.875" customWidth="1" style="698" min="15" max="15"/>
    <col width="10.75" customWidth="1" style="698" min="16" max="16"/>
    <col width="9.625" customWidth="1" style="698" min="17" max="17"/>
    <col width="31.5" customWidth="1" style="688" min="18" max="18"/>
    <col width="10.5" bestFit="1" customWidth="1" style="39" min="19" max="19"/>
    <col width="9" customWidth="1" style="698" min="20" max="20"/>
    <col width="9" customWidth="1" style="830" min="21" max="21"/>
    <col width="9" customWidth="1" style="698" min="22" max="16384"/>
  </cols>
  <sheetData>
    <row r="1" ht="4.5" customHeight="1" s="654">
      <c r="A1" s="14" t="n"/>
      <c r="B1" s="831" t="n"/>
      <c r="C1" s="882" t="n"/>
      <c r="D1" s="832" t="n"/>
      <c r="E1" s="833" t="n"/>
      <c r="F1" s="833" t="n"/>
      <c r="G1" s="834" t="n"/>
      <c r="H1" s="833" t="n"/>
      <c r="I1" s="833" t="n"/>
      <c r="J1" s="835" t="n"/>
      <c r="K1" s="883" t="n"/>
      <c r="L1" s="833" t="n"/>
      <c r="M1" s="836" t="n"/>
      <c r="N1" s="836" t="n"/>
      <c r="O1" s="832" t="n"/>
      <c r="P1" s="837" t="n"/>
      <c r="Q1" s="837" t="n"/>
      <c r="R1" s="838" t="n"/>
      <c r="S1" s="24" t="n"/>
    </row>
    <row r="2" ht="15" customHeight="1" s="654">
      <c r="B2" s="839" t="inlineStr">
        <is>
          <t>▶ 25년 3월 전도금 정산 내역 (심천지사)_4000061 (B2F590)</t>
        </is>
      </c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884" t="n"/>
      <c r="L2" s="702" t="n"/>
      <c r="M2" s="702" t="n"/>
      <c r="N2" s="704" t="n"/>
      <c r="O2" s="705" t="n"/>
      <c r="Q2" s="702" t="n"/>
    </row>
    <row r="3" ht="11.25" customFormat="1" customHeight="1" s="706">
      <c r="A3" s="26" t="n"/>
      <c r="B3" s="707" t="inlineStr">
        <is>
          <t>25년 2월 송금_1447.40 (#)</t>
        </is>
      </c>
      <c r="C3" s="708" t="n"/>
      <c r="D3" s="708" t="n"/>
      <c r="E3" s="708" t="n"/>
      <c r="F3" s="184" t="n">
        <v>1447.4</v>
      </c>
      <c r="G3" s="709" t="n"/>
      <c r="H3" s="707" t="inlineStr">
        <is>
          <t>25년 3월 송금_1,446.30 (#)</t>
        </is>
      </c>
      <c r="I3" s="708" t="n"/>
      <c r="K3" s="885" t="n"/>
      <c r="L3" s="184" t="n">
        <v>1446.3</v>
      </c>
      <c r="N3" s="707" t="n"/>
      <c r="O3" s="707" t="n"/>
      <c r="P3" s="707" t="n"/>
      <c r="Q3" s="707" t="n"/>
      <c r="R3" s="707" t="n"/>
      <c r="T3" s="707" t="n"/>
      <c r="U3" s="708" t="n"/>
      <c r="V3" s="710" t="n"/>
      <c r="W3" s="710" t="n"/>
      <c r="X3" s="711" t="n">
        <v>1327.2</v>
      </c>
    </row>
    <row r="4" ht="11.25" customHeight="1" s="654">
      <c r="A4" s="14" t="n"/>
      <c r="B4" s="712" t="inlineStr">
        <is>
          <t>대계정</t>
        </is>
      </c>
      <c r="C4" s="886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07" t="n"/>
      <c r="O4" s="707" t="n"/>
      <c r="P4" s="707" t="n"/>
      <c r="Q4" s="707" t="n"/>
      <c r="R4" s="707" t="n"/>
      <c r="U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>
        <v>14845.68</v>
      </c>
      <c r="E5" s="722" t="n">
        <v>2035.182549930337</v>
      </c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/>
      <c r="K5" s="887" t="n"/>
      <c r="L5" s="723">
        <f>ROUND(K5*$L$3,0)</f>
        <v/>
      </c>
      <c r="M5" s="727">
        <f>L5+F5</f>
        <v/>
      </c>
      <c r="N5" s="707" t="n"/>
      <c r="O5" s="707" t="n"/>
      <c r="P5" s="707" t="n"/>
      <c r="Q5" s="707" t="n"/>
      <c r="R5" s="707" t="n"/>
      <c r="S5" s="728">
        <f>F5+L5+R5</f>
        <v/>
      </c>
      <c r="U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>
        <v>18459.27</v>
      </c>
      <c r="E6" s="721" t="n">
        <v>2530.573704349673</v>
      </c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18692.93</v>
      </c>
      <c r="K6" s="887" t="n">
        <v>2589.84</v>
      </c>
      <c r="L6" s="723">
        <f>ROUND(K6*$L$3,0)</f>
        <v/>
      </c>
      <c r="M6" s="727">
        <f>L6+F6</f>
        <v/>
      </c>
      <c r="N6" s="707" t="n"/>
      <c r="O6" s="707" t="n"/>
      <c r="P6" s="707" t="n"/>
      <c r="Q6" s="707" t="n"/>
      <c r="R6" s="707" t="n"/>
      <c r="S6" s="728">
        <f>F6+L6+R6</f>
        <v/>
      </c>
      <c r="U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25272</v>
      </c>
      <c r="E7" s="721" t="n">
        <v>3464.53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/>
      <c r="K7" s="887" t="n"/>
      <c r="L7" s="723">
        <f>ROUND(K7*$L$3,0)</f>
        <v/>
      </c>
      <c r="M7" s="727">
        <f>L7+F7</f>
        <v/>
      </c>
      <c r="N7" s="707" t="n"/>
      <c r="O7" s="707" t="n"/>
      <c r="P7" s="707" t="n"/>
      <c r="Q7" s="707" t="n"/>
      <c r="R7" s="707" t="n"/>
      <c r="S7" s="728">
        <f>F7+L7+R7</f>
        <v/>
      </c>
      <c r="U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>
        <v>17500</v>
      </c>
      <c r="E8" s="721" t="n">
        <v>2399.07</v>
      </c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/>
      <c r="K8" s="887" t="n"/>
      <c r="L8" s="723">
        <f>ROUND(K8*$L$3,0)</f>
        <v/>
      </c>
      <c r="M8" s="727">
        <f>L8+F8</f>
        <v/>
      </c>
      <c r="N8" s="707" t="n"/>
      <c r="O8" s="707" t="n"/>
      <c r="P8" s="707" t="n"/>
      <c r="Q8" s="707" t="n"/>
      <c r="R8" s="707" t="n"/>
      <c r="S8" s="728">
        <f>F8+L8+R8</f>
        <v/>
      </c>
      <c r="U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>
        <v>1453.59</v>
      </c>
      <c r="E9" s="721" t="n">
        <v>199.2720530609088</v>
      </c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169</v>
      </c>
      <c r="K9" s="887" t="n">
        <v>23.41</v>
      </c>
      <c r="L9" s="723">
        <f>ROUND(K9*$L$3,0)</f>
        <v/>
      </c>
      <c r="M9" s="727">
        <f>L9+F9</f>
        <v/>
      </c>
      <c r="N9" s="707" t="n"/>
      <c r="O9" s="707" t="n"/>
      <c r="P9" s="707" t="n"/>
      <c r="Q9" s="707" t="n"/>
      <c r="R9" s="707" t="n"/>
      <c r="S9" s="728">
        <f>F9+L9+R9</f>
        <v/>
      </c>
      <c r="U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23429.31866017223</v>
      </c>
      <c r="E10" s="721" t="n">
        <v>3211.915623546379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274853.0013398277</v>
      </c>
      <c r="K10" s="887" t="n">
        <v>38130.88</v>
      </c>
      <c r="L10" s="723">
        <f>ROUND(K10*$L$3,0)</f>
        <v/>
      </c>
      <c r="M10" s="727">
        <f>L10+F10</f>
        <v/>
      </c>
      <c r="N10" s="707" t="n"/>
      <c r="O10" s="707" t="n"/>
      <c r="P10" s="707" t="n"/>
      <c r="Q10" s="707" t="n"/>
      <c r="R10" s="707" t="n"/>
      <c r="S10" s="728">
        <f>F10+L10+R10</f>
        <v/>
      </c>
      <c r="U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888" t="inlineStr">
        <is>
          <t>성과급여조정</t>
        </is>
      </c>
      <c r="D11" s="733" t="n"/>
      <c r="E11" s="733" t="n"/>
      <c r="F11" s="735" t="n"/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889" t="n"/>
      <c r="L11" s="739">
        <f>ROUND(K11*$L$3,0)</f>
        <v/>
      </c>
      <c r="M11" s="727">
        <f>L11+F11</f>
        <v/>
      </c>
      <c r="N11" s="707" t="n"/>
      <c r="O11" s="707" t="n"/>
      <c r="P11" s="707" t="n"/>
      <c r="Q11" s="707" t="n"/>
      <c r="R11" s="707" t="n"/>
      <c r="S11" s="728">
        <f>F11+L11+R11</f>
        <v/>
      </c>
      <c r="U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0" t="inlineStr">
        <is>
          <t>(-)잡이익</t>
        </is>
      </c>
      <c r="D12" s="151" t="n">
        <v>103.37</v>
      </c>
      <c r="E12" s="721" t="n">
        <v>14.17</v>
      </c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890" t="n"/>
      <c r="L12" s="723">
        <f>ROUND(K12*$L$3,0)</f>
        <v/>
      </c>
      <c r="M12" s="727">
        <f>L12+F12</f>
        <v/>
      </c>
      <c r="N12" s="707" t="n"/>
      <c r="O12" s="707" t="n"/>
      <c r="P12" s="707" t="n"/>
      <c r="Q12" s="707" t="n"/>
      <c r="R12" s="707" t="n"/>
      <c r="S12" s="728">
        <f>F12+L12+R12</f>
        <v/>
      </c>
      <c r="U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891" t="n"/>
      <c r="D13" s="744">
        <f>SUM(D5:D11)-D12</f>
        <v/>
      </c>
      <c r="E13" s="892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17">
        <f>SUM(K5:K11)-K12</f>
        <v/>
      </c>
      <c r="L13" s="745">
        <f>SUM(L5:L11)-L12</f>
        <v/>
      </c>
      <c r="M13" s="727">
        <f>L13+F13</f>
        <v/>
      </c>
      <c r="N13" s="707" t="n"/>
      <c r="O13" s="707" t="n"/>
      <c r="P13" s="707" t="n"/>
      <c r="Q13" s="707" t="n"/>
      <c r="R13" s="707" t="n"/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4" t="n"/>
      <c r="D14" s="893" t="n"/>
      <c r="E14" s="893" t="n"/>
      <c r="F14" s="894" t="n"/>
      <c r="G14" s="752" t="n"/>
      <c r="J14" s="753">
        <f>J13+D13+P13</f>
        <v/>
      </c>
      <c r="K14" s="895">
        <f>K13+E13+Q13</f>
        <v/>
      </c>
      <c r="L14" s="754">
        <f>L13+F13+R13</f>
        <v/>
      </c>
      <c r="M14" s="755">
        <f>M16-E12</f>
        <v/>
      </c>
      <c r="N14" s="707" t="n"/>
      <c r="O14" s="707" t="n"/>
      <c r="P14" s="707" t="n"/>
      <c r="Q14" s="707" t="n"/>
      <c r="R14" s="707" t="n"/>
      <c r="X14" s="702" t="n"/>
      <c r="Y14" s="702" t="n"/>
      <c r="AB14" s="702" t="n"/>
      <c r="AC14" s="688" t="n"/>
    </row>
    <row r="15" ht="14.25" customHeight="1" s="654">
      <c r="A15" s="14" t="n"/>
      <c r="D15" s="893" t="n"/>
      <c r="E15" s="893" t="n"/>
      <c r="F15" s="893" t="n"/>
      <c r="G15" s="752" t="n"/>
      <c r="J15" s="755">
        <f>J16-G96</f>
        <v/>
      </c>
      <c r="K15" s="755">
        <f>K16-H96</f>
        <v/>
      </c>
      <c r="L15" s="755">
        <f>L16-I96</f>
        <v/>
      </c>
      <c r="M15" s="755">
        <f>M16-J96</f>
        <v/>
      </c>
      <c r="O15" s="702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>
      <c r="A16" s="14" t="n"/>
      <c r="D16" s="700" t="n"/>
      <c r="E16" s="757" t="n"/>
      <c r="F16" s="757" t="n"/>
      <c r="G16" s="752" t="n"/>
      <c r="I16" s="702" t="n"/>
      <c r="J16" s="703" t="n"/>
      <c r="K16" s="896">
        <f>SUBTOTAL(9,K19:K105)</f>
        <v/>
      </c>
      <c r="L16" s="759" t="n"/>
      <c r="M16" s="896">
        <f>SUBTOTAL(9,M19:M105)</f>
        <v/>
      </c>
      <c r="N16" s="702" t="n"/>
      <c r="Q16" s="702" t="n"/>
    </row>
    <row r="17" ht="11.25" customHeight="1" s="654">
      <c r="A17" s="14" t="n"/>
      <c r="B17" s="847" t="inlineStr">
        <is>
          <t>날짜</t>
        </is>
      </c>
      <c r="C17" s="897" t="inlineStr">
        <is>
          <t>내역</t>
        </is>
      </c>
      <c r="D17" s="848" t="inlineStr">
        <is>
          <t>담당자</t>
        </is>
      </c>
      <c r="E17" s="849" t="inlineStr">
        <is>
          <t>증빙번호</t>
        </is>
      </c>
      <c r="F17" s="848" t="inlineStr">
        <is>
          <t>대계정</t>
        </is>
      </c>
      <c r="G17" s="850" t="inlineStr">
        <is>
          <t>소계정</t>
        </is>
      </c>
      <c r="H17" s="851" t="inlineStr">
        <is>
          <t>입금</t>
        </is>
      </c>
      <c r="I17" s="852" t="n"/>
      <c r="J17" s="853" t="n"/>
      <c r="K17" s="851" t="inlineStr">
        <is>
          <t>출금</t>
        </is>
      </c>
      <c r="L17" s="852" t="n"/>
      <c r="M17" s="853" t="n"/>
      <c r="N17" s="854" t="inlineStr">
        <is>
          <t>잔액</t>
        </is>
      </c>
      <c r="O17" s="853" t="n"/>
      <c r="P17" s="848" t="n"/>
      <c r="Q17" s="853" t="n"/>
      <c r="R17" s="850" t="inlineStr">
        <is>
          <t>항목</t>
        </is>
      </c>
    </row>
    <row r="18" ht="11.25" customHeight="1" s="654">
      <c r="A18" s="14" t="n"/>
      <c r="B18" s="855" t="inlineStr">
        <is>
          <t>날짜</t>
        </is>
      </c>
      <c r="C18" s="898" t="inlineStr">
        <is>
          <t>내역</t>
        </is>
      </c>
      <c r="D18" s="856" t="inlineStr">
        <is>
          <t>담당자</t>
        </is>
      </c>
      <c r="E18" s="857" t="inlineStr">
        <is>
          <t>증빙번호</t>
        </is>
      </c>
      <c r="F18" s="856" t="inlineStr">
        <is>
          <t>대계정</t>
        </is>
      </c>
      <c r="G18" s="858" t="inlineStr">
        <is>
          <t>소계정</t>
        </is>
      </c>
      <c r="H18" s="859" t="inlineStr">
        <is>
          <t>CNY</t>
        </is>
      </c>
      <c r="I18" s="859" t="inlineStr">
        <is>
          <t>환산요율</t>
        </is>
      </c>
      <c r="J18" s="860" t="inlineStr">
        <is>
          <t>USD</t>
        </is>
      </c>
      <c r="K18" s="860" t="inlineStr">
        <is>
          <t>CNY</t>
        </is>
      </c>
      <c r="L18" s="859" t="inlineStr">
        <is>
          <t>환산요율</t>
        </is>
      </c>
      <c r="M18" s="899" t="inlineStr">
        <is>
          <t>USD</t>
        </is>
      </c>
      <c r="N18" s="851" t="inlineStr">
        <is>
          <t>CNY</t>
        </is>
      </c>
      <c r="O18" s="851" t="inlineStr">
        <is>
          <t>USD</t>
        </is>
      </c>
      <c r="P18" s="856" t="inlineStr">
        <is>
          <t>비고</t>
        </is>
      </c>
      <c r="Q18" s="853" t="n"/>
      <c r="R18" s="858" t="inlineStr">
        <is>
          <t>항목</t>
        </is>
      </c>
    </row>
    <row r="19" ht="11.25" customHeight="1" s="654">
      <c r="B19" s="861" t="n">
        <v>45716</v>
      </c>
      <c r="C19" s="863" t="n"/>
      <c r="D19" s="862" t="n"/>
      <c r="E19" s="863" t="n"/>
      <c r="F19" s="864" t="n"/>
      <c r="G19" s="865" t="n"/>
      <c r="H19" s="866" t="n"/>
      <c r="I19" s="862" t="n"/>
      <c r="J19" s="865" t="n"/>
      <c r="K19" s="900" t="n"/>
      <c r="L19" s="868" t="n"/>
      <c r="M19" s="869" t="n"/>
      <c r="N19" s="870" t="n">
        <v>100829.8800000005</v>
      </c>
      <c r="O19" s="870" t="n">
        <v>13826.3698663138</v>
      </c>
      <c r="P19" s="871" t="n"/>
      <c r="Q19" s="863" t="n"/>
      <c r="R19" s="872" t="n"/>
      <c r="S19" s="796" t="n">
        <v>13826.36880406081</v>
      </c>
    </row>
    <row r="20" ht="12" customFormat="1" customHeight="1" s="830">
      <c r="A20" s="80" t="n"/>
      <c r="B20" s="875" t="n">
        <v>45727</v>
      </c>
      <c r="C20" s="177" t="inlineStr">
        <is>
          <t>USD입금 and RMB 환전</t>
        </is>
      </c>
      <c r="D20" s="149" t="n"/>
      <c r="E20" s="145" t="n">
        <v>1</v>
      </c>
      <c r="F20" s="253" t="n"/>
      <c r="G20" s="82" t="n"/>
      <c r="H20" s="179" t="n">
        <v>346107.95</v>
      </c>
      <c r="I20" s="798" t="n"/>
      <c r="J20" s="179" t="n">
        <v>48003</v>
      </c>
      <c r="K20" s="799" t="n"/>
      <c r="L20" s="800" t="n"/>
      <c r="M20" s="901" t="n"/>
      <c r="N20" s="802">
        <f>N19+H20-K20</f>
        <v/>
      </c>
      <c r="O20" s="802">
        <f>O19+J20-M20</f>
        <v/>
      </c>
      <c r="P20" s="803" t="inlineStr">
        <is>
          <t>2월 송금</t>
        </is>
      </c>
      <c r="Q20" s="804" t="n"/>
      <c r="R20" s="804" t="n"/>
      <c r="S20" s="805" t="n"/>
      <c r="T20" s="698" t="n"/>
      <c r="V20" s="698" t="n"/>
      <c r="W20" s="698" t="n"/>
      <c r="X20" s="698" t="n"/>
      <c r="Y20" s="698" t="n"/>
      <c r="Z20" s="698" t="n"/>
      <c r="AA20" s="698" t="n"/>
      <c r="AB20" s="698" t="n"/>
      <c r="AC20" s="698" t="n"/>
    </row>
    <row r="21" ht="12" customFormat="1" customHeight="1" s="830">
      <c r="A21" s="80" t="n"/>
      <c r="B21" s="875" t="n">
        <v>45727</v>
      </c>
      <c r="C21" s="144" t="inlineStr">
        <is>
          <t>은행수수료</t>
        </is>
      </c>
      <c r="D21" s="149" t="n"/>
      <c r="E21" s="145" t="n"/>
      <c r="F21" s="253" t="inlineStr">
        <is>
          <t>해외지사비</t>
        </is>
      </c>
      <c r="G21" s="82" t="n"/>
      <c r="H21" s="187" t="n"/>
      <c r="I21" s="798" t="n"/>
      <c r="J21" s="187" t="n"/>
      <c r="K21" s="799" t="n"/>
      <c r="L21" s="800" t="n"/>
      <c r="M21" s="902" t="n">
        <v>51</v>
      </c>
      <c r="N21" s="802">
        <f>N20+H21-K21</f>
        <v/>
      </c>
      <c r="O21" s="802">
        <f>O20+J21-M21</f>
        <v/>
      </c>
      <c r="P21" s="803" t="inlineStr">
        <is>
          <t>2월 송금</t>
        </is>
      </c>
      <c r="Q21" s="804" t="n"/>
      <c r="R21" s="804" t="n"/>
      <c r="T21" s="698" t="n"/>
      <c r="V21" s="698" t="n"/>
      <c r="W21" s="698" t="n"/>
      <c r="X21" s="698" t="n"/>
      <c r="Y21" s="698" t="n"/>
      <c r="Z21" s="698" t="n"/>
      <c r="AA21" s="698" t="n"/>
      <c r="AB21" s="698" t="n"/>
      <c r="AC21" s="698" t="n"/>
    </row>
    <row r="22" ht="12" customFormat="1" customHeight="1" s="830">
      <c r="A22" s="80" t="n"/>
      <c r="B22" s="875" t="n">
        <v>45733</v>
      </c>
      <c r="C22" s="177" t="inlineStr">
        <is>
          <t>사무실 임대료/전기세 관련</t>
        </is>
      </c>
      <c r="D22" s="149" t="n"/>
      <c r="E22" s="145" t="n">
        <v>2</v>
      </c>
      <c r="F22" s="253" t="inlineStr">
        <is>
          <t>지급임차료</t>
        </is>
      </c>
      <c r="G22" s="82" t="inlineStr">
        <is>
          <t>사무실</t>
        </is>
      </c>
      <c r="H22" s="187" t="n"/>
      <c r="I22" s="798" t="n"/>
      <c r="J22" s="187" t="n"/>
      <c r="K22" s="903" t="n">
        <v>25272</v>
      </c>
      <c r="L22" s="800">
        <f>#REF!</f>
        <v/>
      </c>
      <c r="M22" s="904">
        <f>K22/L22</f>
        <v/>
      </c>
      <c r="N22" s="802">
        <f>N21+H22-K22</f>
        <v/>
      </c>
      <c r="O22" s="802">
        <f>O21+J22-M22</f>
        <v/>
      </c>
      <c r="P22" s="803" t="inlineStr">
        <is>
          <t>2월 송금</t>
        </is>
      </c>
      <c r="Q22" s="804" t="n"/>
      <c r="R22" s="804" t="n"/>
      <c r="S22" s="805">
        <f>S19-M22+J22</f>
        <v/>
      </c>
      <c r="T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</row>
    <row r="23" ht="12" customFormat="1" customHeight="1" s="830">
      <c r="A23" s="80" t="n"/>
      <c r="B23" s="875" t="n">
        <v>45733</v>
      </c>
      <c r="C23" s="144" t="inlineStr">
        <is>
          <t>은행수수료</t>
        </is>
      </c>
      <c r="D23" s="149" t="n"/>
      <c r="E23" s="145" t="n">
        <v>3</v>
      </c>
      <c r="F23" s="253" t="inlineStr">
        <is>
          <t>해외지사비</t>
        </is>
      </c>
      <c r="G23" s="82" t="n"/>
      <c r="H23" s="187" t="n"/>
      <c r="I23" s="798" t="n"/>
      <c r="J23" s="187" t="n"/>
      <c r="K23" s="799" t="n">
        <v>7.2</v>
      </c>
      <c r="L23" s="800">
        <f>#REF!</f>
        <v/>
      </c>
      <c r="M23" s="905">
        <f>K23/L23</f>
        <v/>
      </c>
      <c r="N23" s="802">
        <f>N22+H23-K23</f>
        <v/>
      </c>
      <c r="O23" s="802">
        <f>O22+J23-M23</f>
        <v/>
      </c>
      <c r="P23" s="803" t="inlineStr">
        <is>
          <t>2월 송금</t>
        </is>
      </c>
      <c r="Q23" s="804" t="n"/>
      <c r="R23" s="804" t="n"/>
      <c r="S23" s="805">
        <f>S22-M23+J23</f>
        <v/>
      </c>
      <c r="T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</row>
    <row r="24" ht="12" customFormat="1" customHeight="1" s="830">
      <c r="A24" s="80" t="n"/>
      <c r="B24" s="875" t="n">
        <v>45733</v>
      </c>
      <c r="C24" s="177" t="inlineStr">
        <is>
          <t>사무실 주차비</t>
        </is>
      </c>
      <c r="D24" s="149" t="n"/>
      <c r="E24" s="145" t="n">
        <v>4</v>
      </c>
      <c r="F24" s="253" t="inlineStr">
        <is>
          <t>여비교통비</t>
        </is>
      </c>
      <c r="G24" s="82" t="inlineStr">
        <is>
          <t>해외</t>
        </is>
      </c>
      <c r="H24" s="187" t="n"/>
      <c r="I24" s="798" t="n"/>
      <c r="J24" s="187" t="n"/>
      <c r="K24" s="903" t="n">
        <v>1600</v>
      </c>
      <c r="L24" s="800">
        <f>#REF!</f>
        <v/>
      </c>
      <c r="M24" s="905">
        <f>K24/L24</f>
        <v/>
      </c>
      <c r="N24" s="802">
        <f>N23+H24-K24</f>
        <v/>
      </c>
      <c r="O24" s="802">
        <f>O23+J24-M24</f>
        <v/>
      </c>
      <c r="P24" s="803" t="inlineStr">
        <is>
          <t>2월 송금</t>
        </is>
      </c>
      <c r="Q24" s="804" t="n"/>
      <c r="R24" s="804" t="n"/>
      <c r="S24" s="805">
        <f>S23-M24+J24</f>
        <v/>
      </c>
      <c r="T24" s="698" t="n"/>
      <c r="V24" s="698" t="n"/>
      <c r="W24" s="698" t="n"/>
      <c r="X24" s="698" t="n"/>
      <c r="Y24" s="698" t="n"/>
      <c r="Z24" s="698" t="n"/>
      <c r="AA24" s="698" t="n"/>
      <c r="AB24" s="698" t="n"/>
      <c r="AC24" s="698" t="n"/>
    </row>
    <row r="25" ht="12" customFormat="1" customHeight="1" s="830">
      <c r="A25" s="80" t="n"/>
      <c r="B25" s="875" t="n">
        <v>45733</v>
      </c>
      <c r="C25" s="144" t="inlineStr">
        <is>
          <t>은행수수료</t>
        </is>
      </c>
      <c r="D25" s="149" t="n"/>
      <c r="E25" s="145" t="n">
        <v>5</v>
      </c>
      <c r="F25" s="253" t="inlineStr">
        <is>
          <t>해외지사비</t>
        </is>
      </c>
      <c r="G25" s="82" t="n"/>
      <c r="H25" s="187" t="n"/>
      <c r="I25" s="798" t="n"/>
      <c r="J25" s="187" t="n"/>
      <c r="K25" s="799" t="n">
        <v>3.6</v>
      </c>
      <c r="L25" s="800">
        <f>#REF!</f>
        <v/>
      </c>
      <c r="M25" s="905">
        <f>K25/L25</f>
        <v/>
      </c>
      <c r="N25" s="802">
        <f>N24+H25-K25</f>
        <v/>
      </c>
      <c r="O25" s="802">
        <f>O24+J25-M25</f>
        <v/>
      </c>
      <c r="P25" s="803" t="inlineStr">
        <is>
          <t>2월 송금</t>
        </is>
      </c>
      <c r="Q25" s="804" t="n"/>
      <c r="R25" s="804" t="n"/>
      <c r="S25" s="805">
        <f>S24-M25+J25</f>
        <v/>
      </c>
      <c r="T25" s="698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</row>
    <row r="26" ht="11.25" customFormat="1" customHeight="1" s="688">
      <c r="A26" s="80" t="n"/>
      <c r="B26" s="875" t="n">
        <v>45737</v>
      </c>
      <c r="C26" s="177" t="inlineStr">
        <is>
          <t>이자</t>
        </is>
      </c>
      <c r="D26" s="149" t="n"/>
      <c r="E26" s="145" t="n">
        <v>6</v>
      </c>
      <c r="F26" s="253" t="inlineStr">
        <is>
          <t>잡이익</t>
        </is>
      </c>
      <c r="G26" s="82" t="n"/>
      <c r="H26" s="285" t="n">
        <v>103.37</v>
      </c>
      <c r="I26" s="906">
        <f>#REF!</f>
        <v/>
      </c>
      <c r="J26" s="283" t="n">
        <v>14.17</v>
      </c>
      <c r="K26" s="799" t="n"/>
      <c r="L26" s="800">
        <f>#REF!</f>
        <v/>
      </c>
      <c r="M26" s="905">
        <f>K26/L26</f>
        <v/>
      </c>
      <c r="N26" s="802">
        <f>N25+H26-K26</f>
        <v/>
      </c>
      <c r="O26" s="802">
        <f>O25+J26-M26</f>
        <v/>
      </c>
      <c r="P26" s="803" t="inlineStr">
        <is>
          <t>2월 송금</t>
        </is>
      </c>
      <c r="Q26" s="804" t="n"/>
      <c r="R26" s="804" t="n"/>
      <c r="S26" s="805">
        <f>S25-M26+J26</f>
        <v/>
      </c>
      <c r="T26" s="698" t="n"/>
      <c r="U26" s="830" t="n"/>
      <c r="V26" s="698" t="n"/>
      <c r="W26" s="698" t="n"/>
      <c r="X26" s="698" t="n"/>
      <c r="Y26" s="698" t="n"/>
      <c r="Z26" s="698" t="n"/>
      <c r="AA26" s="698" t="n"/>
      <c r="AB26" s="698" t="n"/>
      <c r="AC26" s="698" t="n"/>
    </row>
    <row r="27" ht="11.25" customFormat="1" customHeight="1" s="688">
      <c r="A27" s="80" t="n"/>
      <c r="B27" s="875" t="n">
        <v>45737</v>
      </c>
      <c r="C27" s="177" t="inlineStr">
        <is>
          <t>세무대행비</t>
        </is>
      </c>
      <c r="D27" s="149" t="n"/>
      <c r="E27" s="145" t="n">
        <v>7</v>
      </c>
      <c r="F27" s="253" t="inlineStr">
        <is>
          <t>해외지사비</t>
        </is>
      </c>
      <c r="G27" s="82" t="n"/>
      <c r="H27" s="187" t="n"/>
      <c r="I27" s="798" t="n"/>
      <c r="J27" s="187" t="n"/>
      <c r="K27" s="903" t="n">
        <v>1010</v>
      </c>
      <c r="L27" s="800">
        <f>#REF!</f>
        <v/>
      </c>
      <c r="M27" s="905">
        <f>K27/L27</f>
        <v/>
      </c>
      <c r="N27" s="802">
        <f>N26+H27-K27</f>
        <v/>
      </c>
      <c r="O27" s="802">
        <f>O26+J27-M27</f>
        <v/>
      </c>
      <c r="P27" s="803" t="inlineStr">
        <is>
          <t>2월 송금</t>
        </is>
      </c>
      <c r="Q27" s="804" t="n"/>
      <c r="R27" s="804" t="n"/>
      <c r="S27" s="805">
        <f>S26-M27+J27</f>
        <v/>
      </c>
      <c r="T27" s="698" t="n"/>
      <c r="U27" s="830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</row>
    <row r="28" ht="11.25" customFormat="1" customHeight="1" s="688">
      <c r="A28" s="80" t="n"/>
      <c r="B28" s="875" t="n">
        <v>45737</v>
      </c>
      <c r="C28" s="144" t="inlineStr">
        <is>
          <t>은행수수료</t>
        </is>
      </c>
      <c r="D28" s="149" t="n"/>
      <c r="E28" s="145" t="n">
        <v>8</v>
      </c>
      <c r="F28" s="253" t="inlineStr">
        <is>
          <t>해외지사비</t>
        </is>
      </c>
      <c r="G28" s="82" t="n"/>
      <c r="H28" s="187" t="n"/>
      <c r="I28" s="798" t="n"/>
      <c r="J28" s="187" t="n"/>
      <c r="K28" s="903" t="n">
        <v>3.6</v>
      </c>
      <c r="L28" s="800">
        <f>#REF!</f>
        <v/>
      </c>
      <c r="M28" s="905">
        <f>K28/L28</f>
        <v/>
      </c>
      <c r="N28" s="802">
        <f>N27+H28-K28</f>
        <v/>
      </c>
      <c r="O28" s="802">
        <f>O27+J28-M28</f>
        <v/>
      </c>
      <c r="P28" s="803" t="inlineStr">
        <is>
          <t>2월 송금</t>
        </is>
      </c>
      <c r="Q28" s="804" t="n"/>
      <c r="R28" s="804" t="n"/>
      <c r="S28" s="805">
        <f>S27-M28+J28</f>
        <v/>
      </c>
      <c r="T28" s="698" t="n"/>
      <c r="U28" s="830" t="n"/>
      <c r="V28" s="698" t="n"/>
      <c r="W28" s="698" t="n"/>
      <c r="X28" s="698" t="n"/>
      <c r="Y28" s="698" t="n"/>
      <c r="Z28" s="698" t="n"/>
      <c r="AA28" s="698" t="n"/>
      <c r="AB28" s="698" t="n"/>
      <c r="AC28" s="698" t="n"/>
    </row>
    <row r="29" ht="11.25" customFormat="1" customHeight="1" s="688">
      <c r="A29" s="80" t="n"/>
      <c r="B29" s="875" t="n">
        <v>45737</v>
      </c>
      <c r="C29" s="144" t="inlineStr">
        <is>
          <t>차량 Rent비</t>
        </is>
      </c>
      <c r="D29" s="149" t="n"/>
      <c r="E29" s="149" t="n">
        <v>9</v>
      </c>
      <c r="F29" s="253" t="inlineStr">
        <is>
          <t>지급임차료</t>
        </is>
      </c>
      <c r="G29" s="82" t="inlineStr">
        <is>
          <t>차량임차료</t>
        </is>
      </c>
      <c r="H29" s="150" t="n"/>
      <c r="I29" s="189" t="n"/>
      <c r="J29" s="189" t="n"/>
      <c r="K29" s="799" t="n">
        <v>10500</v>
      </c>
      <c r="L29" s="800">
        <f>#REF!</f>
        <v/>
      </c>
      <c r="M29" s="905">
        <f>K29/L29</f>
        <v/>
      </c>
      <c r="N29" s="802">
        <f>N28+H29-K29</f>
        <v/>
      </c>
      <c r="O29" s="802">
        <f>O28+J29-M29</f>
        <v/>
      </c>
      <c r="P29" s="803" t="inlineStr">
        <is>
          <t>2월 송금</t>
        </is>
      </c>
      <c r="Q29" s="804" t="n"/>
      <c r="R29" s="804" t="n"/>
      <c r="S29" s="805">
        <f>S28-M29+J29</f>
        <v/>
      </c>
      <c r="T29" s="698" t="n"/>
      <c r="U29" s="830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</row>
    <row r="30" ht="11.25" customFormat="1" customHeight="1" s="688">
      <c r="A30" s="80" t="n"/>
      <c r="B30" s="875" t="n">
        <v>45737</v>
      </c>
      <c r="C30" s="144" t="inlineStr">
        <is>
          <t>차량 기사비</t>
        </is>
      </c>
      <c r="D30" s="149" t="n"/>
      <c r="E30" s="149" t="n">
        <v>9</v>
      </c>
      <c r="F30" s="253" t="inlineStr">
        <is>
          <t>해외지사비</t>
        </is>
      </c>
      <c r="G30" s="82" t="n"/>
      <c r="H30" s="150" t="n"/>
      <c r="I30" s="189" t="n"/>
      <c r="J30" s="189" t="n"/>
      <c r="K30" s="799" t="n">
        <v>6000</v>
      </c>
      <c r="L30" s="800">
        <f>#REF!</f>
        <v/>
      </c>
      <c r="M30" s="905">
        <f>K30/L30</f>
        <v/>
      </c>
      <c r="N30" s="802">
        <f>N29+H30-K30</f>
        <v/>
      </c>
      <c r="O30" s="802">
        <f>O29+J30-M30</f>
        <v/>
      </c>
      <c r="P30" s="803" t="inlineStr">
        <is>
          <t>2월 송금</t>
        </is>
      </c>
      <c r="Q30" s="804" t="n"/>
      <c r="R30" s="804" t="n"/>
      <c r="S30" s="805">
        <f>S29-M30+J30</f>
        <v/>
      </c>
      <c r="T30" s="698" t="n"/>
      <c r="U30" s="830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</row>
    <row r="31" ht="11.25" customFormat="1" customHeight="1" s="688">
      <c r="A31" s="80" t="n"/>
      <c r="B31" s="875" t="n">
        <v>45737</v>
      </c>
      <c r="C31" s="144" t="inlineStr">
        <is>
          <t>기사 야근비용</t>
        </is>
      </c>
      <c r="D31" s="149" t="n"/>
      <c r="E31" s="149" t="n">
        <v>9</v>
      </c>
      <c r="F31" s="253" t="inlineStr">
        <is>
          <t>해외지사비</t>
        </is>
      </c>
      <c r="G31" s="82" t="n"/>
      <c r="H31" s="150" t="n"/>
      <c r="I31" s="189" t="n"/>
      <c r="J31" s="189" t="n"/>
      <c r="K31" s="799" t="n">
        <v>760</v>
      </c>
      <c r="L31" s="800">
        <f>#REF!</f>
        <v/>
      </c>
      <c r="M31" s="905">
        <f>K31/L31</f>
        <v/>
      </c>
      <c r="N31" s="802">
        <f>N30+H31-K31</f>
        <v/>
      </c>
      <c r="O31" s="802">
        <f>O30+J31-M31</f>
        <v/>
      </c>
      <c r="P31" s="803" t="inlineStr">
        <is>
          <t>2월 송금</t>
        </is>
      </c>
      <c r="Q31" s="804" t="n"/>
      <c r="R31" s="804" t="n"/>
      <c r="S31" s="805">
        <f>S30-M31+J31</f>
        <v/>
      </c>
      <c r="T31" s="698" t="n"/>
      <c r="U31" s="830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</row>
    <row r="32" ht="11.25" customFormat="1" customHeight="1" s="688">
      <c r="A32" s="80" t="n"/>
      <c r="B32" s="875" t="n">
        <v>45737</v>
      </c>
      <c r="C32" s="144" t="inlineStr">
        <is>
          <t>차량 Rent비</t>
        </is>
      </c>
      <c r="D32" s="149" t="n"/>
      <c r="E32" s="149" t="n">
        <v>9</v>
      </c>
      <c r="F32" s="253" t="inlineStr">
        <is>
          <t>지급임차료</t>
        </is>
      </c>
      <c r="G32" s="82" t="inlineStr">
        <is>
          <t>차량임차료</t>
        </is>
      </c>
      <c r="H32" s="150" t="n"/>
      <c r="I32" s="189" t="n"/>
      <c r="J32" s="189" t="n"/>
      <c r="K32" s="799" t="n">
        <v>7000</v>
      </c>
      <c r="L32" s="800">
        <f>#REF!</f>
        <v/>
      </c>
      <c r="M32" s="905">
        <f>K32/L32</f>
        <v/>
      </c>
      <c r="N32" s="802">
        <f>N31+H32-K32</f>
        <v/>
      </c>
      <c r="O32" s="802">
        <f>O31+J32-M32</f>
        <v/>
      </c>
      <c r="P32" s="803" t="inlineStr">
        <is>
          <t>2월 송금</t>
        </is>
      </c>
      <c r="Q32" s="804" t="n"/>
      <c r="R32" s="804" t="n"/>
      <c r="S32" s="805">
        <f>S31-M32+J32</f>
        <v/>
      </c>
      <c r="T32" s="698" t="n"/>
      <c r="U32" s="830" t="n"/>
      <c r="V32" s="698" t="n"/>
      <c r="W32" s="698" t="n"/>
      <c r="X32" s="698" t="n"/>
      <c r="Y32" s="698" t="n"/>
      <c r="Z32" s="698" t="n"/>
      <c r="AA32" s="698" t="n"/>
      <c r="AB32" s="698" t="n"/>
      <c r="AC32" s="698" t="n"/>
    </row>
    <row r="33" ht="11.25" customFormat="1" customHeight="1" s="688">
      <c r="A33" s="80" t="n"/>
      <c r="B33" s="875" t="n">
        <v>45737</v>
      </c>
      <c r="C33" s="144" t="inlineStr">
        <is>
          <t>차량 기사비</t>
        </is>
      </c>
      <c r="D33" s="149" t="n"/>
      <c r="E33" s="149" t="n">
        <v>9</v>
      </c>
      <c r="F33" s="253" t="inlineStr">
        <is>
          <t>해외지사비</t>
        </is>
      </c>
      <c r="G33" s="82" t="n"/>
      <c r="H33" s="150" t="n"/>
      <c r="I33" s="189" t="n"/>
      <c r="J33" s="189" t="n"/>
      <c r="K33" s="799" t="n">
        <v>6000</v>
      </c>
      <c r="L33" s="800">
        <f>#REF!</f>
        <v/>
      </c>
      <c r="M33" s="905">
        <f>K33/L33</f>
        <v/>
      </c>
      <c r="N33" s="802">
        <f>N32+H33-K33</f>
        <v/>
      </c>
      <c r="O33" s="802">
        <f>O32+J33-M33</f>
        <v/>
      </c>
      <c r="P33" s="803" t="inlineStr">
        <is>
          <t>2월 송금</t>
        </is>
      </c>
      <c r="Q33" s="804" t="n"/>
      <c r="R33" s="804" t="n"/>
      <c r="S33" s="805">
        <f>S32-M33+J33</f>
        <v/>
      </c>
      <c r="T33" s="698" t="n"/>
      <c r="U33" s="830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</row>
    <row r="34" ht="11.25" customFormat="1" customHeight="1" s="688">
      <c r="A34" s="80" t="n"/>
      <c r="B34" s="875" t="n">
        <v>45737</v>
      </c>
      <c r="C34" s="144" t="inlineStr">
        <is>
          <t>기사 야근비용</t>
        </is>
      </c>
      <c r="D34" s="149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9" t="n">
        <v>900</v>
      </c>
      <c r="L34" s="800">
        <f>#REF!</f>
        <v/>
      </c>
      <c r="M34" s="905">
        <f>K34/L34</f>
        <v/>
      </c>
      <c r="N34" s="802">
        <f>N33+H34-K34</f>
        <v/>
      </c>
      <c r="O34" s="802">
        <f>O33+J34-M34</f>
        <v/>
      </c>
      <c r="P34" s="803" t="inlineStr">
        <is>
          <t>2월 송금</t>
        </is>
      </c>
      <c r="Q34" s="804" t="n"/>
      <c r="R34" s="804" t="n"/>
      <c r="S34" s="805">
        <f>S33-M34+J34</f>
        <v/>
      </c>
      <c r="T34" s="698" t="n"/>
      <c r="U34" s="830" t="n"/>
      <c r="V34" s="698" t="n"/>
      <c r="W34" s="698" t="n"/>
      <c r="X34" s="698" t="n"/>
      <c r="Y34" s="698" t="n"/>
      <c r="Z34" s="698" t="n"/>
      <c r="AA34" s="698" t="n"/>
      <c r="AB34" s="698" t="n"/>
      <c r="AC34" s="698" t="n"/>
    </row>
    <row r="35" ht="11.25" customFormat="1" customHeight="1" s="688">
      <c r="A35" s="80" t="n"/>
      <c r="B35" s="875" t="n">
        <v>45737</v>
      </c>
      <c r="C35" s="144" t="inlineStr">
        <is>
          <t>은행수수료</t>
        </is>
      </c>
      <c r="D35" s="149" t="n"/>
      <c r="E35" s="149" t="n">
        <v>10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9" t="n">
        <v>7.2</v>
      </c>
      <c r="L35" s="800">
        <f>#REF!</f>
        <v/>
      </c>
      <c r="M35" s="905">
        <f>K35/L35</f>
        <v/>
      </c>
      <c r="N35" s="802">
        <f>N34+H35-K35</f>
        <v/>
      </c>
      <c r="O35" s="802">
        <f>O34+J35-M35</f>
        <v/>
      </c>
      <c r="P35" s="803" t="inlineStr">
        <is>
          <t>2월 송금</t>
        </is>
      </c>
      <c r="Q35" s="804" t="n"/>
      <c r="R35" s="804" t="n"/>
      <c r="S35" s="805">
        <f>S34-M35+J35</f>
        <v/>
      </c>
      <c r="T35" s="698" t="n"/>
      <c r="U35" s="830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</row>
    <row r="36" ht="11.25" customFormat="1" customHeight="1" s="688">
      <c r="A36" s="80" t="n"/>
      <c r="B36" s="875" t="n">
        <v>45737</v>
      </c>
      <c r="C36" s="144" t="inlineStr">
        <is>
          <t>신순연_사무실 wfi, 통신비</t>
        </is>
      </c>
      <c r="D36" s="149" t="n"/>
      <c r="E36" s="145" t="n">
        <v>11</v>
      </c>
      <c r="F36" s="253" t="inlineStr">
        <is>
          <t>통신비</t>
        </is>
      </c>
      <c r="G36" s="82" t="inlineStr">
        <is>
          <t>기타</t>
        </is>
      </c>
      <c r="H36" s="187" t="n"/>
      <c r="I36" s="798" t="n"/>
      <c r="J36" s="187" t="n"/>
      <c r="K36" s="799" t="n">
        <v>419</v>
      </c>
      <c r="L36" s="800">
        <f>#REF!</f>
        <v/>
      </c>
      <c r="M36" s="905" t="n">
        <v>57.44</v>
      </c>
      <c r="N36" s="802">
        <f>N35+H36-K36</f>
        <v/>
      </c>
      <c r="O36" s="802">
        <f>O35+J36-M36</f>
        <v/>
      </c>
      <c r="P36" s="803" t="inlineStr">
        <is>
          <t>2월 송금</t>
        </is>
      </c>
      <c r="Q36" s="804" t="n"/>
      <c r="R36" s="803" t="inlineStr">
        <is>
          <t>신순연</t>
        </is>
      </c>
      <c r="S36" s="805">
        <f>S35-M36+J36</f>
        <v/>
      </c>
      <c r="T36" s="698" t="n"/>
      <c r="U36" s="830" t="n"/>
      <c r="V36" s="698" t="n"/>
      <c r="W36" s="698" t="n"/>
      <c r="X36" s="698" t="n"/>
      <c r="Y36" s="698" t="n"/>
      <c r="Z36" s="698" t="n"/>
      <c r="AA36" s="698" t="n"/>
      <c r="AB36" s="698" t="n"/>
      <c r="AC36" s="698" t="n"/>
    </row>
    <row r="37" ht="11.25" customFormat="1" customHeight="1" s="688">
      <c r="A37" s="80" t="n"/>
      <c r="B37" s="875" t="n">
        <v>45737</v>
      </c>
      <c r="C37" s="144" t="inlineStr">
        <is>
          <t>은행수수료</t>
        </is>
      </c>
      <c r="D37" s="149" t="n"/>
      <c r="E37" s="145" t="n">
        <v>12</v>
      </c>
      <c r="F37" s="253" t="inlineStr">
        <is>
          <t>해외지사비</t>
        </is>
      </c>
      <c r="G37" s="82" t="n"/>
      <c r="H37" s="187" t="n"/>
      <c r="I37" s="798" t="n"/>
      <c r="J37" s="187" t="n"/>
      <c r="K37" s="799" t="n">
        <v>3.6</v>
      </c>
      <c r="L37" s="800">
        <f>#REF!</f>
        <v/>
      </c>
      <c r="M37" s="905">
        <f>K37/L37</f>
        <v/>
      </c>
      <c r="N37" s="802">
        <f>N36+H37-K37</f>
        <v/>
      </c>
      <c r="O37" s="802">
        <f>O36+J37-M37</f>
        <v/>
      </c>
      <c r="P37" s="803" t="inlineStr">
        <is>
          <t>2월 송금</t>
        </is>
      </c>
      <c r="Q37" s="804" t="n"/>
      <c r="R37" s="803" t="inlineStr">
        <is>
          <t>신순연</t>
        </is>
      </c>
      <c r="S37" s="805">
        <f>S36-M37+J37</f>
        <v/>
      </c>
      <c r="T37" s="698" t="n"/>
      <c r="U37" s="830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</row>
    <row r="38" ht="11.25" customFormat="1" customHeight="1" s="688">
      <c r="A38" s="80" t="n"/>
      <c r="B38" s="875" t="n">
        <v>45737</v>
      </c>
      <c r="C38" s="144" t="inlineStr">
        <is>
          <t>시내교통비</t>
        </is>
      </c>
      <c r="D38" s="149" t="n"/>
      <c r="E38" s="145" t="n">
        <v>13</v>
      </c>
      <c r="F38" s="253" t="inlineStr">
        <is>
          <t>여비교통비</t>
        </is>
      </c>
      <c r="G38" s="82" t="inlineStr">
        <is>
          <t>해외</t>
        </is>
      </c>
      <c r="H38" s="187" t="n"/>
      <c r="I38" s="798" t="n"/>
      <c r="J38" s="187" t="n"/>
      <c r="K38" s="799" t="n">
        <v>428.18</v>
      </c>
      <c r="L38" s="800">
        <f>#REF!</f>
        <v/>
      </c>
      <c r="M38" s="905">
        <f>K38/L38</f>
        <v/>
      </c>
      <c r="N38" s="802">
        <f>N37+H38-K38</f>
        <v/>
      </c>
      <c r="O38" s="802">
        <f>O37+J38-M38</f>
        <v/>
      </c>
      <c r="P38" s="803" t="inlineStr">
        <is>
          <t>2월 송금</t>
        </is>
      </c>
      <c r="Q38" s="804" t="n"/>
      <c r="R38" s="803" t="inlineStr">
        <is>
          <t>Pan Shi Qiang</t>
        </is>
      </c>
      <c r="S38" s="805">
        <f>S37-M38+J38</f>
        <v/>
      </c>
      <c r="T38" s="698" t="n"/>
      <c r="U38" s="830" t="n"/>
      <c r="V38" s="698" t="n"/>
      <c r="W38" s="698" t="n"/>
      <c r="X38" s="698" t="n"/>
      <c r="Y38" s="698" t="n"/>
      <c r="Z38" s="698" t="n"/>
      <c r="AA38" s="698" t="n"/>
      <c r="AB38" s="698" t="n"/>
      <c r="AC38" s="698" t="n"/>
    </row>
    <row r="39" ht="11.25" customFormat="1" customHeight="1" s="688">
      <c r="A39" s="80" t="n"/>
      <c r="B39" s="875" t="n">
        <v>45737</v>
      </c>
      <c r="C39" s="144" t="inlineStr">
        <is>
          <t>출장비</t>
        </is>
      </c>
      <c r="D39" s="149" t="n"/>
      <c r="E39" s="145" t="n">
        <v>14</v>
      </c>
      <c r="F39" s="253" t="inlineStr">
        <is>
          <t>여비교통비</t>
        </is>
      </c>
      <c r="G39" s="82" t="inlineStr">
        <is>
          <t>해외</t>
        </is>
      </c>
      <c r="H39" s="187" t="n"/>
      <c r="I39" s="798" t="n"/>
      <c r="J39" s="187" t="n"/>
      <c r="K39" s="799" t="n">
        <v>2164.32</v>
      </c>
      <c r="L39" s="800">
        <f>#REF!</f>
        <v/>
      </c>
      <c r="M39" s="905">
        <f>K39/L39</f>
        <v/>
      </c>
      <c r="N39" s="802">
        <f>N38+H39-K39</f>
        <v/>
      </c>
      <c r="O39" s="802">
        <f>O38+J39-M39</f>
        <v/>
      </c>
      <c r="P39" s="803" t="inlineStr">
        <is>
          <t>2월 송금</t>
        </is>
      </c>
      <c r="Q39" s="804" t="n"/>
      <c r="R39" s="803" t="inlineStr">
        <is>
          <t>Pan Shi Qiang</t>
        </is>
      </c>
      <c r="S39" s="805">
        <f>S38-M39+J39</f>
        <v/>
      </c>
      <c r="T39" s="698" t="n"/>
      <c r="U39" s="830" t="n"/>
      <c r="V39" s="698" t="n"/>
      <c r="W39" s="698" t="n"/>
      <c r="X39" s="698" t="n"/>
      <c r="Y39" s="698" t="n"/>
      <c r="Z39" s="698" t="n"/>
      <c r="AA39" s="698" t="n"/>
      <c r="AB39" s="698" t="n"/>
      <c r="AC39" s="698" t="n"/>
    </row>
    <row r="40" ht="11.25" customFormat="1" customHeight="1" s="688">
      <c r="A40" s="80" t="n"/>
      <c r="B40" s="875" t="n">
        <v>45737</v>
      </c>
      <c r="C40" s="144" t="inlineStr">
        <is>
          <t>택배비</t>
        </is>
      </c>
      <c r="D40" s="149" t="n"/>
      <c r="E40" s="145" t="n">
        <v>15</v>
      </c>
      <c r="F40" s="253" t="inlineStr">
        <is>
          <t>해외지사비</t>
        </is>
      </c>
      <c r="G40" s="82" t="n"/>
      <c r="H40" s="187" t="n"/>
      <c r="I40" s="798" t="n"/>
      <c r="J40" s="187" t="n"/>
      <c r="K40" s="799" t="n">
        <v>142.4</v>
      </c>
      <c r="L40" s="800">
        <f>#REF!</f>
        <v/>
      </c>
      <c r="M40" s="905">
        <f>K40/L40</f>
        <v/>
      </c>
      <c r="N40" s="802">
        <f>N39+H40-K40</f>
        <v/>
      </c>
      <c r="O40" s="802">
        <f>O39+J40-M40</f>
        <v/>
      </c>
      <c r="P40" s="803" t="inlineStr">
        <is>
          <t>2월 송금</t>
        </is>
      </c>
      <c r="Q40" s="804" t="n"/>
      <c r="R40" s="803" t="inlineStr">
        <is>
          <t>Pan Shi Qiang</t>
        </is>
      </c>
      <c r="S40" s="805">
        <f>S39-M40+J40</f>
        <v/>
      </c>
      <c r="T40" s="698" t="n"/>
      <c r="U40" s="830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</row>
    <row r="41" ht="11.25" customFormat="1" customHeight="1" s="688">
      <c r="A41" s="80" t="n"/>
      <c r="B41" s="875" t="n">
        <v>45737</v>
      </c>
      <c r="C41" s="144" t="inlineStr">
        <is>
          <t>통신비</t>
        </is>
      </c>
      <c r="D41" s="149" t="n"/>
      <c r="E41" s="145" t="n">
        <v>16</v>
      </c>
      <c r="F41" s="253" t="inlineStr">
        <is>
          <t>통신비</t>
        </is>
      </c>
      <c r="G41" s="82" t="inlineStr">
        <is>
          <t>기타</t>
        </is>
      </c>
      <c r="H41" s="187" t="n"/>
      <c r="I41" s="798" t="n"/>
      <c r="J41" s="187" t="n"/>
      <c r="K41" s="799" t="n">
        <v>118.8</v>
      </c>
      <c r="L41" s="800">
        <f>#REF!</f>
        <v/>
      </c>
      <c r="M41" s="905">
        <f>K41/L41</f>
        <v/>
      </c>
      <c r="N41" s="802">
        <f>N40+H41-K41</f>
        <v/>
      </c>
      <c r="O41" s="802">
        <f>O40+J41-M41</f>
        <v/>
      </c>
      <c r="P41" s="803" t="inlineStr">
        <is>
          <t>2월 송금</t>
        </is>
      </c>
      <c r="Q41" s="804" t="n"/>
      <c r="R41" s="803" t="inlineStr">
        <is>
          <t>Pan Shi Qiang</t>
        </is>
      </c>
      <c r="S41" s="805">
        <f>S40-M41+J41</f>
        <v/>
      </c>
      <c r="T41" s="698" t="n"/>
      <c r="U41" s="830" t="n"/>
      <c r="V41" s="698" t="n"/>
      <c r="W41" s="698" t="n"/>
      <c r="X41" s="698" t="n"/>
      <c r="Y41" s="698" t="n"/>
      <c r="Z41" s="698" t="n"/>
      <c r="AA41" s="698" t="n"/>
      <c r="AB41" s="698" t="n"/>
      <c r="AC41" s="698" t="n"/>
    </row>
    <row r="42" ht="11.25" customFormat="1" customHeight="1" s="688">
      <c r="A42" s="80" t="n"/>
      <c r="B42" s="875" t="n">
        <v>45737</v>
      </c>
      <c r="C42" s="144" t="inlineStr">
        <is>
          <t>은행수수료</t>
        </is>
      </c>
      <c r="D42" s="149" t="n"/>
      <c r="E42" s="145" t="n">
        <v>17</v>
      </c>
      <c r="F42" s="253" t="inlineStr">
        <is>
          <t>해외지사비</t>
        </is>
      </c>
      <c r="G42" s="82" t="n"/>
      <c r="H42" s="187" t="n"/>
      <c r="I42" s="798" t="n"/>
      <c r="J42" s="187" t="n"/>
      <c r="K42" s="799" t="n">
        <v>3.6</v>
      </c>
      <c r="L42" s="800">
        <f>#REF!</f>
        <v/>
      </c>
      <c r="M42" s="905">
        <f>K42/L42</f>
        <v/>
      </c>
      <c r="N42" s="802">
        <f>N41+H42-K42</f>
        <v/>
      </c>
      <c r="O42" s="802">
        <f>O41+J42-M42</f>
        <v/>
      </c>
      <c r="P42" s="803" t="inlineStr">
        <is>
          <t>2월 송금</t>
        </is>
      </c>
      <c r="Q42" s="804" t="n"/>
      <c r="R42" s="803" t="inlineStr">
        <is>
          <t>Pan Shi Qiang</t>
        </is>
      </c>
      <c r="S42" s="805">
        <f>S41-M42+J42</f>
        <v/>
      </c>
      <c r="T42" s="698" t="n"/>
      <c r="U42" s="830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</row>
    <row r="43" ht="11.25" customFormat="1" customHeight="1" s="688">
      <c r="A43" s="80" t="n"/>
      <c r="B43" s="875" t="n">
        <v>45737</v>
      </c>
      <c r="C43" s="144" t="inlineStr">
        <is>
          <t>출장비</t>
        </is>
      </c>
      <c r="D43" s="149" t="n"/>
      <c r="E43" s="145" t="n">
        <v>18</v>
      </c>
      <c r="F43" s="253" t="inlineStr">
        <is>
          <t>여비교통비</t>
        </is>
      </c>
      <c r="G43" s="82" t="inlineStr">
        <is>
          <t>해외</t>
        </is>
      </c>
      <c r="H43" s="187" t="n"/>
      <c r="I43" s="798" t="n"/>
      <c r="J43" s="187" t="n"/>
      <c r="K43" s="799" t="n">
        <v>6566.89</v>
      </c>
      <c r="L43" s="800">
        <f>#REF!</f>
        <v/>
      </c>
      <c r="M43" s="905">
        <f>K43/L43</f>
        <v/>
      </c>
      <c r="N43" s="802">
        <f>N42+H43-K43</f>
        <v/>
      </c>
      <c r="O43" s="802">
        <f>O42+J43-M43</f>
        <v/>
      </c>
      <c r="P43" s="803" t="inlineStr">
        <is>
          <t>2월 송금</t>
        </is>
      </c>
      <c r="Q43" s="804" t="n"/>
      <c r="R43" s="803" t="inlineStr">
        <is>
          <t>Zhang Liang</t>
        </is>
      </c>
      <c r="S43" s="805">
        <f>S42-M43+J43</f>
        <v/>
      </c>
      <c r="T43" s="698" t="n"/>
      <c r="U43" s="830" t="n"/>
      <c r="V43" s="698" t="n"/>
      <c r="W43" s="698" t="n"/>
      <c r="X43" s="698" t="n"/>
      <c r="Y43" s="698" t="n"/>
      <c r="Z43" s="698" t="n"/>
      <c r="AA43" s="698" t="n"/>
      <c r="AB43" s="698" t="n"/>
      <c r="AC43" s="698" t="n"/>
    </row>
    <row r="44" ht="11.25" customFormat="1" customHeight="1" s="688">
      <c r="A44" s="80" t="n"/>
      <c r="B44" s="875" t="n">
        <v>45737</v>
      </c>
      <c r="C44" s="144" t="inlineStr">
        <is>
          <t>시내교통비</t>
        </is>
      </c>
      <c r="D44" s="149" t="n"/>
      <c r="E44" s="145" t="n">
        <v>19</v>
      </c>
      <c r="F44" s="253" t="inlineStr">
        <is>
          <t>여비교통비</t>
        </is>
      </c>
      <c r="G44" s="82" t="inlineStr">
        <is>
          <t>해외</t>
        </is>
      </c>
      <c r="H44" s="187" t="n"/>
      <c r="I44" s="798" t="n"/>
      <c r="J44" s="187" t="n"/>
      <c r="K44" s="878" t="n">
        <v>385.71</v>
      </c>
      <c r="L44" s="800">
        <f>#REF!</f>
        <v/>
      </c>
      <c r="M44" s="905">
        <f>K44/L44</f>
        <v/>
      </c>
      <c r="N44" s="802">
        <f>N43+H44-K44</f>
        <v/>
      </c>
      <c r="O44" s="802">
        <f>O43+J44-M44</f>
        <v/>
      </c>
      <c r="P44" s="803" t="inlineStr">
        <is>
          <t>2월 송금</t>
        </is>
      </c>
      <c r="Q44" s="804" t="n"/>
      <c r="R44" s="803" t="inlineStr">
        <is>
          <t>Zhang Liang</t>
        </is>
      </c>
      <c r="S44" s="805">
        <f>S43-M44+J44</f>
        <v/>
      </c>
      <c r="T44" s="698" t="n"/>
      <c r="U44" s="830" t="n"/>
      <c r="V44" s="698" t="n"/>
      <c r="W44" s="698" t="n"/>
      <c r="X44" s="698" t="n"/>
      <c r="Y44" s="698" t="n"/>
      <c r="Z44" s="698" t="n"/>
      <c r="AA44" s="698" t="n"/>
      <c r="AB44" s="698" t="n"/>
      <c r="AC44" s="698" t="n"/>
    </row>
    <row r="45" ht="11.25" customFormat="1" customHeight="1" s="688">
      <c r="A45" s="80" t="n"/>
      <c r="B45" s="875" t="n">
        <v>45737</v>
      </c>
      <c r="C45" s="144" t="inlineStr">
        <is>
          <t>통신비</t>
        </is>
      </c>
      <c r="D45" s="149" t="n"/>
      <c r="E45" s="145" t="n">
        <v>20</v>
      </c>
      <c r="F45" s="253" t="inlineStr">
        <is>
          <t>통신비</t>
        </is>
      </c>
      <c r="G45" s="82" t="inlineStr">
        <is>
          <t>기타</t>
        </is>
      </c>
      <c r="H45" s="187" t="n"/>
      <c r="I45" s="798" t="n"/>
      <c r="J45" s="187" t="n"/>
      <c r="K45" s="799" t="n">
        <v>316.79</v>
      </c>
      <c r="L45" s="800">
        <f>#REF!</f>
        <v/>
      </c>
      <c r="M45" s="905">
        <f>K45/L45</f>
        <v/>
      </c>
      <c r="N45" s="802">
        <f>N44+H45-K45</f>
        <v/>
      </c>
      <c r="O45" s="802">
        <f>O44+J45-M45</f>
        <v/>
      </c>
      <c r="P45" s="803" t="inlineStr">
        <is>
          <t>2월 송금</t>
        </is>
      </c>
      <c r="Q45" s="804" t="n"/>
      <c r="R45" s="803" t="inlineStr">
        <is>
          <t>Zhang Liang</t>
        </is>
      </c>
      <c r="S45" s="805">
        <f>S44-M45+J45</f>
        <v/>
      </c>
      <c r="T45" s="698" t="n"/>
      <c r="U45" s="830" t="n"/>
      <c r="V45" s="698" t="n"/>
      <c r="W45" s="698" t="n"/>
      <c r="X45" s="698" t="n"/>
      <c r="Y45" s="698" t="n"/>
      <c r="Z45" s="698" t="n"/>
      <c r="AA45" s="698" t="n"/>
      <c r="AB45" s="698" t="n"/>
      <c r="AC45" s="698" t="n"/>
    </row>
    <row r="46" ht="11.25" customFormat="1" customHeight="1" s="688">
      <c r="A46" s="80" t="n"/>
      <c r="B46" s="875" t="n">
        <v>45737</v>
      </c>
      <c r="C46" s="144" t="inlineStr">
        <is>
          <t>업무추진비</t>
        </is>
      </c>
      <c r="D46" s="149" t="n"/>
      <c r="E46" s="145" t="n">
        <v>21</v>
      </c>
      <c r="F46" s="253" t="inlineStr">
        <is>
          <t>업무추진비</t>
        </is>
      </c>
      <c r="G46" s="82" t="inlineStr">
        <is>
          <t>일반</t>
        </is>
      </c>
      <c r="H46" s="187" t="n"/>
      <c r="I46" s="798" t="n"/>
      <c r="J46" s="187" t="n"/>
      <c r="K46" s="799" t="n">
        <v>97</v>
      </c>
      <c r="L46" s="800">
        <f>#REF!</f>
        <v/>
      </c>
      <c r="M46" s="905">
        <f>K46/L46</f>
        <v/>
      </c>
      <c r="N46" s="802">
        <f>N45+H46-K46</f>
        <v/>
      </c>
      <c r="O46" s="802">
        <f>O45+J46-M46</f>
        <v/>
      </c>
      <c r="P46" s="803" t="inlineStr">
        <is>
          <t>2월 송금</t>
        </is>
      </c>
      <c r="Q46" s="804" t="n"/>
      <c r="R46" s="803" t="inlineStr">
        <is>
          <t>Zhang Liang</t>
        </is>
      </c>
      <c r="S46" s="805">
        <f>S45-M46+J46</f>
        <v/>
      </c>
      <c r="T46" s="698" t="n"/>
      <c r="U46" s="830" t="n"/>
      <c r="V46" s="698" t="n"/>
      <c r="W46" s="698" t="n"/>
      <c r="X46" s="698" t="n"/>
      <c r="Y46" s="698" t="n"/>
      <c r="Z46" s="698" t="n"/>
      <c r="AA46" s="698" t="n"/>
      <c r="AB46" s="698" t="n"/>
      <c r="AC46" s="698" t="n"/>
    </row>
    <row r="47" ht="11.25" customFormat="1" customHeight="1" s="688">
      <c r="A47" s="80" t="n"/>
      <c r="B47" s="875" t="n">
        <v>45737</v>
      </c>
      <c r="C47" s="144" t="inlineStr">
        <is>
          <t>사무용픔</t>
        </is>
      </c>
      <c r="D47" s="149" t="n"/>
      <c r="E47" s="145" t="n">
        <v>22</v>
      </c>
      <c r="F47" s="253" t="inlineStr">
        <is>
          <t>해외지사비</t>
        </is>
      </c>
      <c r="G47" s="82" t="n"/>
      <c r="H47" s="187" t="n"/>
      <c r="I47" s="798" t="n"/>
      <c r="J47" s="187" t="n"/>
      <c r="K47" s="799" t="n">
        <v>100.4</v>
      </c>
      <c r="L47" s="800">
        <f>#REF!</f>
        <v/>
      </c>
      <c r="M47" s="905">
        <f>K47/L47</f>
        <v/>
      </c>
      <c r="N47" s="802">
        <f>N46+H47-K47</f>
        <v/>
      </c>
      <c r="O47" s="802">
        <f>O46+J47-M47</f>
        <v/>
      </c>
      <c r="P47" s="803" t="inlineStr">
        <is>
          <t>2월 송금</t>
        </is>
      </c>
      <c r="Q47" s="804" t="n"/>
      <c r="R47" s="803" t="inlineStr">
        <is>
          <t>Zhang Liang</t>
        </is>
      </c>
      <c r="S47" s="805">
        <f>S46-M47+J47</f>
        <v/>
      </c>
      <c r="T47" s="698" t="n"/>
      <c r="U47" s="830" t="n"/>
      <c r="V47" s="698" t="n"/>
      <c r="W47" s="698" t="n"/>
      <c r="X47" s="698" t="n"/>
      <c r="Y47" s="698" t="n"/>
      <c r="Z47" s="698" t="n"/>
      <c r="AA47" s="698" t="n"/>
      <c r="AB47" s="698" t="n"/>
      <c r="AC47" s="698" t="n"/>
    </row>
    <row r="48" ht="11.25" customFormat="1" customHeight="1" s="688">
      <c r="A48" s="80" t="n"/>
      <c r="B48" s="875" t="n">
        <v>45737</v>
      </c>
      <c r="C48" s="144" t="inlineStr">
        <is>
          <t>은행수수료</t>
        </is>
      </c>
      <c r="D48" s="149" t="n"/>
      <c r="E48" s="145" t="n">
        <v>23</v>
      </c>
      <c r="F48" s="253" t="inlineStr">
        <is>
          <t>해외지사비</t>
        </is>
      </c>
      <c r="G48" s="82" t="n"/>
      <c r="H48" s="187" t="n"/>
      <c r="I48" s="798" t="n"/>
      <c r="J48" s="187" t="n"/>
      <c r="K48" s="799" t="n">
        <v>3.6</v>
      </c>
      <c r="L48" s="800">
        <f>#REF!</f>
        <v/>
      </c>
      <c r="M48" s="905">
        <f>K48/L48</f>
        <v/>
      </c>
      <c r="N48" s="802">
        <f>N47+H48-K48</f>
        <v/>
      </c>
      <c r="O48" s="802">
        <f>O47+J48-M48</f>
        <v/>
      </c>
      <c r="P48" s="803" t="inlineStr">
        <is>
          <t>2월 송금</t>
        </is>
      </c>
      <c r="Q48" s="804" t="n"/>
      <c r="R48" s="803" t="inlineStr">
        <is>
          <t>Zhang Liang</t>
        </is>
      </c>
      <c r="S48" s="805">
        <f>S47-M48+J48</f>
        <v/>
      </c>
      <c r="T48" s="698" t="n"/>
      <c r="U48" s="830" t="n"/>
      <c r="V48" s="698" t="n"/>
      <c r="W48" s="698" t="n"/>
      <c r="X48" s="698" t="n"/>
      <c r="Y48" s="698" t="n"/>
      <c r="Z48" s="698" t="n"/>
      <c r="AA48" s="698" t="n"/>
      <c r="AB48" s="698" t="n"/>
      <c r="AC48" s="698" t="n"/>
    </row>
    <row r="49" ht="11.25" customFormat="1" customHeight="1" s="688">
      <c r="A49" s="80" t="n"/>
      <c r="B49" s="875" t="n">
        <v>45737</v>
      </c>
      <c r="C49" s="144" t="inlineStr">
        <is>
          <t>시내/시외교통비</t>
        </is>
      </c>
      <c r="D49" s="149" t="n"/>
      <c r="E49" s="145" t="n">
        <v>24</v>
      </c>
      <c r="F49" s="253" t="inlineStr">
        <is>
          <t>여비교통비</t>
        </is>
      </c>
      <c r="G49" s="82" t="inlineStr">
        <is>
          <t>해외</t>
        </is>
      </c>
      <c r="H49" s="187" t="n"/>
      <c r="I49" s="798" t="n"/>
      <c r="J49" s="187" t="n"/>
      <c r="K49" s="878" t="n">
        <v>677.37</v>
      </c>
      <c r="L49" s="800">
        <f>#REF!</f>
        <v/>
      </c>
      <c r="M49" s="905">
        <f>K49/L49</f>
        <v/>
      </c>
      <c r="N49" s="802">
        <f>N48+H49-K49</f>
        <v/>
      </c>
      <c r="O49" s="802">
        <f>O48+J49-M49</f>
        <v/>
      </c>
      <c r="P49" s="803" t="inlineStr">
        <is>
          <t>2월 송금</t>
        </is>
      </c>
      <c r="Q49" s="804" t="n"/>
      <c r="R49" s="803" t="inlineStr">
        <is>
          <t>Lin Jie Ting</t>
        </is>
      </c>
      <c r="S49" s="805">
        <f>S48-M49+J49</f>
        <v/>
      </c>
      <c r="T49" s="698" t="n"/>
      <c r="U49" s="830" t="n"/>
      <c r="V49" s="698" t="n"/>
      <c r="W49" s="698" t="n"/>
      <c r="X49" s="698" t="n"/>
      <c r="Y49" s="698" t="n"/>
      <c r="Z49" s="698" t="n"/>
      <c r="AA49" s="698" t="n"/>
      <c r="AB49" s="698" t="n"/>
      <c r="AC49" s="698" t="n"/>
    </row>
    <row r="50" ht="11.25" customFormat="1" customHeight="1" s="688">
      <c r="A50" s="80" t="n"/>
      <c r="B50" s="875" t="n">
        <v>45737</v>
      </c>
      <c r="C50" s="144" t="inlineStr">
        <is>
          <t>통신비</t>
        </is>
      </c>
      <c r="D50" s="149" t="n"/>
      <c r="E50" s="145" t="n">
        <v>25</v>
      </c>
      <c r="F50" s="253" t="inlineStr">
        <is>
          <t>통신비</t>
        </is>
      </c>
      <c r="G50" s="82" t="inlineStr">
        <is>
          <t>기타</t>
        </is>
      </c>
      <c r="H50" s="187" t="n"/>
      <c r="I50" s="798" t="n"/>
      <c r="J50" s="187" t="n"/>
      <c r="K50" s="799" t="n">
        <v>299</v>
      </c>
      <c r="L50" s="800">
        <f>#REF!</f>
        <v/>
      </c>
      <c r="M50" s="905">
        <f>K50/L50</f>
        <v/>
      </c>
      <c r="N50" s="802">
        <f>N49+H50-K50</f>
        <v/>
      </c>
      <c r="O50" s="802">
        <f>O49+J50-M50</f>
        <v/>
      </c>
      <c r="P50" s="803" t="inlineStr">
        <is>
          <t>2월 송금</t>
        </is>
      </c>
      <c r="Q50" s="804" t="n"/>
      <c r="R50" s="803" t="inlineStr">
        <is>
          <t>Lin Jie Ting</t>
        </is>
      </c>
      <c r="S50" s="805">
        <f>S49-M50+J50</f>
        <v/>
      </c>
      <c r="T50" s="698" t="n"/>
      <c r="U50" s="830" t="n"/>
      <c r="V50" s="698" t="n"/>
      <c r="W50" s="698" t="n"/>
      <c r="X50" s="698" t="n"/>
      <c r="Y50" s="698" t="n"/>
      <c r="Z50" s="698" t="n"/>
      <c r="AA50" s="698" t="n"/>
      <c r="AB50" s="698" t="n"/>
      <c r="AC50" s="698" t="n"/>
    </row>
    <row r="51" ht="11.25" customFormat="1" customHeight="1" s="688">
      <c r="A51" s="80" t="n"/>
      <c r="B51" s="875" t="n">
        <v>45737</v>
      </c>
      <c r="C51" s="144" t="inlineStr">
        <is>
          <t>택배비</t>
        </is>
      </c>
      <c r="D51" s="149" t="n"/>
      <c r="E51" s="145" t="n">
        <v>26</v>
      </c>
      <c r="F51" s="253" t="inlineStr">
        <is>
          <t>해외지사비</t>
        </is>
      </c>
      <c r="G51" s="82" t="n"/>
      <c r="H51" s="187" t="n"/>
      <c r="I51" s="798" t="n"/>
      <c r="J51" s="187" t="n"/>
      <c r="K51" s="799" t="n">
        <v>12</v>
      </c>
      <c r="L51" s="800">
        <f>#REF!</f>
        <v/>
      </c>
      <c r="M51" s="905">
        <f>K51/L51</f>
        <v/>
      </c>
      <c r="N51" s="802">
        <f>N50+H51-K51</f>
        <v/>
      </c>
      <c r="O51" s="802">
        <f>O50+J51-M51</f>
        <v/>
      </c>
      <c r="P51" s="803" t="inlineStr">
        <is>
          <t>2월 송금</t>
        </is>
      </c>
      <c r="Q51" s="804" t="n"/>
      <c r="R51" s="803" t="inlineStr">
        <is>
          <t>Lin Jie Ting</t>
        </is>
      </c>
      <c r="S51" s="805">
        <f>S50-M51+J51</f>
        <v/>
      </c>
      <c r="T51" s="698" t="n"/>
      <c r="U51" s="830" t="n"/>
      <c r="V51" s="698" t="n"/>
      <c r="W51" s="698" t="n"/>
      <c r="X51" s="698" t="n"/>
      <c r="Y51" s="698" t="n"/>
      <c r="Z51" s="698" t="n"/>
      <c r="AA51" s="698" t="n"/>
      <c r="AB51" s="698" t="n"/>
      <c r="AC51" s="698" t="n"/>
    </row>
    <row r="52" ht="11.25" customFormat="1" customHeight="1" s="688">
      <c r="A52" s="80" t="n"/>
      <c r="B52" s="875" t="n">
        <v>45737</v>
      </c>
      <c r="C52" s="144" t="inlineStr">
        <is>
          <t>출장비</t>
        </is>
      </c>
      <c r="D52" s="149" t="n"/>
      <c r="E52" s="145" t="n">
        <v>27</v>
      </c>
      <c r="F52" s="253" t="inlineStr">
        <is>
          <t>여비교통비</t>
        </is>
      </c>
      <c r="G52" s="82" t="inlineStr">
        <is>
          <t>해외</t>
        </is>
      </c>
      <c r="H52" s="187" t="n"/>
      <c r="I52" s="798" t="n"/>
      <c r="J52" s="187" t="n"/>
      <c r="K52" s="799" t="n">
        <v>255</v>
      </c>
      <c r="L52" s="800">
        <f>#REF!</f>
        <v/>
      </c>
      <c r="M52" s="905">
        <f>K52/L52</f>
        <v/>
      </c>
      <c r="N52" s="802">
        <f>N51+H52-K52</f>
        <v/>
      </c>
      <c r="O52" s="802">
        <f>O51+J52-M52</f>
        <v/>
      </c>
      <c r="P52" s="803" t="inlineStr">
        <is>
          <t>2월 송금</t>
        </is>
      </c>
      <c r="Q52" s="804" t="n"/>
      <c r="R52" s="803" t="inlineStr">
        <is>
          <t>Lin Jie Ting</t>
        </is>
      </c>
      <c r="S52" s="805">
        <f>S51-M52+J52</f>
        <v/>
      </c>
      <c r="T52" s="698" t="n"/>
      <c r="U52" s="830" t="n"/>
      <c r="V52" s="698" t="n"/>
      <c r="W52" s="698" t="n"/>
      <c r="X52" s="698" t="n"/>
      <c r="Y52" s="698" t="n"/>
      <c r="Z52" s="698" t="n"/>
      <c r="AA52" s="698" t="n"/>
      <c r="AB52" s="698" t="n"/>
      <c r="AC52" s="698" t="n"/>
    </row>
    <row r="53" ht="11.25" customFormat="1" customHeight="1" s="688">
      <c r="A53" s="80" t="n"/>
      <c r="B53" s="875" t="n">
        <v>45737</v>
      </c>
      <c r="C53" s="144" t="inlineStr">
        <is>
          <t>사무용품</t>
        </is>
      </c>
      <c r="D53" s="149" t="n"/>
      <c r="E53" s="145" t="n">
        <v>28</v>
      </c>
      <c r="F53" s="253" t="inlineStr">
        <is>
          <t>해외지사비</t>
        </is>
      </c>
      <c r="G53" s="82" t="n"/>
      <c r="H53" s="187" t="n"/>
      <c r="I53" s="798" t="n"/>
      <c r="J53" s="187" t="n"/>
      <c r="K53" s="799" t="n">
        <v>912.7</v>
      </c>
      <c r="L53" s="800">
        <f>#REF!</f>
        <v/>
      </c>
      <c r="M53" s="905">
        <f>K53/L53</f>
        <v/>
      </c>
      <c r="N53" s="802">
        <f>N52+H53-K53</f>
        <v/>
      </c>
      <c r="O53" s="802">
        <f>O52+J53-M53</f>
        <v/>
      </c>
      <c r="P53" s="803" t="inlineStr">
        <is>
          <t>2월 송금</t>
        </is>
      </c>
      <c r="Q53" s="804" t="n"/>
      <c r="R53" s="803" t="inlineStr">
        <is>
          <t>Lin Jie Ting</t>
        </is>
      </c>
      <c r="S53" s="805">
        <f>S52-M53+J53</f>
        <v/>
      </c>
      <c r="T53" s="698" t="n"/>
      <c r="U53" s="830" t="n"/>
      <c r="V53" s="698" t="n"/>
      <c r="W53" s="698" t="n"/>
      <c r="X53" s="698" t="n"/>
      <c r="Y53" s="698" t="n"/>
      <c r="Z53" s="698" t="n"/>
      <c r="AA53" s="698" t="n"/>
      <c r="AB53" s="698" t="n"/>
      <c r="AC53" s="698" t="n"/>
    </row>
    <row r="54" ht="11.25" customFormat="1" customHeight="1" s="688">
      <c r="A54" s="80" t="n"/>
      <c r="B54" s="875" t="n">
        <v>45737</v>
      </c>
      <c r="C54" s="144" t="inlineStr">
        <is>
          <t>업무추진비</t>
        </is>
      </c>
      <c r="D54" s="149" t="n"/>
      <c r="E54" s="145" t="n">
        <v>29</v>
      </c>
      <c r="F54" s="253" t="inlineStr">
        <is>
          <t>업무추진비</t>
        </is>
      </c>
      <c r="G54" s="82" t="inlineStr">
        <is>
          <t>일반</t>
        </is>
      </c>
      <c r="H54" s="187" t="n"/>
      <c r="I54" s="798" t="n"/>
      <c r="J54" s="187" t="n"/>
      <c r="K54" s="799" t="n">
        <v>6325.68</v>
      </c>
      <c r="L54" s="800">
        <f>#REF!</f>
        <v/>
      </c>
      <c r="M54" s="905">
        <f>K54/L54</f>
        <v/>
      </c>
      <c r="N54" s="802">
        <f>N53+H54-K54</f>
        <v/>
      </c>
      <c r="O54" s="802">
        <f>O53+J54-M54</f>
        <v/>
      </c>
      <c r="P54" s="803" t="inlineStr">
        <is>
          <t>2월 송금</t>
        </is>
      </c>
      <c r="Q54" s="804" t="n"/>
      <c r="R54" s="803" t="inlineStr">
        <is>
          <t>Lin Jie Ting</t>
        </is>
      </c>
      <c r="S54" s="805">
        <f>S53-M54+J54</f>
        <v/>
      </c>
      <c r="T54" s="698" t="n"/>
      <c r="U54" s="830" t="n"/>
      <c r="V54" s="698" t="n"/>
      <c r="W54" s="698" t="n"/>
      <c r="X54" s="698" t="n"/>
      <c r="Y54" s="698" t="n"/>
      <c r="Z54" s="698" t="n"/>
      <c r="AA54" s="698" t="n"/>
      <c r="AB54" s="698" t="n"/>
      <c r="AC54" s="698" t="n"/>
    </row>
    <row r="55" ht="11.25" customFormat="1" customHeight="1" s="688">
      <c r="A55" s="80" t="n"/>
      <c r="B55" s="875" t="n">
        <v>45737</v>
      </c>
      <c r="C55" s="144" t="inlineStr">
        <is>
          <t>은행수수료</t>
        </is>
      </c>
      <c r="D55" s="149" t="n"/>
      <c r="E55" s="145" t="n">
        <v>30</v>
      </c>
      <c r="F55" s="253" t="inlineStr">
        <is>
          <t>해외지사비</t>
        </is>
      </c>
      <c r="G55" s="82" t="n"/>
      <c r="H55" s="187" t="n"/>
      <c r="I55" s="798" t="n"/>
      <c r="J55" s="187" t="n"/>
      <c r="K55" s="799" t="n">
        <v>3.6</v>
      </c>
      <c r="L55" s="800">
        <f>#REF!</f>
        <v/>
      </c>
      <c r="M55" s="905">
        <f>K55/L55</f>
        <v/>
      </c>
      <c r="N55" s="802">
        <f>N54+H55-K55</f>
        <v/>
      </c>
      <c r="O55" s="802">
        <f>O54+J55-M55</f>
        <v/>
      </c>
      <c r="P55" s="803" t="inlineStr">
        <is>
          <t>2월 송금</t>
        </is>
      </c>
      <c r="Q55" s="804" t="n"/>
      <c r="R55" s="803" t="inlineStr">
        <is>
          <t>Lin Jie Ting</t>
        </is>
      </c>
      <c r="S55" s="805">
        <f>S54-M55+J55</f>
        <v/>
      </c>
      <c r="T55" s="698" t="n"/>
      <c r="U55" s="830" t="n"/>
      <c r="V55" s="698" t="n"/>
      <c r="W55" s="698" t="n"/>
      <c r="X55" s="698" t="n"/>
      <c r="Y55" s="698" t="n"/>
      <c r="Z55" s="698" t="n"/>
      <c r="AA55" s="698" t="n"/>
      <c r="AB55" s="698" t="n"/>
      <c r="AC55" s="698" t="n"/>
    </row>
    <row r="56" ht="11.25" customFormat="1" customHeight="1" s="688">
      <c r="A56" s="80" t="n"/>
      <c r="B56" s="875" t="n">
        <v>45737</v>
      </c>
      <c r="C56" s="144" t="inlineStr">
        <is>
          <t>출장비</t>
        </is>
      </c>
      <c r="D56" s="149" t="n"/>
      <c r="E56" s="145" t="n">
        <v>31</v>
      </c>
      <c r="F56" s="253" t="inlineStr">
        <is>
          <t>여비교통비</t>
        </is>
      </c>
      <c r="G56" s="82" t="inlineStr">
        <is>
          <t>해외</t>
        </is>
      </c>
      <c r="H56" s="187" t="n"/>
      <c r="I56" s="798" t="n"/>
      <c r="J56" s="187" t="n"/>
      <c r="K56" s="799" t="n">
        <v>6381.8</v>
      </c>
      <c r="L56" s="800">
        <f>#REF!</f>
        <v/>
      </c>
      <c r="M56" s="905">
        <f>K56/L56</f>
        <v/>
      </c>
      <c r="N56" s="802">
        <f>N55+H56-K56</f>
        <v/>
      </c>
      <c r="O56" s="802">
        <f>O55+J56-M56</f>
        <v/>
      </c>
      <c r="P56" s="803" t="inlineStr">
        <is>
          <t>2월 송금</t>
        </is>
      </c>
      <c r="Q56" s="804" t="n"/>
      <c r="R56" s="803" t="inlineStr">
        <is>
          <t>김명관</t>
        </is>
      </c>
      <c r="S56" s="805">
        <f>S55-M56+J56</f>
        <v/>
      </c>
      <c r="T56" s="698" t="n"/>
      <c r="U56" s="830" t="n"/>
      <c r="V56" s="698" t="n"/>
      <c r="W56" s="698" t="n"/>
      <c r="X56" s="698" t="n"/>
      <c r="Y56" s="698" t="n"/>
      <c r="Z56" s="698" t="n"/>
      <c r="AA56" s="698" t="n"/>
      <c r="AB56" s="698" t="n"/>
      <c r="AC56" s="698" t="n"/>
    </row>
    <row r="57" ht="11.25" customFormat="1" customHeight="1" s="688">
      <c r="A57" s="80" t="n"/>
      <c r="B57" s="875" t="n">
        <v>45737</v>
      </c>
      <c r="C57" s="144" t="inlineStr">
        <is>
          <t>업무추진비</t>
        </is>
      </c>
      <c r="D57" s="149" t="n"/>
      <c r="E57" s="145" t="n">
        <v>32</v>
      </c>
      <c r="F57" s="253" t="inlineStr">
        <is>
          <t>업무추진비</t>
        </is>
      </c>
      <c r="G57" s="82" t="inlineStr">
        <is>
          <t>일반</t>
        </is>
      </c>
      <c r="H57" s="187" t="n"/>
      <c r="I57" s="798" t="n"/>
      <c r="J57" s="187" t="n"/>
      <c r="K57" s="799" t="n">
        <v>8423</v>
      </c>
      <c r="L57" s="800">
        <f>#REF!</f>
        <v/>
      </c>
      <c r="M57" s="905" t="n">
        <v>1154.7</v>
      </c>
      <c r="N57" s="802">
        <f>N56+H57-K57</f>
        <v/>
      </c>
      <c r="O57" s="802">
        <f>O56+J57-M57</f>
        <v/>
      </c>
      <c r="P57" s="803" t="inlineStr">
        <is>
          <t>2월 송금</t>
        </is>
      </c>
      <c r="Q57" s="804" t="n"/>
      <c r="R57" s="803" t="inlineStr">
        <is>
          <t>김명관</t>
        </is>
      </c>
      <c r="S57" s="805">
        <f>S56-M57+J57</f>
        <v/>
      </c>
      <c r="T57" s="698" t="n"/>
      <c r="U57" s="830" t="n"/>
      <c r="V57" s="698" t="n"/>
      <c r="W57" s="698" t="n"/>
      <c r="X57" s="698" t="n"/>
      <c r="Y57" s="698" t="n"/>
      <c r="Z57" s="698" t="n"/>
      <c r="AA57" s="698" t="n"/>
      <c r="AB57" s="698" t="n"/>
      <c r="AC57" s="698" t="n"/>
    </row>
    <row r="58" ht="11.25" customFormat="1" customHeight="1" s="688">
      <c r="A58" s="80" t="n"/>
      <c r="B58" s="875" t="n">
        <v>45737</v>
      </c>
      <c r="C58" s="144" t="inlineStr">
        <is>
          <t>통신비</t>
        </is>
      </c>
      <c r="D58" s="149" t="n"/>
      <c r="E58" s="145" t="n">
        <v>33</v>
      </c>
      <c r="F58" s="253" t="inlineStr">
        <is>
          <t>통신비</t>
        </is>
      </c>
      <c r="G58" s="82" t="inlineStr">
        <is>
          <t>기타</t>
        </is>
      </c>
      <c r="H58" s="187" t="n"/>
      <c r="I58" s="798" t="n"/>
      <c r="J58" s="187" t="n"/>
      <c r="K58" s="799" t="n">
        <v>300</v>
      </c>
      <c r="L58" s="800">
        <f>#REF!</f>
        <v/>
      </c>
      <c r="M58" s="905" t="n">
        <v>41.126</v>
      </c>
      <c r="N58" s="802">
        <f>N57+H58-K58</f>
        <v/>
      </c>
      <c r="O58" s="802">
        <f>O57+J58-M58</f>
        <v/>
      </c>
      <c r="P58" s="803" t="inlineStr">
        <is>
          <t>2월 송금</t>
        </is>
      </c>
      <c r="Q58" s="804" t="n"/>
      <c r="R58" s="803" t="inlineStr">
        <is>
          <t>김명관</t>
        </is>
      </c>
      <c r="S58" s="805">
        <f>S57-M58+J58</f>
        <v/>
      </c>
      <c r="T58" s="698" t="n"/>
      <c r="U58" s="830" t="n"/>
      <c r="V58" s="698" t="n"/>
      <c r="W58" s="698" t="n"/>
      <c r="X58" s="698" t="n"/>
      <c r="Y58" s="698" t="n"/>
      <c r="Z58" s="698" t="n"/>
      <c r="AA58" s="698" t="n"/>
      <c r="AB58" s="698" t="n"/>
      <c r="AC58" s="698" t="n"/>
    </row>
    <row r="59" ht="11.25" customFormat="1" customHeight="1" s="688">
      <c r="A59" s="80" t="n"/>
      <c r="B59" s="875" t="n">
        <v>45737</v>
      </c>
      <c r="C59" s="144" t="inlineStr">
        <is>
          <t>학자금</t>
        </is>
      </c>
      <c r="D59" s="149" t="n"/>
      <c r="E59" s="145" t="n">
        <v>34</v>
      </c>
      <c r="F59" s="253" t="inlineStr">
        <is>
          <t>해외지사비</t>
        </is>
      </c>
      <c r="G59" s="82" t="n"/>
      <c r="H59" s="187" t="n"/>
      <c r="I59" s="798" t="n"/>
      <c r="J59" s="187" t="n"/>
      <c r="K59" s="799">
        <f>L59*M59</f>
        <v/>
      </c>
      <c r="L59" s="800">
        <f>#REF!</f>
        <v/>
      </c>
      <c r="M59" s="905" t="n">
        <v>1035.824061095939</v>
      </c>
      <c r="N59" s="802">
        <f>N58+H59-K59</f>
        <v/>
      </c>
      <c r="O59" s="802">
        <f>O58+J59-M59</f>
        <v/>
      </c>
      <c r="P59" s="803" t="inlineStr">
        <is>
          <t>2월 송금</t>
        </is>
      </c>
      <c r="Q59" s="804" t="n"/>
      <c r="R59" s="803" t="inlineStr">
        <is>
          <t>김명관</t>
        </is>
      </c>
      <c r="S59" s="805">
        <f>S58-M59+J59</f>
        <v/>
      </c>
      <c r="T59" s="698" t="n"/>
      <c r="U59" s="830" t="n"/>
      <c r="V59" s="698" t="n"/>
      <c r="W59" s="698" t="n"/>
      <c r="X59" s="698" t="n"/>
      <c r="Y59" s="698" t="n"/>
      <c r="Z59" s="698" t="n"/>
      <c r="AA59" s="698" t="n"/>
      <c r="AB59" s="698" t="n"/>
      <c r="AC59" s="698" t="n"/>
    </row>
    <row r="60" ht="11.25" customFormat="1" customHeight="1" s="688">
      <c r="A60" s="80" t="n"/>
      <c r="B60" s="875" t="n">
        <v>45737</v>
      </c>
      <c r="C60" s="144" t="inlineStr">
        <is>
          <t>학자금</t>
        </is>
      </c>
      <c r="D60" s="149" t="n"/>
      <c r="E60" s="145" t="n">
        <v>34</v>
      </c>
      <c r="F60" s="253" t="inlineStr">
        <is>
          <t>해외지사비</t>
        </is>
      </c>
      <c r="G60" s="82" t="n"/>
      <c r="H60" s="187" t="n"/>
      <c r="I60" s="798" t="n"/>
      <c r="J60" s="187" t="n"/>
      <c r="K60" s="799">
        <f>65100-K59</f>
        <v/>
      </c>
      <c r="L60" s="800">
        <f>#REF!</f>
        <v/>
      </c>
      <c r="M60" s="907">
        <f>K60/L60</f>
        <v/>
      </c>
      <c r="N60" s="802">
        <f>N59+H60-K60</f>
        <v/>
      </c>
      <c r="O60" s="802">
        <f>O59+J60-M60</f>
        <v/>
      </c>
      <c r="P60" s="803" t="inlineStr">
        <is>
          <t>3월 송금</t>
        </is>
      </c>
      <c r="Q60" s="804" t="n"/>
      <c r="R60" s="803" t="inlineStr">
        <is>
          <t>김명관</t>
        </is>
      </c>
      <c r="S60" s="805">
        <f>47952-M60</f>
        <v/>
      </c>
      <c r="T60" s="698" t="n"/>
      <c r="U60" s="830" t="n"/>
      <c r="V60" s="698" t="n"/>
      <c r="W60" s="698" t="n"/>
      <c r="X60" s="698" t="n"/>
      <c r="Y60" s="698" t="n"/>
      <c r="Z60" s="698" t="n"/>
      <c r="AA60" s="698" t="n"/>
      <c r="AB60" s="698" t="n"/>
      <c r="AC60" s="698" t="n"/>
    </row>
    <row r="61" ht="11.25" customFormat="1" customHeight="1" s="688">
      <c r="A61" s="80" t="n"/>
      <c r="B61" s="875" t="n">
        <v>45737</v>
      </c>
      <c r="C61" s="144" t="inlineStr">
        <is>
          <t>은행수수료</t>
        </is>
      </c>
      <c r="D61" s="149" t="n"/>
      <c r="E61" s="145" t="n">
        <v>35</v>
      </c>
      <c r="F61" s="253" t="inlineStr">
        <is>
          <t>해외지사비</t>
        </is>
      </c>
      <c r="G61" s="82" t="n"/>
      <c r="H61" s="187" t="n"/>
      <c r="I61" s="798" t="n"/>
      <c r="J61" s="187" t="n"/>
      <c r="K61" s="799" t="n">
        <v>14.4</v>
      </c>
      <c r="L61" s="800">
        <f>#REF!</f>
        <v/>
      </c>
      <c r="M61" s="907">
        <f>K61/L61</f>
        <v/>
      </c>
      <c r="N61" s="802">
        <f>N60+H61-K61</f>
        <v/>
      </c>
      <c r="O61" s="802">
        <f>O60+J61-M61</f>
        <v/>
      </c>
      <c r="P61" s="803" t="inlineStr">
        <is>
          <t>3월 송금</t>
        </is>
      </c>
      <c r="Q61" s="804" t="n"/>
      <c r="R61" s="803" t="inlineStr">
        <is>
          <t>김명관</t>
        </is>
      </c>
      <c r="S61" s="805">
        <f>S60-M61</f>
        <v/>
      </c>
      <c r="T61" s="698" t="n"/>
      <c r="U61" s="830" t="n"/>
      <c r="V61" s="698" t="n"/>
      <c r="W61" s="698" t="n"/>
      <c r="X61" s="698" t="n"/>
      <c r="Y61" s="698" t="n"/>
      <c r="Z61" s="698" t="n"/>
      <c r="AA61" s="698" t="n"/>
      <c r="AB61" s="698" t="n"/>
      <c r="AC61" s="698" t="n"/>
    </row>
    <row r="62" ht="11.25" customFormat="1" customHeight="1" s="688">
      <c r="A62" s="80" t="n"/>
      <c r="B62" s="875" t="n">
        <v>45737</v>
      </c>
      <c r="C62" s="144" t="inlineStr">
        <is>
          <t>택배비</t>
        </is>
      </c>
      <c r="D62" s="149" t="n"/>
      <c r="E62" s="145" t="n">
        <v>36</v>
      </c>
      <c r="F62" s="253" t="inlineStr">
        <is>
          <t>해외지사비</t>
        </is>
      </c>
      <c r="G62" s="82" t="n"/>
      <c r="H62" s="187" t="n"/>
      <c r="I62" s="798" t="n"/>
      <c r="J62" s="187" t="n"/>
      <c r="K62" s="799" t="n">
        <v>413.9</v>
      </c>
      <c r="L62" s="800">
        <f>#REF!</f>
        <v/>
      </c>
      <c r="M62" s="907">
        <f>K62/L62</f>
        <v/>
      </c>
      <c r="N62" s="802">
        <f>N61+H62-K62</f>
        <v/>
      </c>
      <c r="O62" s="802">
        <f>O61+J62-M62</f>
        <v/>
      </c>
      <c r="P62" s="803" t="inlineStr">
        <is>
          <t>3월 송금</t>
        </is>
      </c>
      <c r="Q62" s="804" t="n"/>
      <c r="R62" s="803" t="inlineStr">
        <is>
          <t>Piao Mei Ling</t>
        </is>
      </c>
      <c r="S62" s="805">
        <f>S61-M62</f>
        <v/>
      </c>
      <c r="T62" s="698" t="n"/>
      <c r="U62" s="830" t="n"/>
      <c r="V62" s="698" t="n"/>
      <c r="W62" s="698" t="n"/>
      <c r="X62" s="698" t="n"/>
      <c r="Y62" s="698" t="n"/>
      <c r="Z62" s="698" t="n"/>
      <c r="AA62" s="698" t="n"/>
      <c r="AB62" s="698" t="n"/>
      <c r="AC62" s="698" t="n"/>
    </row>
    <row r="63" ht="11.25" customFormat="1" customHeight="1" s="688">
      <c r="A63" s="80" t="n"/>
      <c r="B63" s="875" t="n">
        <v>45737</v>
      </c>
      <c r="C63" s="144" t="inlineStr">
        <is>
          <t>사무용품</t>
        </is>
      </c>
      <c r="D63" s="149" t="n"/>
      <c r="E63" s="145" t="n">
        <v>37</v>
      </c>
      <c r="F63" s="253" t="inlineStr">
        <is>
          <t>해외지사비</t>
        </is>
      </c>
      <c r="G63" s="82" t="n"/>
      <c r="H63" s="187" t="n"/>
      <c r="I63" s="798" t="n"/>
      <c r="J63" s="187" t="n"/>
      <c r="K63" s="799" t="n">
        <v>13.8</v>
      </c>
      <c r="L63" s="800">
        <f>#REF!</f>
        <v/>
      </c>
      <c r="M63" s="907">
        <f>K63/L63</f>
        <v/>
      </c>
      <c r="N63" s="802">
        <f>N62+H63-K63</f>
        <v/>
      </c>
      <c r="O63" s="802">
        <f>O62+J63-M63</f>
        <v/>
      </c>
      <c r="P63" s="803" t="inlineStr">
        <is>
          <t>3월 송금</t>
        </is>
      </c>
      <c r="Q63" s="804" t="n"/>
      <c r="R63" s="803" t="inlineStr">
        <is>
          <t>Piao Mei Ling</t>
        </is>
      </c>
      <c r="S63" s="805">
        <f>S62-M63</f>
        <v/>
      </c>
      <c r="T63" s="698" t="n"/>
      <c r="U63" s="830" t="n"/>
      <c r="V63" s="698" t="n"/>
      <c r="W63" s="698" t="n"/>
      <c r="X63" s="698" t="n"/>
      <c r="Y63" s="698" t="n"/>
      <c r="Z63" s="698" t="n"/>
      <c r="AA63" s="698" t="n"/>
      <c r="AB63" s="698" t="n"/>
      <c r="AC63" s="698" t="n"/>
    </row>
    <row r="64" ht="11.25" customFormat="1" customHeight="1" s="688">
      <c r="A64" s="80" t="n"/>
      <c r="B64" s="875" t="n">
        <v>45737</v>
      </c>
      <c r="C64" s="144" t="inlineStr">
        <is>
          <t>사무실 운영비</t>
        </is>
      </c>
      <c r="D64" s="149" t="n"/>
      <c r="E64" s="145" t="n">
        <v>38</v>
      </c>
      <c r="F64" s="253" t="inlineStr">
        <is>
          <t>해외지사비</t>
        </is>
      </c>
      <c r="G64" s="82" t="n"/>
      <c r="H64" s="187" t="n"/>
      <c r="I64" s="798" t="n"/>
      <c r="J64" s="187" t="n"/>
      <c r="K64" s="878" t="n">
        <v>359</v>
      </c>
      <c r="L64" s="800">
        <f>#REF!</f>
        <v/>
      </c>
      <c r="M64" s="907">
        <f>K64/L64</f>
        <v/>
      </c>
      <c r="N64" s="802">
        <f>N63+H64-K64</f>
        <v/>
      </c>
      <c r="O64" s="802">
        <f>O63+J64-M64</f>
        <v/>
      </c>
      <c r="P64" s="803" t="inlineStr">
        <is>
          <t>3월 송금</t>
        </is>
      </c>
      <c r="Q64" s="804" t="n"/>
      <c r="R64" s="803" t="inlineStr">
        <is>
          <t>Piao Mei Ling</t>
        </is>
      </c>
      <c r="S64" s="805">
        <f>S63-M64</f>
        <v/>
      </c>
      <c r="T64" s="698" t="n"/>
      <c r="U64" s="830" t="n"/>
      <c r="V64" s="698" t="n"/>
      <c r="W64" s="698" t="n"/>
      <c r="X64" s="698" t="n"/>
      <c r="Y64" s="698" t="n"/>
      <c r="Z64" s="698" t="n"/>
      <c r="AA64" s="698" t="n"/>
      <c r="AB64" s="698" t="n"/>
      <c r="AC64" s="698" t="n"/>
    </row>
    <row r="65" ht="11.25" customFormat="1" customHeight="1" s="688">
      <c r="A65" s="80" t="n"/>
      <c r="B65" s="875" t="n">
        <v>45737</v>
      </c>
      <c r="C65" s="144" t="inlineStr">
        <is>
          <t>통신비</t>
        </is>
      </c>
      <c r="D65" s="149" t="n"/>
      <c r="E65" s="145" t="n">
        <v>39</v>
      </c>
      <c r="F65" s="253" t="inlineStr">
        <is>
          <t>통신비</t>
        </is>
      </c>
      <c r="G65" s="82" t="inlineStr">
        <is>
          <t>기타</t>
        </is>
      </c>
      <c r="H65" s="187" t="n"/>
      <c r="I65" s="798" t="n"/>
      <c r="J65" s="187" t="n"/>
      <c r="K65" s="799" t="n">
        <v>169</v>
      </c>
      <c r="L65" s="800">
        <f>#REF!</f>
        <v/>
      </c>
      <c r="M65" s="907">
        <f>K65/L65</f>
        <v/>
      </c>
      <c r="N65" s="802">
        <f>N64+H65-K65</f>
        <v/>
      </c>
      <c r="O65" s="802">
        <f>O64+J65-M65</f>
        <v/>
      </c>
      <c r="P65" s="803" t="inlineStr">
        <is>
          <t>3월 송금</t>
        </is>
      </c>
      <c r="Q65" s="804" t="n"/>
      <c r="R65" s="803" t="inlineStr">
        <is>
          <t>Piao Mei Ling</t>
        </is>
      </c>
      <c r="S65" s="805">
        <f>S64-M65</f>
        <v/>
      </c>
      <c r="T65" s="698" t="n"/>
      <c r="U65" s="830" t="n"/>
      <c r="V65" s="698" t="n"/>
      <c r="W65" s="698" t="n"/>
      <c r="X65" s="698" t="n"/>
      <c r="Y65" s="698" t="n"/>
      <c r="Z65" s="698" t="n"/>
      <c r="AA65" s="698" t="n"/>
      <c r="AB65" s="698" t="n"/>
      <c r="AC65" s="698" t="n"/>
    </row>
    <row r="66" ht="11.25" customFormat="1" customHeight="1" s="688">
      <c r="A66" s="80" t="n"/>
      <c r="B66" s="875" t="n">
        <v>45737</v>
      </c>
      <c r="C66" s="144" t="inlineStr">
        <is>
          <t>시내교통비</t>
        </is>
      </c>
      <c r="D66" s="149" t="n"/>
      <c r="E66" s="145" t="n">
        <v>40</v>
      </c>
      <c r="F66" s="253" t="inlineStr">
        <is>
          <t>여비교통비</t>
        </is>
      </c>
      <c r="G66" s="82" t="inlineStr">
        <is>
          <t>해외</t>
        </is>
      </c>
      <c r="H66" s="187" t="n"/>
      <c r="I66" s="798" t="n"/>
      <c r="J66" s="187" t="n"/>
      <c r="K66" s="799" t="n">
        <v>432.12</v>
      </c>
      <c r="L66" s="800">
        <f>#REF!</f>
        <v/>
      </c>
      <c r="M66" s="907">
        <f>K66/L66</f>
        <v/>
      </c>
      <c r="N66" s="802">
        <f>N65+H66-K66</f>
        <v/>
      </c>
      <c r="O66" s="802">
        <f>O65+J66-M66</f>
        <v/>
      </c>
      <c r="P66" s="803" t="inlineStr">
        <is>
          <t>3월 송금</t>
        </is>
      </c>
      <c r="Q66" s="804" t="n"/>
      <c r="R66" s="803" t="inlineStr">
        <is>
          <t>Piao Mei Ling</t>
        </is>
      </c>
      <c r="S66" s="805">
        <f>S65-M66</f>
        <v/>
      </c>
      <c r="T66" s="698" t="n"/>
      <c r="U66" s="830" t="n"/>
      <c r="V66" s="698" t="n"/>
      <c r="W66" s="698" t="n"/>
      <c r="X66" s="698" t="n"/>
      <c r="Y66" s="698" t="n"/>
      <c r="Z66" s="698" t="n"/>
      <c r="AA66" s="698" t="n"/>
      <c r="AB66" s="698" t="n"/>
      <c r="AC66" s="698" t="n"/>
    </row>
    <row r="67" ht="11.25" customFormat="1" customHeight="1" s="688">
      <c r="A67" s="80" t="n"/>
      <c r="B67" s="875" t="n">
        <v>45737</v>
      </c>
      <c r="C67" s="144" t="inlineStr">
        <is>
          <t>출장비</t>
        </is>
      </c>
      <c r="D67" s="149" t="n"/>
      <c r="E67" s="145" t="n">
        <v>41</v>
      </c>
      <c r="F67" s="253" t="inlineStr">
        <is>
          <t>여비교통비</t>
        </is>
      </c>
      <c r="G67" s="82" t="inlineStr">
        <is>
          <t>해외</t>
        </is>
      </c>
      <c r="H67" s="187" t="n"/>
      <c r="I67" s="798" t="n"/>
      <c r="J67" s="187" t="n"/>
      <c r="K67" s="799" t="n">
        <v>10460.81</v>
      </c>
      <c r="L67" s="800">
        <f>#REF!</f>
        <v/>
      </c>
      <c r="M67" s="907">
        <f>K67/L67</f>
        <v/>
      </c>
      <c r="N67" s="802">
        <f>N66+H67-K67</f>
        <v/>
      </c>
      <c r="O67" s="802">
        <f>O66+J67-M67</f>
        <v/>
      </c>
      <c r="P67" s="803" t="inlineStr">
        <is>
          <t>3월 송금</t>
        </is>
      </c>
      <c r="Q67" s="804" t="n"/>
      <c r="R67" s="803" t="inlineStr">
        <is>
          <t>Piao Mei Ling</t>
        </is>
      </c>
      <c r="S67" s="805">
        <f>S66-M67</f>
        <v/>
      </c>
      <c r="T67" s="698" t="n"/>
      <c r="U67" s="830" t="n"/>
      <c r="V67" s="698" t="n"/>
      <c r="W67" s="698" t="n"/>
      <c r="X67" s="698" t="n"/>
      <c r="Y67" s="698" t="n"/>
      <c r="Z67" s="698" t="n"/>
      <c r="AA67" s="698" t="n"/>
      <c r="AB67" s="698" t="n"/>
      <c r="AC67" s="698" t="n"/>
    </row>
    <row r="68" ht="11.25" customFormat="1" customHeight="1" s="688">
      <c r="A68" s="80" t="n"/>
      <c r="B68" s="875" t="n">
        <v>45737</v>
      </c>
      <c r="C68" s="144" t="inlineStr">
        <is>
          <t>은행수수료</t>
        </is>
      </c>
      <c r="D68" s="149" t="n"/>
      <c r="E68" s="145" t="n">
        <v>42</v>
      </c>
      <c r="F68" s="253" t="inlineStr">
        <is>
          <t>해외지사비</t>
        </is>
      </c>
      <c r="G68" s="82" t="n"/>
      <c r="H68" s="187" t="n"/>
      <c r="I68" s="798" t="n"/>
      <c r="J68" s="187" t="n"/>
      <c r="K68" s="799" t="n">
        <v>7.2</v>
      </c>
      <c r="L68" s="800">
        <f>#REF!</f>
        <v/>
      </c>
      <c r="M68" s="907">
        <f>K68/L68</f>
        <v/>
      </c>
      <c r="N68" s="802">
        <f>N67+H68-K68</f>
        <v/>
      </c>
      <c r="O68" s="802">
        <f>O67+J68-M68</f>
        <v/>
      </c>
      <c r="P68" s="803" t="inlineStr">
        <is>
          <t>3월 송금</t>
        </is>
      </c>
      <c r="Q68" s="804" t="n"/>
      <c r="R68" s="803" t="inlineStr">
        <is>
          <t>Piao Mei Ling</t>
        </is>
      </c>
      <c r="S68" s="805">
        <f>S67-M68</f>
        <v/>
      </c>
      <c r="T68" s="698" t="n"/>
      <c r="U68" s="830" t="n"/>
      <c r="V68" s="698" t="n"/>
      <c r="W68" s="698" t="n"/>
      <c r="X68" s="698" t="n"/>
      <c r="Y68" s="698" t="n"/>
      <c r="Z68" s="698" t="n"/>
      <c r="AA68" s="698" t="n"/>
      <c r="AB68" s="698" t="n"/>
      <c r="AC68" s="698" t="n"/>
    </row>
    <row r="69" ht="11.25" customHeight="1" s="654">
      <c r="B69" s="875" t="n">
        <v>45737</v>
      </c>
      <c r="C69" s="144" t="inlineStr">
        <is>
          <t>주유비</t>
        </is>
      </c>
      <c r="D69" s="149" t="n"/>
      <c r="E69" s="145" t="n">
        <v>43</v>
      </c>
      <c r="F69" s="253" t="inlineStr">
        <is>
          <t>여비교통비</t>
        </is>
      </c>
      <c r="G69" s="82" t="inlineStr">
        <is>
          <t>해외</t>
        </is>
      </c>
      <c r="H69" s="187" t="n"/>
      <c r="I69" s="798" t="n"/>
      <c r="J69" s="187" t="n"/>
      <c r="K69" s="799" t="n">
        <v>2800</v>
      </c>
      <c r="L69" s="800">
        <f>#REF!</f>
        <v/>
      </c>
      <c r="M69" s="907">
        <f>K69/L69</f>
        <v/>
      </c>
      <c r="N69" s="802">
        <f>N68+H69-K69</f>
        <v/>
      </c>
      <c r="O69" s="802">
        <f>O68+J69-M69</f>
        <v/>
      </c>
      <c r="P69" s="803" t="inlineStr">
        <is>
          <t>3월 송금</t>
        </is>
      </c>
      <c r="Q69" s="804" t="n"/>
      <c r="R69" s="803" t="inlineStr">
        <is>
          <t>Chen Guo Liang</t>
        </is>
      </c>
      <c r="S69" s="805">
        <f>S68-M69</f>
        <v/>
      </c>
    </row>
    <row r="70" ht="11.25" customHeight="1" s="654">
      <c r="B70" s="875" t="n">
        <v>45737</v>
      </c>
      <c r="C70" s="144" t="inlineStr">
        <is>
          <t>주차비</t>
        </is>
      </c>
      <c r="D70" s="149" t="n"/>
      <c r="E70" s="145" t="n">
        <v>44</v>
      </c>
      <c r="F70" s="253" t="inlineStr">
        <is>
          <t>여비교통비</t>
        </is>
      </c>
      <c r="G70" s="82" t="inlineStr">
        <is>
          <t>해외</t>
        </is>
      </c>
      <c r="H70" s="187" t="n"/>
      <c r="I70" s="798" t="n"/>
      <c r="J70" s="187" t="n"/>
      <c r="K70" s="799" t="n">
        <v>191</v>
      </c>
      <c r="L70" s="800">
        <f>#REF!</f>
        <v/>
      </c>
      <c r="M70" s="907">
        <f>K70/L70</f>
        <v/>
      </c>
      <c r="N70" s="802">
        <f>N69+H70-K70</f>
        <v/>
      </c>
      <c r="O70" s="802">
        <f>O69+J70-M70</f>
        <v/>
      </c>
      <c r="P70" s="803" t="inlineStr">
        <is>
          <t>3월 송금</t>
        </is>
      </c>
      <c r="Q70" s="804" t="n"/>
      <c r="R70" s="803" t="inlineStr">
        <is>
          <t>Chen Guo Liang</t>
        </is>
      </c>
      <c r="S70" s="805">
        <f>S69-M70</f>
        <v/>
      </c>
    </row>
    <row r="71" ht="11.25" customHeight="1" s="654">
      <c r="B71" s="875" t="n">
        <v>45737</v>
      </c>
      <c r="C71" s="144" t="inlineStr">
        <is>
          <t>세차비</t>
        </is>
      </c>
      <c r="D71" s="149" t="n"/>
      <c r="E71" s="145" t="n">
        <v>45</v>
      </c>
      <c r="F71" s="253" t="inlineStr">
        <is>
          <t>여비교통비</t>
        </is>
      </c>
      <c r="G71" s="82" t="inlineStr">
        <is>
          <t>해외</t>
        </is>
      </c>
      <c r="H71" s="187" t="n"/>
      <c r="I71" s="798" t="n"/>
      <c r="J71" s="187" t="n"/>
      <c r="K71" s="799" t="n">
        <v>98</v>
      </c>
      <c r="L71" s="800">
        <f>#REF!</f>
        <v/>
      </c>
      <c r="M71" s="907">
        <f>K71/L71</f>
        <v/>
      </c>
      <c r="N71" s="802">
        <f>N70+H71-K71</f>
        <v/>
      </c>
      <c r="O71" s="802">
        <f>O70+J71-M71</f>
        <v/>
      </c>
      <c r="P71" s="803" t="inlineStr">
        <is>
          <t>3월 송금</t>
        </is>
      </c>
      <c r="Q71" s="804" t="n"/>
      <c r="R71" s="803" t="inlineStr">
        <is>
          <t>Chen Guo Liang</t>
        </is>
      </c>
      <c r="S71" s="805">
        <f>S70-M71</f>
        <v/>
      </c>
    </row>
    <row r="72" ht="11.25" customHeight="1" s="654">
      <c r="B72" s="875" t="n">
        <v>45737</v>
      </c>
      <c r="C72" s="144" t="inlineStr">
        <is>
          <t>톨비</t>
        </is>
      </c>
      <c r="D72" s="149" t="n"/>
      <c r="E72" s="145" t="n">
        <v>46</v>
      </c>
      <c r="F72" s="253" t="inlineStr">
        <is>
          <t>여비교통비</t>
        </is>
      </c>
      <c r="G72" s="82" t="inlineStr">
        <is>
          <t>해외</t>
        </is>
      </c>
      <c r="H72" s="187" t="n"/>
      <c r="I72" s="798" t="n"/>
      <c r="J72" s="187" t="n"/>
      <c r="K72" s="799" t="n">
        <v>800</v>
      </c>
      <c r="L72" s="800">
        <f>#REF!</f>
        <v/>
      </c>
      <c r="M72" s="907">
        <f>K72/L72</f>
        <v/>
      </c>
      <c r="N72" s="802">
        <f>N71+H72-K72</f>
        <v/>
      </c>
      <c r="O72" s="802">
        <f>O71+J72-M72</f>
        <v/>
      </c>
      <c r="P72" s="803" t="inlineStr">
        <is>
          <t>3월 송금</t>
        </is>
      </c>
      <c r="Q72" s="804" t="n"/>
      <c r="R72" s="803" t="inlineStr">
        <is>
          <t>Chen Guo Liang</t>
        </is>
      </c>
      <c r="S72" s="805">
        <f>S71-M72</f>
        <v/>
      </c>
    </row>
    <row r="73" ht="11.25" customHeight="1" s="654">
      <c r="B73" s="875" t="n">
        <v>45737</v>
      </c>
      <c r="C73" s="144" t="inlineStr">
        <is>
          <t>은행수수료</t>
        </is>
      </c>
      <c r="D73" s="149" t="n"/>
      <c r="E73" s="145" t="n">
        <v>47</v>
      </c>
      <c r="F73" s="253" t="inlineStr">
        <is>
          <t>해외지사비</t>
        </is>
      </c>
      <c r="G73" s="82" t="n"/>
      <c r="H73" s="187" t="n"/>
      <c r="I73" s="798" t="n"/>
      <c r="J73" s="187" t="n"/>
      <c r="K73" s="799" t="n">
        <v>3.6</v>
      </c>
      <c r="L73" s="800">
        <f>#REF!</f>
        <v/>
      </c>
      <c r="M73" s="907">
        <f>K73/L73</f>
        <v/>
      </c>
      <c r="N73" s="802">
        <f>N72+H73-K73</f>
        <v/>
      </c>
      <c r="O73" s="802">
        <f>O72+J73-M73</f>
        <v/>
      </c>
      <c r="P73" s="803" t="inlineStr">
        <is>
          <t>3월 송금</t>
        </is>
      </c>
      <c r="Q73" s="804" t="n"/>
      <c r="R73" s="803" t="inlineStr">
        <is>
          <t>Chen Guo Liang</t>
        </is>
      </c>
      <c r="S73" s="805">
        <f>S72-M73</f>
        <v/>
      </c>
    </row>
    <row r="74" ht="11.25" customHeight="1" s="654">
      <c r="B74" s="875" t="n">
        <v>45737</v>
      </c>
      <c r="C74" s="144" t="inlineStr">
        <is>
          <t>주유비</t>
        </is>
      </c>
      <c r="D74" s="149" t="n"/>
      <c r="E74" s="145" t="n">
        <v>48</v>
      </c>
      <c r="F74" s="253" t="inlineStr">
        <is>
          <t>여비교통비</t>
        </is>
      </c>
      <c r="G74" s="82" t="inlineStr">
        <is>
          <t>해외</t>
        </is>
      </c>
      <c r="H74" s="187" t="n"/>
      <c r="I74" s="798" t="n"/>
      <c r="J74" s="187" t="n"/>
      <c r="K74" s="799" t="n">
        <v>2779</v>
      </c>
      <c r="L74" s="800">
        <f>#REF!</f>
        <v/>
      </c>
      <c r="M74" s="907">
        <f>K74/L74</f>
        <v/>
      </c>
      <c r="N74" s="802">
        <f>N73+H74-K74</f>
        <v/>
      </c>
      <c r="O74" s="802">
        <f>O73+J74-M74</f>
        <v/>
      </c>
      <c r="P74" s="803" t="inlineStr">
        <is>
          <t>3월 송금</t>
        </is>
      </c>
      <c r="Q74" s="804" t="n"/>
      <c r="R74" s="803" t="inlineStr">
        <is>
          <t>Liu Ming Liang</t>
        </is>
      </c>
      <c r="S74" s="805">
        <f>S73-M74</f>
        <v/>
      </c>
    </row>
    <row r="75" ht="11.25" customHeight="1" s="654">
      <c r="B75" s="875" t="n">
        <v>45737</v>
      </c>
      <c r="C75" s="144" t="inlineStr">
        <is>
          <t>세차비</t>
        </is>
      </c>
      <c r="D75" s="149" t="n"/>
      <c r="E75" s="145" t="n">
        <v>49</v>
      </c>
      <c r="F75" s="253" t="inlineStr">
        <is>
          <t>여비교통비</t>
        </is>
      </c>
      <c r="G75" s="82" t="inlineStr">
        <is>
          <t>해외</t>
        </is>
      </c>
      <c r="H75" s="187" t="n"/>
      <c r="I75" s="798" t="n"/>
      <c r="J75" s="187" t="n"/>
      <c r="K75" s="799" t="n">
        <v>98</v>
      </c>
      <c r="L75" s="800">
        <f>#REF!</f>
        <v/>
      </c>
      <c r="M75" s="907">
        <f>K75/L75</f>
        <v/>
      </c>
      <c r="N75" s="802">
        <f>N74+H75-K75</f>
        <v/>
      </c>
      <c r="O75" s="802">
        <f>O74+J75-M75</f>
        <v/>
      </c>
      <c r="P75" s="803" t="inlineStr">
        <is>
          <t>3월 송금</t>
        </is>
      </c>
      <c r="Q75" s="804" t="n"/>
      <c r="R75" s="803" t="inlineStr">
        <is>
          <t>Liu Ming Liang</t>
        </is>
      </c>
      <c r="S75" s="805">
        <f>S74-M75</f>
        <v/>
      </c>
    </row>
    <row r="76" ht="11.25" customHeight="1" s="654">
      <c r="B76" s="875" t="n">
        <v>45737</v>
      </c>
      <c r="C76" s="144" t="inlineStr">
        <is>
          <t>톨비</t>
        </is>
      </c>
      <c r="D76" s="149" t="n"/>
      <c r="E76" s="145" t="n">
        <v>50</v>
      </c>
      <c r="F76" s="253" t="inlineStr">
        <is>
          <t>여비교통비</t>
        </is>
      </c>
      <c r="G76" s="82" t="inlineStr">
        <is>
          <t>해외</t>
        </is>
      </c>
      <c r="H76" s="187" t="n"/>
      <c r="I76" s="798" t="n"/>
      <c r="J76" s="187" t="n"/>
      <c r="K76" s="799" t="n">
        <v>743</v>
      </c>
      <c r="L76" s="800">
        <f>#REF!</f>
        <v/>
      </c>
      <c r="M76" s="907">
        <f>K76/L76</f>
        <v/>
      </c>
      <c r="N76" s="802">
        <f>N75+H76-K76</f>
        <v/>
      </c>
      <c r="O76" s="802">
        <f>O75+J76-M76</f>
        <v/>
      </c>
      <c r="P76" s="803" t="inlineStr">
        <is>
          <t>3월 송금</t>
        </is>
      </c>
      <c r="Q76" s="804" t="n"/>
      <c r="R76" s="803" t="inlineStr">
        <is>
          <t>Liu Ming Liang</t>
        </is>
      </c>
      <c r="S76" s="805">
        <f>S75-M76</f>
        <v/>
      </c>
    </row>
    <row r="77" ht="11.25" customHeight="1" s="654">
      <c r="B77" s="875" t="n">
        <v>45737</v>
      </c>
      <c r="C77" s="144" t="inlineStr">
        <is>
          <t>주차비</t>
        </is>
      </c>
      <c r="D77" s="149" t="n"/>
      <c r="E77" s="145" t="n">
        <v>51</v>
      </c>
      <c r="F77" s="253" t="inlineStr">
        <is>
          <t>여비교통비</t>
        </is>
      </c>
      <c r="G77" s="82" t="inlineStr">
        <is>
          <t>해외</t>
        </is>
      </c>
      <c r="H77" s="187" t="n"/>
      <c r="I77" s="798" t="n"/>
      <c r="J77" s="187" t="n"/>
      <c r="K77" s="799" t="n">
        <v>291</v>
      </c>
      <c r="L77" s="800">
        <f>#REF!</f>
        <v/>
      </c>
      <c r="M77" s="907">
        <f>K77/L77</f>
        <v/>
      </c>
      <c r="N77" s="802">
        <f>N76+H77-K77</f>
        <v/>
      </c>
      <c r="O77" s="802">
        <f>O76+J77-M77</f>
        <v/>
      </c>
      <c r="P77" s="803" t="inlineStr">
        <is>
          <t>3월 송금</t>
        </is>
      </c>
      <c r="Q77" s="804" t="n"/>
      <c r="R77" s="803" t="inlineStr">
        <is>
          <t>Liu Ming Liang</t>
        </is>
      </c>
      <c r="S77" s="805">
        <f>S76-M77</f>
        <v/>
      </c>
    </row>
    <row r="78" ht="11.25" customHeight="1" s="654">
      <c r="B78" s="875" t="n">
        <v>45737</v>
      </c>
      <c r="C78" s="144" t="inlineStr">
        <is>
          <t>은행수수료</t>
        </is>
      </c>
      <c r="D78" s="149" t="n"/>
      <c r="E78" s="145" t="n">
        <v>52</v>
      </c>
      <c r="F78" s="253" t="inlineStr">
        <is>
          <t>해외지사비</t>
        </is>
      </c>
      <c r="G78" s="82" t="n"/>
      <c r="H78" s="187" t="n"/>
      <c r="I78" s="798" t="n"/>
      <c r="J78" s="187" t="n"/>
      <c r="K78" s="799" t="n">
        <v>3.6</v>
      </c>
      <c r="L78" s="800">
        <f>#REF!</f>
        <v/>
      </c>
      <c r="M78" s="907">
        <f>K78/L78</f>
        <v/>
      </c>
      <c r="N78" s="802">
        <f>N77+H78-K78</f>
        <v/>
      </c>
      <c r="O78" s="802">
        <f>O77+J78-M78</f>
        <v/>
      </c>
      <c r="P78" s="803" t="inlineStr">
        <is>
          <t>3월 송금</t>
        </is>
      </c>
      <c r="Q78" s="804" t="n"/>
      <c r="R78" s="803" t="inlineStr">
        <is>
          <t>Liu Ming Liang</t>
        </is>
      </c>
      <c r="S78" s="805">
        <f>S77-M78</f>
        <v/>
      </c>
    </row>
    <row r="79" ht="11.25" customHeight="1" s="654">
      <c r="B79" s="875" t="n">
        <v>45740</v>
      </c>
      <c r="C79" s="144" t="inlineStr">
        <is>
          <t>주재원 주재수당</t>
        </is>
      </c>
      <c r="D79" s="149" t="n"/>
      <c r="E79" s="145" t="n">
        <v>53</v>
      </c>
      <c r="F79" s="253" t="inlineStr">
        <is>
          <t>해외지사비</t>
        </is>
      </c>
      <c r="G79" s="82" t="n"/>
      <c r="H79" s="187" t="n"/>
      <c r="I79" s="798" t="n"/>
      <c r="J79" s="187" t="n"/>
      <c r="K79" s="799" t="n">
        <v>16000</v>
      </c>
      <c r="L79" s="800">
        <f>#REF!</f>
        <v/>
      </c>
      <c r="M79" s="907">
        <f>K79/L79</f>
        <v/>
      </c>
      <c r="N79" s="802">
        <f>N78+H79-K79</f>
        <v/>
      </c>
      <c r="O79" s="802">
        <f>O78+J79-M79</f>
        <v/>
      </c>
      <c r="P79" s="803" t="inlineStr">
        <is>
          <t>3월 송금</t>
        </is>
      </c>
      <c r="Q79" s="804" t="n"/>
      <c r="R79" s="803" t="inlineStr">
        <is>
          <t>김명관</t>
        </is>
      </c>
      <c r="S79" s="805">
        <f>S78-M79</f>
        <v/>
      </c>
    </row>
    <row r="80" ht="11.25" customHeight="1" s="654">
      <c r="B80" s="875" t="n">
        <v>45740</v>
      </c>
      <c r="C80" s="144" t="inlineStr">
        <is>
          <t>주재원 주택수당</t>
        </is>
      </c>
      <c r="D80" s="149" t="n"/>
      <c r="E80" s="145" t="n">
        <v>53</v>
      </c>
      <c r="F80" s="253" t="inlineStr">
        <is>
          <t>해외지사비</t>
        </is>
      </c>
      <c r="G80" s="82" t="n"/>
      <c r="H80" s="187" t="n"/>
      <c r="I80" s="798" t="n"/>
      <c r="J80" s="187" t="n"/>
      <c r="K80" s="799" t="n">
        <v>24000</v>
      </c>
      <c r="L80" s="800">
        <f>#REF!</f>
        <v/>
      </c>
      <c r="M80" s="907">
        <f>K80/L80</f>
        <v/>
      </c>
      <c r="N80" s="802">
        <f>N79+H80-K80</f>
        <v/>
      </c>
      <c r="O80" s="802">
        <f>O79+J80-M80</f>
        <v/>
      </c>
      <c r="P80" s="803" t="inlineStr">
        <is>
          <t>3월 송금</t>
        </is>
      </c>
      <c r="Q80" s="804" t="n"/>
      <c r="R80" s="803" t="inlineStr">
        <is>
          <t>김명관</t>
        </is>
      </c>
      <c r="S80" s="805">
        <f>S79-M80</f>
        <v/>
      </c>
    </row>
    <row r="81" ht="11.25" customHeight="1" s="654">
      <c r="B81" s="875" t="n">
        <v>45740</v>
      </c>
      <c r="C81" s="144" t="inlineStr">
        <is>
          <t>보험(주재원/현채인)</t>
        </is>
      </c>
      <c r="D81" s="149" t="n"/>
      <c r="E81" s="145" t="n">
        <v>53</v>
      </c>
      <c r="F81" s="253" t="inlineStr">
        <is>
          <t>해외지사비</t>
        </is>
      </c>
      <c r="G81" s="82" t="n"/>
      <c r="H81" s="187" t="n"/>
      <c r="I81" s="798" t="n"/>
      <c r="J81" s="187" t="n"/>
      <c r="K81" s="799" t="n">
        <v>5305.190000000001</v>
      </c>
      <c r="L81" s="800">
        <f>#REF!</f>
        <v/>
      </c>
      <c r="M81" s="907">
        <f>K81/L81</f>
        <v/>
      </c>
      <c r="N81" s="802">
        <f>N80+H81-K81</f>
        <v/>
      </c>
      <c r="O81" s="802">
        <f>O80+J81-M81</f>
        <v/>
      </c>
      <c r="P81" s="803" t="inlineStr">
        <is>
          <t>3월 송금</t>
        </is>
      </c>
      <c r="Q81" s="804" t="n"/>
      <c r="R81" s="803" t="inlineStr">
        <is>
          <t>김명관</t>
        </is>
      </c>
      <c r="S81" s="805">
        <f>S80-M81</f>
        <v/>
      </c>
    </row>
    <row r="82" ht="11.25" customHeight="1" s="654">
      <c r="B82" s="875" t="n">
        <v>45740</v>
      </c>
      <c r="C82" s="144" t="inlineStr">
        <is>
          <t>세금(주재원/현채인)</t>
        </is>
      </c>
      <c r="D82" s="149" t="n"/>
      <c r="E82" s="145" t="n">
        <v>53</v>
      </c>
      <c r="F82" s="253" t="inlineStr">
        <is>
          <t>해외지사비</t>
        </is>
      </c>
      <c r="G82" s="82" t="n"/>
      <c r="H82" s="187" t="n"/>
      <c r="I82" s="798" t="n"/>
      <c r="J82" s="187" t="n"/>
      <c r="K82" s="799" t="n">
        <v>3336.799999999999</v>
      </c>
      <c r="L82" s="800">
        <f>#REF!</f>
        <v/>
      </c>
      <c r="M82" s="907">
        <f>K82/L82</f>
        <v/>
      </c>
      <c r="N82" s="802">
        <f>N81+H82-K82</f>
        <v/>
      </c>
      <c r="O82" s="802">
        <f>O81+J82-M82</f>
        <v/>
      </c>
      <c r="P82" s="803" t="inlineStr">
        <is>
          <t>3월 송금</t>
        </is>
      </c>
      <c r="Q82" s="804" t="n"/>
      <c r="R82" s="803" t="inlineStr">
        <is>
          <t>김명관</t>
        </is>
      </c>
      <c r="S82" s="805">
        <f>S81-M82</f>
        <v/>
      </c>
    </row>
    <row r="83" ht="11.25" customHeight="1" s="654">
      <c r="B83" s="875" t="n">
        <v>45740</v>
      </c>
      <c r="C83" s="144" t="inlineStr">
        <is>
          <t>대행수수료</t>
        </is>
      </c>
      <c r="D83" s="149" t="n"/>
      <c r="E83" s="145" t="n">
        <v>53</v>
      </c>
      <c r="F83" s="253" t="inlineStr">
        <is>
          <t>해외지사비</t>
        </is>
      </c>
      <c r="G83" s="82" t="n"/>
      <c r="H83" s="187" t="n"/>
      <c r="I83" s="798" t="n"/>
      <c r="J83" s="187" t="n"/>
      <c r="K83" s="799" t="n">
        <v>300</v>
      </c>
      <c r="L83" s="800">
        <f>#REF!</f>
        <v/>
      </c>
      <c r="M83" s="907">
        <f>K83/L83</f>
        <v/>
      </c>
      <c r="N83" s="802">
        <f>N82+H83-K83</f>
        <v/>
      </c>
      <c r="O83" s="802">
        <f>O82+J83-M83</f>
        <v/>
      </c>
      <c r="P83" s="803" t="inlineStr">
        <is>
          <t>3월 송금</t>
        </is>
      </c>
      <c r="Q83" s="804" t="n"/>
      <c r="R83" s="803" t="inlineStr">
        <is>
          <t>김명관</t>
        </is>
      </c>
      <c r="S83" s="805">
        <f>S82-M83</f>
        <v/>
      </c>
    </row>
    <row r="84" ht="11.25" customHeight="1" s="654">
      <c r="B84" s="875" t="n">
        <v>45740</v>
      </c>
      <c r="C84" s="144" t="inlineStr">
        <is>
          <t>주재원 주재수당</t>
        </is>
      </c>
      <c r="D84" s="149" t="n"/>
      <c r="E84" s="145" t="n">
        <v>53</v>
      </c>
      <c r="F84" s="253" t="inlineStr">
        <is>
          <t>해외지사비</t>
        </is>
      </c>
      <c r="G84" s="82" t="n"/>
      <c r="H84" s="187" t="n"/>
      <c r="I84" s="798" t="n"/>
      <c r="J84" s="187" t="n"/>
      <c r="K84" s="799" t="n">
        <v>16000</v>
      </c>
      <c r="L84" s="800">
        <f>#REF!</f>
        <v/>
      </c>
      <c r="M84" s="907">
        <f>K84/L84</f>
        <v/>
      </c>
      <c r="N84" s="802">
        <f>N83+H84-K84</f>
        <v/>
      </c>
      <c r="O84" s="802">
        <f>O83+J84-M84</f>
        <v/>
      </c>
      <c r="P84" s="803" t="inlineStr">
        <is>
          <t>3월 송금</t>
        </is>
      </c>
      <c r="Q84" s="804" t="n"/>
      <c r="R84" s="803" t="inlineStr">
        <is>
          <t>신순연</t>
        </is>
      </c>
      <c r="S84" s="805">
        <f>S83-M84</f>
        <v/>
      </c>
    </row>
    <row r="85" ht="11.25" customHeight="1" s="654">
      <c r="B85" s="875" t="n">
        <v>45740</v>
      </c>
      <c r="C85" s="144" t="inlineStr">
        <is>
          <t>주재원 주택수당</t>
        </is>
      </c>
      <c r="D85" s="149" t="n"/>
      <c r="E85" s="145" t="n">
        <v>53</v>
      </c>
      <c r="F85" s="253" t="inlineStr">
        <is>
          <t>해외지사비</t>
        </is>
      </c>
      <c r="G85" s="82" t="n"/>
      <c r="H85" s="187" t="n"/>
      <c r="I85" s="798" t="n"/>
      <c r="J85" s="187" t="n"/>
      <c r="K85" s="799" t="n">
        <v>24000</v>
      </c>
      <c r="L85" s="800">
        <f>#REF!</f>
        <v/>
      </c>
      <c r="M85" s="907">
        <f>K85/L85</f>
        <v/>
      </c>
      <c r="N85" s="802">
        <f>N84+H85-K85</f>
        <v/>
      </c>
      <c r="O85" s="802">
        <f>O84+J85-M85</f>
        <v/>
      </c>
      <c r="P85" s="803" t="inlineStr">
        <is>
          <t>3월 송금</t>
        </is>
      </c>
      <c r="Q85" s="804" t="n"/>
      <c r="R85" s="803" t="inlineStr">
        <is>
          <t>신순연</t>
        </is>
      </c>
      <c r="S85" s="805">
        <f>S84-M85</f>
        <v/>
      </c>
    </row>
    <row r="86" ht="11.25" customHeight="1" s="654">
      <c r="B86" s="875" t="n">
        <v>45740</v>
      </c>
      <c r="C86" s="144" t="inlineStr">
        <is>
          <t>보험(주재원/현채인)</t>
        </is>
      </c>
      <c r="D86" s="149" t="n"/>
      <c r="E86" s="145" t="n">
        <v>53</v>
      </c>
      <c r="F86" s="253" t="inlineStr">
        <is>
          <t>해외지사비</t>
        </is>
      </c>
      <c r="G86" s="82" t="n"/>
      <c r="H86" s="187" t="n"/>
      <c r="I86" s="798" t="n"/>
      <c r="J86" s="187" t="n"/>
      <c r="K86" s="799" t="n">
        <v>10463.19</v>
      </c>
      <c r="L86" s="800">
        <f>#REF!</f>
        <v/>
      </c>
      <c r="M86" s="907">
        <f>K86/L86</f>
        <v/>
      </c>
      <c r="N86" s="802">
        <f>N85+H86-K86</f>
        <v/>
      </c>
      <c r="O86" s="802">
        <f>O85+J86-M86</f>
        <v/>
      </c>
      <c r="P86" s="803" t="inlineStr">
        <is>
          <t>3월 송금</t>
        </is>
      </c>
      <c r="Q86" s="804" t="n"/>
      <c r="R86" s="803" t="inlineStr">
        <is>
          <t>신순연</t>
        </is>
      </c>
      <c r="S86" s="805">
        <f>S85-M86</f>
        <v/>
      </c>
    </row>
    <row r="87" ht="11.25" customHeight="1" s="654">
      <c r="B87" s="875" t="n">
        <v>45740</v>
      </c>
      <c r="C87" s="144" t="inlineStr">
        <is>
          <t>세금(주재원/현채인)</t>
        </is>
      </c>
      <c r="D87" s="149" t="n"/>
      <c r="E87" s="145" t="n">
        <v>53</v>
      </c>
      <c r="F87" s="253" t="inlineStr">
        <is>
          <t>해외지사비</t>
        </is>
      </c>
      <c r="G87" s="82" t="n"/>
      <c r="H87" s="187" t="n"/>
      <c r="I87" s="798" t="n"/>
      <c r="J87" s="187" t="n"/>
      <c r="K87" s="799" t="n">
        <v>3100.4</v>
      </c>
      <c r="L87" s="800">
        <f>#REF!</f>
        <v/>
      </c>
      <c r="M87" s="907">
        <f>K87/L87</f>
        <v/>
      </c>
      <c r="N87" s="802">
        <f>N86+H87-K87</f>
        <v/>
      </c>
      <c r="O87" s="802">
        <f>O86+J87-M87</f>
        <v/>
      </c>
      <c r="P87" s="803" t="inlineStr">
        <is>
          <t>3월 송금</t>
        </is>
      </c>
      <c r="Q87" s="804" t="n"/>
      <c r="R87" s="803" t="inlineStr">
        <is>
          <t>신순연</t>
        </is>
      </c>
      <c r="S87" s="805">
        <f>S86-M87</f>
        <v/>
      </c>
    </row>
    <row r="88" ht="11.25" customHeight="1" s="654">
      <c r="B88" s="875" t="n">
        <v>45740</v>
      </c>
      <c r="C88" s="144" t="inlineStr">
        <is>
          <t>대행수수료</t>
        </is>
      </c>
      <c r="D88" s="149" t="n"/>
      <c r="E88" s="145" t="n">
        <v>53</v>
      </c>
      <c r="F88" s="253" t="inlineStr">
        <is>
          <t>해외지사비</t>
        </is>
      </c>
      <c r="G88" s="82" t="n"/>
      <c r="H88" s="187" t="n"/>
      <c r="I88" s="798" t="n"/>
      <c r="J88" s="187" t="n"/>
      <c r="K88" s="799" t="n">
        <v>300</v>
      </c>
      <c r="L88" s="800">
        <f>#REF!</f>
        <v/>
      </c>
      <c r="M88" s="907">
        <f>K88/L88</f>
        <v/>
      </c>
      <c r="N88" s="802">
        <f>N87+H88-K88</f>
        <v/>
      </c>
      <c r="O88" s="802">
        <f>O87+J88-M88</f>
        <v/>
      </c>
      <c r="P88" s="803" t="inlineStr">
        <is>
          <t>3월 송금</t>
        </is>
      </c>
      <c r="Q88" s="804" t="n"/>
      <c r="R88" s="803" t="inlineStr">
        <is>
          <t>신순연</t>
        </is>
      </c>
      <c r="S88" s="805">
        <f>S87-M88</f>
        <v/>
      </c>
    </row>
    <row r="89" ht="11.25" customHeight="1" s="654">
      <c r="B89" s="875" t="n">
        <v>45740</v>
      </c>
      <c r="C89" s="144" t="inlineStr">
        <is>
          <t>현채인 월급</t>
        </is>
      </c>
      <c r="D89" s="149" t="n"/>
      <c r="E89" s="145" t="n">
        <v>53</v>
      </c>
      <c r="F89" s="253" t="inlineStr">
        <is>
          <t>해외지사비</t>
        </is>
      </c>
      <c r="G89" s="82" t="n"/>
      <c r="H89" s="187" t="n"/>
      <c r="I89" s="798" t="n"/>
      <c r="J89" s="187" t="n"/>
      <c r="K89" s="799" t="n">
        <v>25750</v>
      </c>
      <c r="L89" s="800">
        <f>#REF!</f>
        <v/>
      </c>
      <c r="M89" s="907">
        <f>K89/L89</f>
        <v/>
      </c>
      <c r="N89" s="802">
        <f>N88+H89-K89</f>
        <v/>
      </c>
      <c r="O89" s="802">
        <f>O88+J89-M89</f>
        <v/>
      </c>
      <c r="P89" s="803" t="inlineStr">
        <is>
          <t>3월 송금</t>
        </is>
      </c>
      <c r="Q89" s="804" t="n"/>
      <c r="R89" s="803" t="inlineStr">
        <is>
          <t>Pan Shi Qiang</t>
        </is>
      </c>
      <c r="S89" s="805">
        <f>S88-M89</f>
        <v/>
      </c>
    </row>
    <row r="90" ht="11.25" customHeight="1" s="654">
      <c r="B90" s="875" t="n">
        <v>45740</v>
      </c>
      <c r="C90" s="144" t="inlineStr">
        <is>
          <t>보험비(회사납부)
公司缴纳部分合计</t>
        </is>
      </c>
      <c r="D90" s="149" t="n"/>
      <c r="E90" s="145" t="n">
        <v>53</v>
      </c>
      <c r="F90" s="253" t="inlineStr">
        <is>
          <t>해외지사비</t>
        </is>
      </c>
      <c r="G90" s="82" t="n"/>
      <c r="H90" s="187" t="n"/>
      <c r="I90" s="798" t="n"/>
      <c r="J90" s="187" t="n"/>
      <c r="K90" s="799" t="n">
        <v>7431.44</v>
      </c>
      <c r="L90" s="800">
        <f>#REF!</f>
        <v/>
      </c>
      <c r="M90" s="907">
        <f>K90/L90</f>
        <v/>
      </c>
      <c r="N90" s="802">
        <f>N89+H90-K90</f>
        <v/>
      </c>
      <c r="O90" s="802">
        <f>O89+J90-M90</f>
        <v/>
      </c>
      <c r="P90" s="803" t="inlineStr">
        <is>
          <t>3월 송금</t>
        </is>
      </c>
      <c r="Q90" s="804" t="n"/>
      <c r="R90" s="803" t="inlineStr">
        <is>
          <t>Pan Shi Qiang</t>
        </is>
      </c>
      <c r="S90" s="805">
        <f>S89-M90</f>
        <v/>
      </c>
    </row>
    <row r="91" ht="11.25" customHeight="1" s="654">
      <c r="B91" s="875" t="n">
        <v>45740</v>
      </c>
      <c r="C91" s="144" t="inlineStr">
        <is>
          <t>대행수수료</t>
        </is>
      </c>
      <c r="D91" s="149" t="n"/>
      <c r="E91" s="145" t="n">
        <v>53</v>
      </c>
      <c r="F91" s="253" t="inlineStr">
        <is>
          <t>해외지사비</t>
        </is>
      </c>
      <c r="G91" s="82" t="n"/>
      <c r="H91" s="187" t="n"/>
      <c r="I91" s="798" t="n"/>
      <c r="J91" s="187" t="n"/>
      <c r="K91" s="799" t="n">
        <v>300</v>
      </c>
      <c r="L91" s="800">
        <f>#REF!</f>
        <v/>
      </c>
      <c r="M91" s="907">
        <f>K91/L91</f>
        <v/>
      </c>
      <c r="N91" s="802">
        <f>N90+H91-K91</f>
        <v/>
      </c>
      <c r="O91" s="802">
        <f>O90+J91-M91</f>
        <v/>
      </c>
      <c r="P91" s="803" t="inlineStr">
        <is>
          <t>3월 송금</t>
        </is>
      </c>
      <c r="Q91" s="804" t="n"/>
      <c r="R91" s="803" t="inlineStr">
        <is>
          <t>Pan Shi Qiang</t>
        </is>
      </c>
      <c r="S91" s="805">
        <f>S90-M91</f>
        <v/>
      </c>
    </row>
    <row r="92" ht="11.25" customHeight="1" s="654">
      <c r="B92" s="875" t="n">
        <v>45740</v>
      </c>
      <c r="C92" s="144" t="inlineStr">
        <is>
          <t>일비</t>
        </is>
      </c>
      <c r="D92" s="149" t="n"/>
      <c r="E92" s="145" t="n">
        <v>53</v>
      </c>
      <c r="F92" s="253" t="inlineStr">
        <is>
          <t>해외지사비</t>
        </is>
      </c>
      <c r="G92" s="82" t="n"/>
      <c r="H92" s="187" t="n"/>
      <c r="I92" s="798" t="n"/>
      <c r="J92" s="187" t="n"/>
      <c r="K92" s="799" t="n">
        <v>300</v>
      </c>
      <c r="L92" s="800">
        <f>#REF!</f>
        <v/>
      </c>
      <c r="M92" s="907">
        <f>K92/L92</f>
        <v/>
      </c>
      <c r="N92" s="802">
        <f>N91+H92-K92</f>
        <v/>
      </c>
      <c r="O92" s="802">
        <f>O91+J92-M92</f>
        <v/>
      </c>
      <c r="P92" s="803" t="inlineStr">
        <is>
          <t>3월 송금</t>
        </is>
      </c>
      <c r="Q92" s="804" t="n"/>
      <c r="R92" s="803" t="inlineStr">
        <is>
          <t>Pan Shi Qiang</t>
        </is>
      </c>
      <c r="S92" s="805">
        <f>S91-M92</f>
        <v/>
      </c>
    </row>
    <row r="93" ht="11.25" customHeight="1" s="654">
      <c r="B93" s="875" t="n">
        <v>45740</v>
      </c>
      <c r="C93" s="144" t="inlineStr">
        <is>
          <t>현채인 월급</t>
        </is>
      </c>
      <c r="D93" s="149" t="n"/>
      <c r="E93" s="145" t="n">
        <v>53</v>
      </c>
      <c r="F93" s="253" t="inlineStr">
        <is>
          <t>해외지사비</t>
        </is>
      </c>
      <c r="G93" s="82" t="n"/>
      <c r="H93" s="187" t="n"/>
      <c r="I93" s="798" t="n"/>
      <c r="J93" s="187" t="n"/>
      <c r="K93" s="799" t="n">
        <v>13390</v>
      </c>
      <c r="L93" s="800">
        <f>#REF!</f>
        <v/>
      </c>
      <c r="M93" s="907">
        <f>K93/L93</f>
        <v/>
      </c>
      <c r="N93" s="802">
        <f>N92+H93-K93</f>
        <v/>
      </c>
      <c r="O93" s="802">
        <f>O92+J93-M93</f>
        <v/>
      </c>
      <c r="P93" s="803" t="inlineStr">
        <is>
          <t>3월 송금</t>
        </is>
      </c>
      <c r="Q93" s="804" t="n"/>
      <c r="R93" s="803" t="inlineStr">
        <is>
          <t>Zhang Liang</t>
        </is>
      </c>
      <c r="S93" s="805">
        <f>S92-M93</f>
        <v/>
      </c>
    </row>
    <row r="94" ht="11.25" customHeight="1" s="654">
      <c r="B94" s="875" t="n">
        <v>45740</v>
      </c>
      <c r="C94" s="144" t="inlineStr">
        <is>
          <t>보험비(회사납부)
公司缴纳部分合计</t>
        </is>
      </c>
      <c r="D94" s="149" t="n"/>
      <c r="E94" s="145" t="n">
        <v>53</v>
      </c>
      <c r="F94" s="253" t="inlineStr">
        <is>
          <t>해외지사비</t>
        </is>
      </c>
      <c r="G94" s="82" t="n"/>
      <c r="H94" s="187" t="n"/>
      <c r="I94" s="798" t="n"/>
      <c r="J94" s="187" t="n"/>
      <c r="K94" s="799" t="n">
        <v>3281.57</v>
      </c>
      <c r="L94" s="800">
        <f>#REF!</f>
        <v/>
      </c>
      <c r="M94" s="907">
        <f>K94/L94</f>
        <v/>
      </c>
      <c r="N94" s="802">
        <f>N93+H94-K94</f>
        <v/>
      </c>
      <c r="O94" s="802">
        <f>O93+J94-M94</f>
        <v/>
      </c>
      <c r="P94" s="803" t="inlineStr">
        <is>
          <t>3월 송금</t>
        </is>
      </c>
      <c r="Q94" s="804" t="n"/>
      <c r="R94" s="803" t="inlineStr">
        <is>
          <t>Zhang Liang</t>
        </is>
      </c>
      <c r="S94" s="805">
        <f>S93-M94</f>
        <v/>
      </c>
    </row>
    <row r="95" ht="11.25" customHeight="1" s="654">
      <c r="B95" s="875" t="n">
        <v>45740</v>
      </c>
      <c r="C95" s="144" t="inlineStr">
        <is>
          <t>대행수수료</t>
        </is>
      </c>
      <c r="D95" s="149" t="n"/>
      <c r="E95" s="145" t="n">
        <v>53</v>
      </c>
      <c r="F95" s="253" t="inlineStr">
        <is>
          <t>해외지사비</t>
        </is>
      </c>
      <c r="G95" s="82" t="n"/>
      <c r="H95" s="187" t="n"/>
      <c r="I95" s="798" t="n"/>
      <c r="J95" s="187" t="n"/>
      <c r="K95" s="799" t="n">
        <v>300</v>
      </c>
      <c r="L95" s="800">
        <f>#REF!</f>
        <v/>
      </c>
      <c r="M95" s="907" t="n">
        <v>41.56</v>
      </c>
      <c r="N95" s="802">
        <f>N94+H95-K95</f>
        <v/>
      </c>
      <c r="O95" s="802">
        <f>O94+J95-M95</f>
        <v/>
      </c>
      <c r="P95" s="803" t="inlineStr">
        <is>
          <t>3월 송금</t>
        </is>
      </c>
      <c r="Q95" s="804" t="n"/>
      <c r="R95" s="803" t="inlineStr">
        <is>
          <t>Zhang Liang</t>
        </is>
      </c>
      <c r="S95" s="805">
        <f>S94-M95</f>
        <v/>
      </c>
    </row>
    <row r="96" ht="11.25" customHeight="1" s="654">
      <c r="B96" s="875" t="n">
        <v>45740</v>
      </c>
      <c r="C96" s="144" t="inlineStr">
        <is>
          <t>일비</t>
        </is>
      </c>
      <c r="D96" s="149" t="n"/>
      <c r="E96" s="145" t="n">
        <v>53</v>
      </c>
      <c r="F96" s="253" t="inlineStr">
        <is>
          <t>해외지사비</t>
        </is>
      </c>
      <c r="G96" s="82" t="n"/>
      <c r="H96" s="187" t="n"/>
      <c r="I96" s="798" t="n"/>
      <c r="J96" s="187" t="n"/>
      <c r="K96" s="799" t="n">
        <v>900</v>
      </c>
      <c r="L96" s="800">
        <f>#REF!</f>
        <v/>
      </c>
      <c r="M96" s="907">
        <f>K96/L96</f>
        <v/>
      </c>
      <c r="N96" s="802">
        <f>N95+H96-K96</f>
        <v/>
      </c>
      <c r="O96" s="802">
        <f>O95+J96-M96</f>
        <v/>
      </c>
      <c r="P96" s="803" t="inlineStr">
        <is>
          <t>3월 송금</t>
        </is>
      </c>
      <c r="Q96" s="804" t="n"/>
      <c r="R96" s="803" t="inlineStr">
        <is>
          <t>Zhang Liang</t>
        </is>
      </c>
      <c r="S96" s="805">
        <f>S95-M96</f>
        <v/>
      </c>
    </row>
    <row r="97" ht="11.25" customHeight="1" s="654">
      <c r="B97" s="875" t="n">
        <v>45740</v>
      </c>
      <c r="C97" s="144" t="inlineStr">
        <is>
          <t>현채인 월급</t>
        </is>
      </c>
      <c r="D97" s="149" t="n"/>
      <c r="E97" s="145" t="n">
        <v>53</v>
      </c>
      <c r="F97" s="253" t="inlineStr">
        <is>
          <t>해외지사비</t>
        </is>
      </c>
      <c r="G97" s="82" t="n"/>
      <c r="H97" s="187" t="n"/>
      <c r="I97" s="798" t="n"/>
      <c r="J97" s="187" t="n"/>
      <c r="K97" s="799" t="n">
        <v>25750</v>
      </c>
      <c r="L97" s="800">
        <f>#REF!</f>
        <v/>
      </c>
      <c r="M97" s="907">
        <f>K97/L97</f>
        <v/>
      </c>
      <c r="N97" s="802">
        <f>N96+H97-K97</f>
        <v/>
      </c>
      <c r="O97" s="802">
        <f>O96+J97-M97</f>
        <v/>
      </c>
      <c r="P97" s="803" t="inlineStr">
        <is>
          <t>3월 송금</t>
        </is>
      </c>
      <c r="Q97" s="804" t="n"/>
      <c r="R97" s="803" t="inlineStr">
        <is>
          <t>임결정</t>
        </is>
      </c>
      <c r="S97" s="805">
        <f>S96-M97</f>
        <v/>
      </c>
    </row>
    <row r="98" ht="11.25" customHeight="1" s="654">
      <c r="B98" s="875" t="n">
        <v>45740</v>
      </c>
      <c r="C98" s="144" t="inlineStr">
        <is>
          <t>보험비(회사납부)
公司缴纳部分合计</t>
        </is>
      </c>
      <c r="D98" s="149" t="n"/>
      <c r="E98" s="145" t="n">
        <v>53</v>
      </c>
      <c r="F98" s="253" t="inlineStr">
        <is>
          <t>해외지사비</t>
        </is>
      </c>
      <c r="G98" s="82" t="n"/>
      <c r="H98" s="187" t="n"/>
      <c r="I98" s="798" t="n"/>
      <c r="J98" s="187" t="n"/>
      <c r="K98" s="799" t="n">
        <v>7431.44</v>
      </c>
      <c r="L98" s="800">
        <f>#REF!</f>
        <v/>
      </c>
      <c r="M98" s="907">
        <f>K98/L98</f>
        <v/>
      </c>
      <c r="N98" s="802">
        <f>N97+H98-K98</f>
        <v/>
      </c>
      <c r="O98" s="802">
        <f>O97+J98-M98</f>
        <v/>
      </c>
      <c r="P98" s="803" t="inlineStr">
        <is>
          <t>3월 송금</t>
        </is>
      </c>
      <c r="Q98" s="804" t="n"/>
      <c r="R98" s="803" t="inlineStr">
        <is>
          <t>임결정</t>
        </is>
      </c>
      <c r="S98" s="805">
        <f>S97-M98</f>
        <v/>
      </c>
    </row>
    <row r="99" ht="11.25" customHeight="1" s="654">
      <c r="B99" s="875" t="n">
        <v>45740</v>
      </c>
      <c r="C99" s="144" t="inlineStr">
        <is>
          <t>대행수수료</t>
        </is>
      </c>
      <c r="D99" s="149" t="n"/>
      <c r="E99" s="145" t="n">
        <v>53</v>
      </c>
      <c r="F99" s="253" t="inlineStr">
        <is>
          <t>해외지사비</t>
        </is>
      </c>
      <c r="G99" s="82" t="n"/>
      <c r="H99" s="187" t="n"/>
      <c r="I99" s="798" t="n"/>
      <c r="J99" s="187" t="n"/>
      <c r="K99" s="799" t="n">
        <v>300</v>
      </c>
      <c r="L99" s="800">
        <f>#REF!</f>
        <v/>
      </c>
      <c r="M99" s="907">
        <f>K99/L99</f>
        <v/>
      </c>
      <c r="N99" s="802">
        <f>N98+H99-K99</f>
        <v/>
      </c>
      <c r="O99" s="802">
        <f>O98+J99-M99</f>
        <v/>
      </c>
      <c r="P99" s="803" t="inlineStr">
        <is>
          <t>3월 송금</t>
        </is>
      </c>
      <c r="Q99" s="804" t="n"/>
      <c r="R99" s="803" t="inlineStr">
        <is>
          <t>임결정</t>
        </is>
      </c>
      <c r="S99" s="805">
        <f>S98-M99</f>
        <v/>
      </c>
    </row>
    <row r="100" ht="11.25" customHeight="1" s="654">
      <c r="B100" s="875" t="n">
        <v>45740</v>
      </c>
      <c r="C100" s="144" t="inlineStr">
        <is>
          <t>현채인 월급</t>
        </is>
      </c>
      <c r="D100" s="149" t="n"/>
      <c r="E100" s="145" t="n">
        <v>53</v>
      </c>
      <c r="F100" s="253" t="inlineStr">
        <is>
          <t>해외지사비</t>
        </is>
      </c>
      <c r="G100" s="82" t="n"/>
      <c r="H100" s="187" t="n"/>
      <c r="I100" s="798" t="n"/>
      <c r="J100" s="187" t="n"/>
      <c r="K100" s="799" t="n">
        <v>21300</v>
      </c>
      <c r="L100" s="800">
        <f>#REF!</f>
        <v/>
      </c>
      <c r="M100" s="907">
        <f>K100/L100</f>
        <v/>
      </c>
      <c r="N100" s="802">
        <f>N99+H100-K100</f>
        <v/>
      </c>
      <c r="O100" s="802">
        <f>O99+J100-M100</f>
        <v/>
      </c>
      <c r="P100" s="803" t="inlineStr">
        <is>
          <t>3월 송금</t>
        </is>
      </c>
      <c r="Q100" s="804" t="n"/>
      <c r="R100" s="803" t="inlineStr">
        <is>
          <t>박미령</t>
        </is>
      </c>
      <c r="S100" s="805">
        <f>S99-M100</f>
        <v/>
      </c>
    </row>
    <row r="101" ht="11.25" customHeight="1" s="654">
      <c r="B101" s="875" t="n">
        <v>45740</v>
      </c>
      <c r="C101" s="144" t="inlineStr">
        <is>
          <t>보험비(회사납부)
公司缴纳部分合计</t>
        </is>
      </c>
      <c r="D101" s="149" t="n"/>
      <c r="E101" s="145" t="n">
        <v>53</v>
      </c>
      <c r="F101" s="253" t="inlineStr">
        <is>
          <t>해외지사비</t>
        </is>
      </c>
      <c r="G101" s="82" t="n"/>
      <c r="H101" s="187" t="n"/>
      <c r="I101" s="798" t="n"/>
      <c r="J101" s="187" t="n"/>
      <c r="K101" s="799" t="n">
        <v>5941.29</v>
      </c>
      <c r="L101" s="800">
        <f>#REF!</f>
        <v/>
      </c>
      <c r="M101" s="907">
        <f>K101/L101</f>
        <v/>
      </c>
      <c r="N101" s="802">
        <f>N100+H101-K101</f>
        <v/>
      </c>
      <c r="O101" s="802">
        <f>O100+J101-M101</f>
        <v/>
      </c>
      <c r="P101" s="803" t="inlineStr">
        <is>
          <t>3월 송금</t>
        </is>
      </c>
      <c r="Q101" s="804" t="n"/>
      <c r="R101" s="803" t="inlineStr">
        <is>
          <t>박미령</t>
        </is>
      </c>
      <c r="S101" s="805">
        <f>S100-M101</f>
        <v/>
      </c>
    </row>
    <row r="102" ht="11.25" customHeight="1" s="654">
      <c r="B102" s="875" t="n">
        <v>45740</v>
      </c>
      <c r="C102" s="144" t="inlineStr">
        <is>
          <t>대행수수료</t>
        </is>
      </c>
      <c r="D102" s="149" t="n"/>
      <c r="E102" s="145" t="n">
        <v>53</v>
      </c>
      <c r="F102" s="253" t="inlineStr">
        <is>
          <t>해외지사비</t>
        </is>
      </c>
      <c r="G102" s="82" t="n"/>
      <c r="H102" s="187" t="n"/>
      <c r="I102" s="798" t="n"/>
      <c r="J102" s="187" t="n"/>
      <c r="K102" s="799" t="n">
        <v>300</v>
      </c>
      <c r="L102" s="800">
        <f>#REF!</f>
        <v/>
      </c>
      <c r="M102" s="907">
        <f>K102/L102</f>
        <v/>
      </c>
      <c r="N102" s="802">
        <f>N101+H102-K102</f>
        <v/>
      </c>
      <c r="O102" s="802">
        <f>O101+J102-M102</f>
        <v/>
      </c>
      <c r="P102" s="803" t="inlineStr">
        <is>
          <t>3월 송금</t>
        </is>
      </c>
      <c r="Q102" s="804" t="n"/>
      <c r="R102" s="803" t="inlineStr">
        <is>
          <t>박미령</t>
        </is>
      </c>
      <c r="S102" s="805">
        <f>S101-M102</f>
        <v/>
      </c>
    </row>
    <row r="103" ht="11.25" customHeight="1" s="654">
      <c r="B103" s="875" t="n">
        <v>45740</v>
      </c>
      <c r="C103" s="144" t="inlineStr">
        <is>
          <t>일비</t>
        </is>
      </c>
      <c r="D103" s="149" t="n"/>
      <c r="E103" s="145" t="n">
        <v>53</v>
      </c>
      <c r="F103" s="253" t="inlineStr">
        <is>
          <t>해외지사비</t>
        </is>
      </c>
      <c r="G103" s="82" t="n"/>
      <c r="H103" s="187" t="n"/>
      <c r="I103" s="798" t="n"/>
      <c r="J103" s="187" t="n"/>
      <c r="K103" s="799" t="n">
        <v>1000</v>
      </c>
      <c r="L103" s="800">
        <f>#REF!</f>
        <v/>
      </c>
      <c r="M103" s="907">
        <f>K103/L103</f>
        <v/>
      </c>
      <c r="N103" s="802">
        <f>N102+H103-K103</f>
        <v/>
      </c>
      <c r="O103" s="802">
        <f>O102+J103-M103</f>
        <v/>
      </c>
      <c r="P103" s="803" t="inlineStr">
        <is>
          <t>3월 송금</t>
        </is>
      </c>
      <c r="Q103" s="804" t="n"/>
      <c r="R103" s="803" t="inlineStr">
        <is>
          <t>박미령</t>
        </is>
      </c>
      <c r="S103" s="805">
        <f>S102-M103</f>
        <v/>
      </c>
    </row>
    <row r="104" ht="11.25" customHeight="1" s="654">
      <c r="B104" s="875" t="n">
        <v>45740</v>
      </c>
      <c r="C104" s="144" t="inlineStr">
        <is>
          <t>은행수수료</t>
        </is>
      </c>
      <c r="D104" s="149" t="n"/>
      <c r="E104" s="145" t="n">
        <v>54</v>
      </c>
      <c r="F104" s="253" t="inlineStr">
        <is>
          <t>해외지사비</t>
        </is>
      </c>
      <c r="G104" s="82" t="n"/>
      <c r="H104" s="187" t="n"/>
      <c r="I104" s="798" t="n"/>
      <c r="J104" s="187" t="n"/>
      <c r="K104" s="799" t="n">
        <v>12</v>
      </c>
      <c r="L104" s="800">
        <f>#REF!</f>
        <v/>
      </c>
      <c r="M104" s="907">
        <f>K104/L104</f>
        <v/>
      </c>
      <c r="N104" s="801">
        <f>N103+H104-K104</f>
        <v/>
      </c>
      <c r="O104" s="801">
        <f>O103+J104-M104</f>
        <v/>
      </c>
      <c r="P104" s="803" t="inlineStr">
        <is>
          <t>3월 송금</t>
        </is>
      </c>
      <c r="Q104" s="804" t="n"/>
      <c r="R104" s="804" t="n"/>
      <c r="S104" s="908">
        <f>S103-M104</f>
        <v/>
      </c>
    </row>
    <row r="105" ht="11.25" customHeight="1" s="654">
      <c r="M105" s="909" t="n"/>
    </row>
    <row r="106" ht="11.25" customHeight="1" s="654">
      <c r="M106" s="909" t="n"/>
    </row>
  </sheetData>
  <autoFilter ref="B18:R104">
    <filterColumn colId="14" hiddenButton="0" showButton="0"/>
    <sortState ref="B19:R104">
      <sortCondition sortBy="cellColor" ref="M18:M104" dxfId="3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1">
    <tabColor rgb="FFFFC000"/>
    <outlinePr summaryBelow="1" summaryRight="1"/>
    <pageSetUpPr/>
  </sheetPr>
  <dimension ref="A1:AC106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700" min="3" max="3"/>
    <col width="9.75" customWidth="1" style="698" min="4" max="4"/>
    <col width="12.125" customWidth="1" style="698" min="5" max="5"/>
    <col width="12.5" customWidth="1" style="698" min="6" max="6"/>
    <col width="9.875" customWidth="1" style="688" min="7" max="7"/>
    <col width="9.75" customWidth="1" style="698" min="8" max="8"/>
    <col width="9.875" customWidth="1" style="698" min="9" max="9"/>
    <col width="10.5" customWidth="1" style="688" min="10" max="10"/>
    <col width="11" customWidth="1" style="750" min="11" max="11"/>
    <col width="11.125" customWidth="1" style="698" min="12" max="12"/>
    <col width="9.75" customWidth="1" style="698" min="13" max="13"/>
    <col width="12.375" customWidth="1" style="698" min="14" max="14"/>
    <col width="9.875" customWidth="1" style="698" min="15" max="15"/>
    <col width="10.75" customWidth="1" style="698" min="16" max="16"/>
    <col width="9.625" customWidth="1" style="698" min="17" max="17"/>
    <col width="31.5" customWidth="1" style="688" min="18" max="18"/>
    <col width="10.5" bestFit="1" customWidth="1" style="39" min="19" max="19"/>
    <col width="9" customWidth="1" style="698" min="20" max="20"/>
    <col width="9" customWidth="1" style="830" min="21" max="21"/>
    <col width="9" customWidth="1" style="698" min="22" max="16384"/>
  </cols>
  <sheetData>
    <row r="1" ht="4.5" customHeight="1" s="654">
      <c r="A1" s="14" t="n"/>
      <c r="B1" s="831" t="n"/>
      <c r="C1" s="882" t="n"/>
      <c r="D1" s="832" t="n"/>
      <c r="E1" s="833" t="n"/>
      <c r="F1" s="833" t="n"/>
      <c r="G1" s="834" t="n"/>
      <c r="H1" s="833" t="n"/>
      <c r="I1" s="833" t="n"/>
      <c r="J1" s="835" t="n"/>
      <c r="K1" s="883" t="n"/>
      <c r="L1" s="833" t="n"/>
      <c r="M1" s="836" t="n"/>
      <c r="N1" s="836" t="n"/>
      <c r="O1" s="832" t="n"/>
      <c r="P1" s="837" t="n"/>
      <c r="Q1" s="837" t="n"/>
      <c r="R1" s="838" t="n"/>
      <c r="S1" s="24" t="n"/>
    </row>
    <row r="2" ht="15" customHeight="1" s="654">
      <c r="B2" s="839" t="inlineStr">
        <is>
          <t>▶ 25년 4월 전도금 정산 내역 (심천지사)_4000061 (B2F590)</t>
        </is>
      </c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884" t="n"/>
      <c r="L2" s="702" t="n"/>
      <c r="M2" s="702" t="n"/>
      <c r="N2" s="704" t="n"/>
      <c r="O2" s="705" t="n"/>
      <c r="Q2" s="702" t="n"/>
    </row>
    <row r="3" ht="11.25" customFormat="1" customHeight="1" s="706">
      <c r="A3" s="26" t="n"/>
      <c r="B3" s="707" t="inlineStr">
        <is>
          <t>25년 3월 송금_1,446.30 (#)</t>
        </is>
      </c>
      <c r="C3" s="708" t="n"/>
      <c r="D3" s="708" t="n"/>
      <c r="E3" s="708" t="n"/>
      <c r="F3" s="184" t="n">
        <v>1446.3</v>
      </c>
      <c r="G3" s="709" t="n"/>
      <c r="H3" s="707" t="inlineStr">
        <is>
          <t>25년 4월 송금_1,482.90 (#)</t>
        </is>
      </c>
      <c r="I3" s="708" t="n"/>
      <c r="K3" s="885" t="n"/>
      <c r="L3" s="184" t="n">
        <v>1482.9</v>
      </c>
      <c r="N3" s="707" t="n"/>
      <c r="O3" s="707" t="n"/>
      <c r="P3" s="707" t="n"/>
      <c r="Q3" s="707" t="n"/>
      <c r="R3" s="707" t="n"/>
      <c r="T3" s="707" t="n"/>
      <c r="U3" s="708" t="n"/>
      <c r="V3" s="710" t="n"/>
      <c r="W3" s="710" t="n"/>
      <c r="X3" s="711" t="n">
        <v>1327.2</v>
      </c>
    </row>
    <row r="4" ht="11.25" customHeight="1" s="654">
      <c r="A4" s="14" t="n"/>
      <c r="B4" s="712" t="inlineStr">
        <is>
          <t>대계정</t>
        </is>
      </c>
      <c r="C4" s="886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07" t="n"/>
      <c r="O4" s="707" t="n"/>
      <c r="P4" s="707" t="n"/>
      <c r="Q4" s="707" t="n"/>
      <c r="R4" s="707" t="n"/>
      <c r="U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/>
      <c r="E5" s="722" t="n"/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>
        <v>19195.4</v>
      </c>
      <c r="K5" s="887" t="n">
        <v>2619.03</v>
      </c>
      <c r="L5" s="723">
        <f>ROUND(K5*$L$3,0)</f>
        <v/>
      </c>
      <c r="M5" s="910">
        <f>L5+F5</f>
        <v/>
      </c>
      <c r="N5" s="707" t="n"/>
      <c r="O5" s="707" t="n"/>
      <c r="P5" s="707" t="n"/>
      <c r="Q5" s="707" t="n"/>
      <c r="R5" s="707" t="n"/>
      <c r="S5" s="728">
        <f>F5+L5+R5</f>
        <v/>
      </c>
      <c r="U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/>
      <c r="E6" s="721" t="n"/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30648.81</v>
      </c>
      <c r="K6" s="887" t="n">
        <v>4181.74</v>
      </c>
      <c r="L6" s="723">
        <f>ROUND(K6*$L$3,0)</f>
        <v/>
      </c>
      <c r="M6" s="910">
        <f>L6+F6</f>
        <v/>
      </c>
      <c r="N6" s="707" t="n"/>
      <c r="O6" s="707" t="n"/>
      <c r="P6" s="707" t="n"/>
      <c r="Q6" s="707" t="n"/>
      <c r="R6" s="707" t="n"/>
      <c r="S6" s="728">
        <f>F6+L6+R6</f>
        <v/>
      </c>
      <c r="U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142.17</v>
      </c>
      <c r="E7" s="721" t="n">
        <v>19.7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>
        <v>24914.83</v>
      </c>
      <c r="K7" s="887" t="n">
        <v>3399.39</v>
      </c>
      <c r="L7" s="723">
        <f>ROUND(K7*$L$3,0)</f>
        <v/>
      </c>
      <c r="M7" s="910">
        <f>L7+F7</f>
        <v/>
      </c>
      <c r="N7" s="707" t="n"/>
      <c r="O7" s="707" t="n"/>
      <c r="P7" s="707" t="n"/>
      <c r="Q7" s="707" t="n"/>
      <c r="R7" s="707" t="n"/>
      <c r="S7" s="728">
        <f>F7+L7+R7</f>
        <v/>
      </c>
      <c r="U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/>
      <c r="E8" s="721" t="n"/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>
        <v>17500</v>
      </c>
      <c r="K8" s="887" t="n">
        <v>2387.71</v>
      </c>
      <c r="L8" s="723">
        <f>ROUND(K8*$L$3,0)</f>
        <v/>
      </c>
      <c r="M8" s="910">
        <f>L8+F8</f>
        <v/>
      </c>
      <c r="N8" s="707" t="n"/>
      <c r="O8" s="707" t="n"/>
      <c r="P8" s="707" t="n"/>
      <c r="Q8" s="707" t="n"/>
      <c r="R8" s="707" t="n"/>
      <c r="S8" s="728">
        <f>F8+L8+R8</f>
        <v/>
      </c>
      <c r="U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/>
      <c r="E9" s="721" t="n"/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1469.1</v>
      </c>
      <c r="K9" s="887" t="n">
        <v>200.44</v>
      </c>
      <c r="L9" s="723">
        <f>ROUND(K9*$L$3,0)</f>
        <v/>
      </c>
      <c r="M9" s="910">
        <f>L9+F9</f>
        <v/>
      </c>
      <c r="N9" s="707" t="n"/>
      <c r="O9" s="707" t="n"/>
      <c r="P9" s="707" t="n"/>
      <c r="Q9" s="707" t="n"/>
      <c r="R9" s="707" t="n"/>
      <c r="S9" s="728">
        <f>F9+L9+R9</f>
        <v/>
      </c>
      <c r="U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52250.88</v>
      </c>
      <c r="E10" s="721" t="n">
        <v>7239.17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265516.81</v>
      </c>
      <c r="K10" s="887" t="n">
        <v>36252.26</v>
      </c>
      <c r="L10" s="723">
        <f>ROUND(K10*$L$3,0)</f>
        <v/>
      </c>
      <c r="M10" s="910">
        <f>L10+F10</f>
        <v/>
      </c>
      <c r="N10" s="707" t="n"/>
      <c r="O10" s="707" t="n"/>
      <c r="P10" s="707" t="n"/>
      <c r="Q10" s="707" t="n"/>
      <c r="R10" s="707" t="n"/>
      <c r="S10" s="728">
        <f>F10+L10+R10</f>
        <v/>
      </c>
      <c r="U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888" t="inlineStr">
        <is>
          <t>성과급여조정</t>
        </is>
      </c>
      <c r="D11" s="733" t="n"/>
      <c r="E11" s="733" t="n"/>
      <c r="F11" s="735" t="n"/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889" t="n"/>
      <c r="L11" s="739">
        <f>ROUND(K11*$L$3,0)</f>
        <v/>
      </c>
      <c r="M11" s="910">
        <f>L11+F11</f>
        <v/>
      </c>
      <c r="N11" s="707" t="n"/>
      <c r="O11" s="748" t="n"/>
      <c r="P11" s="748" t="n"/>
      <c r="Q11" s="748" t="n"/>
      <c r="R11" s="707" t="n"/>
      <c r="S11" s="728">
        <f>F11+L11+R11</f>
        <v/>
      </c>
      <c r="U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0" t="inlineStr">
        <is>
          <t>(-)잡이익</t>
        </is>
      </c>
      <c r="D12" s="151" t="n"/>
      <c r="E12" s="721" t="n"/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890" t="n"/>
      <c r="L12" s="723">
        <f>ROUND(K12*$L$3,0)</f>
        <v/>
      </c>
      <c r="M12" s="910">
        <f>L12+F12</f>
        <v/>
      </c>
      <c r="N12" s="707" t="n"/>
      <c r="O12" s="748" t="n"/>
      <c r="P12" s="748" t="n"/>
      <c r="Q12" s="748" t="n"/>
      <c r="R12" s="707" t="n"/>
      <c r="S12" s="728">
        <f>F12+L12+R12</f>
        <v/>
      </c>
      <c r="U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891" t="n"/>
      <c r="D13" s="744">
        <f>SUM(D5:D11)-D12</f>
        <v/>
      </c>
      <c r="E13" s="892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17">
        <f>SUM(K5:K11)-K12</f>
        <v/>
      </c>
      <c r="L13" s="745">
        <f>SUM(L5:L11)-L12</f>
        <v/>
      </c>
      <c r="M13" s="727">
        <f>L13+F13</f>
        <v/>
      </c>
      <c r="N13" s="707" t="n"/>
      <c r="O13" s="748" t="n"/>
      <c r="P13" s="748" t="n"/>
      <c r="Q13" s="748" t="n"/>
      <c r="R13" s="707" t="n"/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4" t="n"/>
      <c r="D14" s="893" t="n"/>
      <c r="E14" s="893" t="n"/>
      <c r="F14" s="894" t="n"/>
      <c r="G14" s="752" t="n"/>
      <c r="J14" s="753">
        <f>J13+D13+P13</f>
        <v/>
      </c>
      <c r="K14" s="895">
        <f>K13+E13+Q13</f>
        <v/>
      </c>
      <c r="L14" s="754">
        <f>L13+F13+R13</f>
        <v/>
      </c>
      <c r="M14" s="755">
        <f>M16-E12</f>
        <v/>
      </c>
      <c r="N14" s="707" t="n"/>
      <c r="O14" s="748" t="n"/>
      <c r="P14" s="748" t="n"/>
      <c r="Q14" s="748" t="n"/>
      <c r="R14" s="707" t="n"/>
      <c r="X14" s="702" t="n"/>
      <c r="Y14" s="702" t="n"/>
      <c r="AB14" s="702" t="n"/>
      <c r="AC14" s="688" t="n"/>
    </row>
    <row r="15" ht="14.25" customHeight="1" s="654">
      <c r="A15" s="14" t="n"/>
      <c r="D15" s="893" t="n"/>
      <c r="E15" s="893" t="n"/>
      <c r="F15" s="893" t="n"/>
      <c r="G15" s="752" t="n"/>
      <c r="J15" s="755">
        <f>J16-#REF!</f>
        <v/>
      </c>
      <c r="K15" s="755">
        <f>K16-#REF!</f>
        <v/>
      </c>
      <c r="L15" s="755">
        <f>L16-#REF!</f>
        <v/>
      </c>
      <c r="M15" s="755">
        <f>M16-#REF!</f>
        <v/>
      </c>
      <c r="O15" s="748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>
      <c r="A16" s="14" t="n"/>
      <c r="D16" s="700" t="n"/>
      <c r="E16" s="757" t="n"/>
      <c r="F16" s="757" t="n"/>
      <c r="G16" s="752" t="n"/>
      <c r="I16" s="702" t="n"/>
      <c r="J16" s="703" t="n"/>
      <c r="K16" s="896">
        <f>SUBTOTAL(9,K19:K105)</f>
        <v/>
      </c>
      <c r="L16" s="759" t="n"/>
      <c r="M16" s="896">
        <f>SUBTOTAL(9,M19:M105)</f>
        <v/>
      </c>
      <c r="N16" s="702" t="n"/>
      <c r="Q16" s="702" t="n"/>
    </row>
    <row r="17" ht="11.25" customHeight="1" s="654">
      <c r="A17" s="14" t="n"/>
      <c r="B17" s="847" t="inlineStr">
        <is>
          <t>날짜</t>
        </is>
      </c>
      <c r="C17" s="897" t="inlineStr">
        <is>
          <t>내역</t>
        </is>
      </c>
      <c r="D17" s="848" t="inlineStr">
        <is>
          <t>담당자</t>
        </is>
      </c>
      <c r="E17" s="849" t="inlineStr">
        <is>
          <t>증빙번호</t>
        </is>
      </c>
      <c r="F17" s="848" t="inlineStr">
        <is>
          <t>대계정</t>
        </is>
      </c>
      <c r="G17" s="850" t="inlineStr">
        <is>
          <t>소계정</t>
        </is>
      </c>
      <c r="H17" s="851" t="inlineStr">
        <is>
          <t>입금</t>
        </is>
      </c>
      <c r="I17" s="852" t="n"/>
      <c r="J17" s="853" t="n"/>
      <c r="K17" s="851" t="inlineStr">
        <is>
          <t>출금</t>
        </is>
      </c>
      <c r="L17" s="852" t="n"/>
      <c r="M17" s="853" t="n"/>
      <c r="N17" s="854" t="inlineStr">
        <is>
          <t>잔액</t>
        </is>
      </c>
      <c r="O17" s="853" t="n"/>
      <c r="P17" s="848" t="n"/>
      <c r="Q17" s="853" t="n"/>
      <c r="R17" s="850" t="inlineStr">
        <is>
          <t>항목</t>
        </is>
      </c>
    </row>
    <row r="18" ht="11.25" customHeight="1" s="654">
      <c r="A18" s="14" t="n"/>
      <c r="B18" s="855" t="inlineStr">
        <is>
          <t>날짜</t>
        </is>
      </c>
      <c r="C18" s="898" t="inlineStr">
        <is>
          <t>내역</t>
        </is>
      </c>
      <c r="D18" s="856" t="inlineStr">
        <is>
          <t>담당자</t>
        </is>
      </c>
      <c r="E18" s="857" t="inlineStr">
        <is>
          <t>증빙번호</t>
        </is>
      </c>
      <c r="F18" s="856" t="inlineStr">
        <is>
          <t>대계정</t>
        </is>
      </c>
      <c r="G18" s="858" t="inlineStr">
        <is>
          <t>소계정</t>
        </is>
      </c>
      <c r="H18" s="859" t="inlineStr">
        <is>
          <t>CNY</t>
        </is>
      </c>
      <c r="I18" s="859" t="inlineStr">
        <is>
          <t>환산요율</t>
        </is>
      </c>
      <c r="J18" s="860" t="inlineStr">
        <is>
          <t>USD</t>
        </is>
      </c>
      <c r="K18" s="860" t="inlineStr">
        <is>
          <t>CNY</t>
        </is>
      </c>
      <c r="L18" s="859" t="inlineStr">
        <is>
          <t>환산요율</t>
        </is>
      </c>
      <c r="M18" s="899" t="inlineStr">
        <is>
          <t>USD</t>
        </is>
      </c>
      <c r="N18" s="851" t="inlineStr">
        <is>
          <t>CNY</t>
        </is>
      </c>
      <c r="O18" s="851" t="inlineStr">
        <is>
          <t>USD</t>
        </is>
      </c>
      <c r="P18" s="856" t="inlineStr">
        <is>
          <t>비고</t>
        </is>
      </c>
      <c r="Q18" s="853" t="n"/>
      <c r="R18" s="858" t="inlineStr">
        <is>
          <t>항목</t>
        </is>
      </c>
    </row>
    <row r="19" hidden="1" ht="11.25" customHeight="1" s="654">
      <c r="B19" s="861" t="n">
        <v>45747</v>
      </c>
      <c r="C19" s="863" t="n"/>
      <c r="D19" s="862" t="n"/>
      <c r="E19" s="863" t="n"/>
      <c r="F19" s="864" t="n"/>
      <c r="G19" s="865" t="n"/>
      <c r="H19" s="866" t="n"/>
      <c r="I19" s="862" t="n"/>
      <c r="J19" s="865" t="n"/>
      <c r="K19" s="911" t="n"/>
      <c r="L19" s="868" t="n"/>
      <c r="M19" s="869" t="n"/>
      <c r="N19" s="870" t="n">
        <v>52366.41000000056</v>
      </c>
      <c r="O19" s="870" t="n">
        <v>7258.867969209163</v>
      </c>
      <c r="P19" s="871" t="n"/>
      <c r="Q19" s="863" t="n"/>
      <c r="R19" s="872" t="n"/>
      <c r="S19" s="796" t="n">
        <v>7258.866444387002</v>
      </c>
    </row>
    <row r="20" hidden="1" ht="12" customFormat="1" customHeight="1" s="830">
      <c r="A20" s="80" t="n"/>
      <c r="B20" s="875" t="n">
        <v>45757</v>
      </c>
      <c r="C20" s="298" t="inlineStr">
        <is>
          <t>1분기 기업 소득세</t>
        </is>
      </c>
      <c r="D20" s="407" t="n"/>
      <c r="E20" s="145" t="n">
        <v>1</v>
      </c>
      <c r="F20" s="187" t="inlineStr">
        <is>
          <t>해외지사비</t>
        </is>
      </c>
      <c r="G20" s="187" t="n"/>
      <c r="H20" s="187" t="n"/>
      <c r="I20" s="187" t="n"/>
      <c r="J20" s="187" t="n"/>
      <c r="K20" s="912" t="n">
        <v>52250.88</v>
      </c>
      <c r="L20" s="800">
        <f>#REF!</f>
        <v/>
      </c>
      <c r="M20" s="907">
        <f>K20/L20</f>
        <v/>
      </c>
      <c r="N20" s="802">
        <f>N19+H20-K20</f>
        <v/>
      </c>
      <c r="O20" s="802">
        <f>O19+J20-M20</f>
        <v/>
      </c>
      <c r="P20" s="803" t="inlineStr">
        <is>
          <t>3월 송금</t>
        </is>
      </c>
      <c r="Q20" s="804" t="n"/>
      <c r="R20" s="804" t="n"/>
      <c r="S20" s="805">
        <f>S19-M20+J20</f>
        <v/>
      </c>
      <c r="T20" s="698" t="n"/>
      <c r="V20" s="698" t="n"/>
      <c r="W20" s="698" t="n"/>
      <c r="X20" s="698" t="n"/>
      <c r="Y20" s="698" t="n"/>
      <c r="Z20" s="698" t="n"/>
      <c r="AA20" s="698" t="n"/>
      <c r="AB20" s="698" t="n"/>
      <c r="AC20" s="698" t="n"/>
    </row>
    <row r="21" hidden="1" ht="12" customFormat="1" customHeight="1" s="830">
      <c r="A21" s="80" t="n"/>
      <c r="B21" s="913" t="n">
        <v>45757</v>
      </c>
      <c r="C21" s="299" t="inlineStr">
        <is>
          <t>USD입금 and RMB 환전</t>
        </is>
      </c>
      <c r="D21" s="296" t="n"/>
      <c r="E21" s="143" t="n">
        <v>2</v>
      </c>
      <c r="F21" s="283" t="n"/>
      <c r="G21" s="283" t="n"/>
      <c r="H21" s="300" t="n">
        <v>404322.65</v>
      </c>
      <c r="I21" s="914" t="n"/>
      <c r="J21" s="300" t="n">
        <v>55191</v>
      </c>
      <c r="K21" s="915" t="n"/>
      <c r="L21" s="906" t="n"/>
      <c r="M21" s="916" t="n"/>
      <c r="N21" s="802">
        <f>N20+H21-K21</f>
        <v/>
      </c>
      <c r="O21" s="802">
        <f>O20+J21-M21</f>
        <v/>
      </c>
      <c r="P21" s="917" t="n"/>
      <c r="Q21" s="918" t="n"/>
      <c r="R21" s="918" t="n"/>
      <c r="S21" s="805" t="n"/>
      <c r="T21" s="698" t="n"/>
      <c r="V21" s="698" t="n"/>
      <c r="W21" s="698" t="n"/>
      <c r="X21" s="698" t="n"/>
      <c r="Y21" s="698" t="n"/>
      <c r="Z21" s="698" t="n"/>
      <c r="AA21" s="698" t="n"/>
      <c r="AB21" s="698" t="n"/>
      <c r="AC21" s="698" t="n"/>
    </row>
    <row r="22" hidden="1" ht="12" customFormat="1" customHeight="1" s="830">
      <c r="A22" s="80" t="n"/>
      <c r="B22" s="913" t="n">
        <v>45757</v>
      </c>
      <c r="C22" s="163" t="inlineStr">
        <is>
          <t>은행수수료</t>
        </is>
      </c>
      <c r="D22" s="296" t="n"/>
      <c r="E22" s="143" t="n"/>
      <c r="F22" s="283" t="inlineStr">
        <is>
          <t>해외지사비</t>
        </is>
      </c>
      <c r="G22" s="283" t="n"/>
      <c r="H22" s="300" t="n"/>
      <c r="I22" s="914" t="n"/>
      <c r="J22" s="300" t="n"/>
      <c r="K22" s="915" t="n"/>
      <c r="L22" s="906" t="n"/>
      <c r="M22" s="919" t="n">
        <v>25</v>
      </c>
      <c r="N22" s="802">
        <f>N21+H22-K22</f>
        <v/>
      </c>
      <c r="O22" s="802">
        <f>O21+J22-M22</f>
        <v/>
      </c>
      <c r="P22" s="917" t="inlineStr">
        <is>
          <t>4월 송금</t>
        </is>
      </c>
      <c r="Q22" s="918" t="n"/>
      <c r="R22" s="918" t="n"/>
      <c r="S22" s="805" t="n"/>
      <c r="T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</row>
    <row r="23" hidden="1" ht="12" customFormat="1" customHeight="1" s="830">
      <c r="A23" s="80" t="n"/>
      <c r="B23" s="875" t="n">
        <v>45762</v>
      </c>
      <c r="C23" s="177" t="inlineStr">
        <is>
          <t>사무실 임대료/전기세 관련</t>
        </is>
      </c>
      <c r="D23" s="149" t="n"/>
      <c r="E23" s="145" t="n">
        <v>3</v>
      </c>
      <c r="F23" s="187" t="inlineStr">
        <is>
          <t>지급임차료</t>
        </is>
      </c>
      <c r="G23" s="187" t="inlineStr">
        <is>
          <t>사무실임차료</t>
        </is>
      </c>
      <c r="H23" s="187" t="n"/>
      <c r="I23" s="187" t="n"/>
      <c r="J23" s="187" t="n"/>
      <c r="K23" s="903">
        <f>L23*M23</f>
        <v/>
      </c>
      <c r="L23" s="800">
        <f>#REF!</f>
        <v/>
      </c>
      <c r="M23" s="907" t="n">
        <v>19.69670627494816</v>
      </c>
      <c r="N23" s="802">
        <f>N22+H23-K23</f>
        <v/>
      </c>
      <c r="O23" s="802">
        <f>O22+J23-M23</f>
        <v/>
      </c>
      <c r="P23" s="803" t="inlineStr">
        <is>
          <t>3월 송금</t>
        </is>
      </c>
      <c r="Q23" s="804" t="n"/>
      <c r="R23" s="804" t="n"/>
      <c r="S23" s="805" t="n"/>
      <c r="T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</row>
    <row r="24" hidden="1" ht="12" customFormat="1" customHeight="1" s="830">
      <c r="A24" s="80" t="n"/>
      <c r="B24" s="875" t="n">
        <v>45762</v>
      </c>
      <c r="C24" s="177" t="inlineStr">
        <is>
          <t>사무실 임대료/전기세 관련</t>
        </is>
      </c>
      <c r="D24" s="149" t="n"/>
      <c r="E24" s="145" t="n">
        <v>3</v>
      </c>
      <c r="F24" s="187" t="inlineStr">
        <is>
          <t>지급임차료</t>
        </is>
      </c>
      <c r="G24" s="187" t="inlineStr">
        <is>
          <t>사무실임차료</t>
        </is>
      </c>
      <c r="H24" s="187" t="n"/>
      <c r="I24" s="187" t="n"/>
      <c r="J24" s="187" t="n"/>
      <c r="K24" s="903">
        <f>25057-K23</f>
        <v/>
      </c>
      <c r="L24" s="800">
        <f>#REF!</f>
        <v/>
      </c>
      <c r="M24" s="919">
        <f>K24/L24</f>
        <v/>
      </c>
      <c r="N24" s="802">
        <f>N23+H24-K24</f>
        <v/>
      </c>
      <c r="O24" s="802">
        <f>O23+J24-M24</f>
        <v/>
      </c>
      <c r="P24" s="803" t="inlineStr">
        <is>
          <t>4월 송금</t>
        </is>
      </c>
      <c r="Q24" s="804" t="n"/>
      <c r="R24" s="920" t="n"/>
      <c r="S24" s="805">
        <f>55166-M24</f>
        <v/>
      </c>
      <c r="T24" s="698" t="n"/>
      <c r="V24" s="698" t="n"/>
      <c r="W24" s="698" t="n"/>
      <c r="X24" s="698" t="n"/>
      <c r="Y24" s="698" t="n"/>
      <c r="Z24" s="698" t="n"/>
      <c r="AA24" s="698" t="n"/>
      <c r="AB24" s="698" t="n"/>
      <c r="AC24" s="698" t="n"/>
    </row>
    <row r="25" hidden="1" ht="12" customFormat="1" customHeight="1" s="830">
      <c r="A25" s="80" t="n"/>
      <c r="B25" s="875" t="n">
        <v>45762</v>
      </c>
      <c r="C25" s="144" t="inlineStr">
        <is>
          <t>은행수수료</t>
        </is>
      </c>
      <c r="D25" s="407" t="n"/>
      <c r="E25" s="145" t="n">
        <v>4</v>
      </c>
      <c r="F25" s="187" t="inlineStr">
        <is>
          <t>해외지사비</t>
        </is>
      </c>
      <c r="G25" s="187" t="n"/>
      <c r="H25" s="187" t="n"/>
      <c r="I25" s="187" t="n"/>
      <c r="J25" s="187" t="n"/>
      <c r="K25" s="912" t="n">
        <v>7.2</v>
      </c>
      <c r="L25" s="800">
        <f>#REF!</f>
        <v/>
      </c>
      <c r="M25" s="919">
        <f>K25/L25</f>
        <v/>
      </c>
      <c r="N25" s="802">
        <f>N24+H25-K25</f>
        <v/>
      </c>
      <c r="O25" s="802">
        <f>O24+J25-M25</f>
        <v/>
      </c>
      <c r="P25" s="803" t="inlineStr">
        <is>
          <t>4월 송금</t>
        </is>
      </c>
      <c r="Q25" s="804" t="n"/>
      <c r="R25" s="920" t="n"/>
      <c r="S25" s="805">
        <f>S24-M25+J25</f>
        <v/>
      </c>
      <c r="T25" s="698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</row>
    <row r="26" hidden="1" ht="12" customFormat="1" customHeight="1" s="830">
      <c r="A26" s="80" t="n"/>
      <c r="B26" s="875" t="n">
        <v>45762</v>
      </c>
      <c r="C26" s="177" t="inlineStr">
        <is>
          <t>사무실 주차비</t>
        </is>
      </c>
      <c r="D26" s="149" t="n"/>
      <c r="E26" s="145" t="n">
        <v>5</v>
      </c>
      <c r="F26" s="253" t="inlineStr">
        <is>
          <t>여비교통비</t>
        </is>
      </c>
      <c r="G26" s="82" t="inlineStr">
        <is>
          <t>해외</t>
        </is>
      </c>
      <c r="H26" s="187" t="n"/>
      <c r="I26" s="187" t="n"/>
      <c r="J26" s="187" t="n"/>
      <c r="K26" s="903" t="n">
        <v>1600</v>
      </c>
      <c r="L26" s="800">
        <f>#REF!</f>
        <v/>
      </c>
      <c r="M26" s="919">
        <f>K26/L26</f>
        <v/>
      </c>
      <c r="N26" s="802">
        <f>N25+H26-K26</f>
        <v/>
      </c>
      <c r="O26" s="802">
        <f>O25+J26-M26</f>
        <v/>
      </c>
      <c r="P26" s="803" t="inlineStr">
        <is>
          <t>4월 송금</t>
        </is>
      </c>
      <c r="Q26" s="804" t="n"/>
      <c r="R26" s="920" t="n"/>
      <c r="S26" s="805">
        <f>S25-M26+J26</f>
        <v/>
      </c>
      <c r="T26" s="698" t="n"/>
      <c r="V26" s="698" t="n"/>
      <c r="W26" s="698" t="n"/>
      <c r="X26" s="698" t="n"/>
      <c r="Y26" s="698" t="n"/>
      <c r="Z26" s="698" t="n"/>
      <c r="AA26" s="698" t="n"/>
      <c r="AB26" s="698" t="n"/>
      <c r="AC26" s="698" t="n"/>
    </row>
    <row r="27" hidden="1" ht="12" customFormat="1" customHeight="1" s="830">
      <c r="A27" s="80" t="n"/>
      <c r="B27" s="875" t="n">
        <v>45762</v>
      </c>
      <c r="C27" s="144" t="inlineStr">
        <is>
          <t>은행수수료</t>
        </is>
      </c>
      <c r="D27" s="407" t="n"/>
      <c r="E27" s="145" t="n">
        <v>6</v>
      </c>
      <c r="F27" s="187" t="inlineStr">
        <is>
          <t>해외지사비</t>
        </is>
      </c>
      <c r="G27" s="187" t="n"/>
      <c r="H27" s="187" t="n"/>
      <c r="I27" s="187" t="n"/>
      <c r="J27" s="187" t="n"/>
      <c r="K27" s="903" t="n">
        <v>3.6</v>
      </c>
      <c r="L27" s="800">
        <f>#REF!</f>
        <v/>
      </c>
      <c r="M27" s="919">
        <f>K27/L27</f>
        <v/>
      </c>
      <c r="N27" s="802">
        <f>N26+H27-K27</f>
        <v/>
      </c>
      <c r="O27" s="802">
        <f>O26+J27-M27</f>
        <v/>
      </c>
      <c r="P27" s="803" t="inlineStr">
        <is>
          <t>4월 송금</t>
        </is>
      </c>
      <c r="Q27" s="804" t="n"/>
      <c r="R27" s="920" t="n"/>
      <c r="S27" s="805">
        <f>S26-M27+J27</f>
        <v/>
      </c>
      <c r="T27" s="698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</row>
    <row r="28" hidden="1" ht="12" customFormat="1" customHeight="1" s="830">
      <c r="A28" s="80" t="n"/>
      <c r="B28" s="875" t="n">
        <v>45768</v>
      </c>
      <c r="C28" s="177" t="inlineStr">
        <is>
          <t>세무대행비</t>
        </is>
      </c>
      <c r="D28" s="407" t="n"/>
      <c r="E28" s="145" t="n">
        <v>7</v>
      </c>
      <c r="F28" s="187" t="inlineStr">
        <is>
          <t>해외지사비</t>
        </is>
      </c>
      <c r="G28" s="187" t="n"/>
      <c r="H28" s="187" t="n"/>
      <c r="I28" s="187" t="n"/>
      <c r="J28" s="187" t="n"/>
      <c r="K28" s="903" t="n">
        <v>1010</v>
      </c>
      <c r="L28" s="800">
        <f>#REF!</f>
        <v/>
      </c>
      <c r="M28" s="919">
        <f>K28/L28</f>
        <v/>
      </c>
      <c r="N28" s="802">
        <f>N27+H28-K28</f>
        <v/>
      </c>
      <c r="O28" s="802">
        <f>O27+J28-M28</f>
        <v/>
      </c>
      <c r="P28" s="803" t="inlineStr">
        <is>
          <t>4월 송금</t>
        </is>
      </c>
      <c r="Q28" s="804" t="n"/>
      <c r="R28" s="920" t="n"/>
      <c r="S28" s="805">
        <f>S27-M28+J28</f>
        <v/>
      </c>
      <c r="T28" s="698" t="n"/>
      <c r="V28" s="698" t="n"/>
      <c r="W28" s="698" t="n"/>
      <c r="X28" s="698" t="n"/>
      <c r="Y28" s="698" t="n"/>
      <c r="Z28" s="698" t="n"/>
      <c r="AA28" s="698" t="n"/>
      <c r="AB28" s="698" t="n"/>
      <c r="AC28" s="698" t="n"/>
    </row>
    <row r="29" hidden="1" ht="12" customFormat="1" customHeight="1" s="830">
      <c r="A29" s="80" t="n"/>
      <c r="B29" s="875" t="n">
        <v>45768</v>
      </c>
      <c r="C29" s="144" t="inlineStr">
        <is>
          <t>은행수수료</t>
        </is>
      </c>
      <c r="D29" s="407" t="n"/>
      <c r="E29" s="145" t="n">
        <v>8</v>
      </c>
      <c r="F29" s="187" t="inlineStr">
        <is>
          <t>해외지사비</t>
        </is>
      </c>
      <c r="G29" s="187" t="n"/>
      <c r="H29" s="187" t="n"/>
      <c r="I29" s="187" t="n"/>
      <c r="J29" s="187" t="n"/>
      <c r="K29" s="903" t="n">
        <v>3.6</v>
      </c>
      <c r="L29" s="800">
        <f>#REF!</f>
        <v/>
      </c>
      <c r="M29" s="919">
        <f>K29/L29</f>
        <v/>
      </c>
      <c r="N29" s="802">
        <f>N28+H29-K29</f>
        <v/>
      </c>
      <c r="O29" s="802">
        <f>O28+J29-M29</f>
        <v/>
      </c>
      <c r="P29" s="803" t="inlineStr">
        <is>
          <t>4월 송금</t>
        </is>
      </c>
      <c r="Q29" s="804" t="n"/>
      <c r="R29" s="920" t="n"/>
      <c r="S29" s="805">
        <f>S28-M29+J29</f>
        <v/>
      </c>
      <c r="T29" s="698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</row>
    <row r="30" hidden="1" ht="11.25" customFormat="1" customHeight="1" s="688">
      <c r="A30" s="80" t="n"/>
      <c r="B30" s="875" t="n">
        <v>45768</v>
      </c>
      <c r="C30" s="144" t="inlineStr">
        <is>
          <t>차량 Rent비</t>
        </is>
      </c>
      <c r="D30" s="149" t="n"/>
      <c r="E30" s="149" t="n">
        <v>9</v>
      </c>
      <c r="F30" s="253" t="inlineStr">
        <is>
          <t>지급임차료</t>
        </is>
      </c>
      <c r="G30" s="82" t="inlineStr">
        <is>
          <t>차량임차료</t>
        </is>
      </c>
      <c r="H30" s="150" t="n"/>
      <c r="I30" s="189" t="n"/>
      <c r="J30" s="189" t="n"/>
      <c r="K30" s="799" t="n">
        <v>10500</v>
      </c>
      <c r="L30" s="800">
        <f>#REF!</f>
        <v/>
      </c>
      <c r="M30" s="919">
        <f>K30/L30</f>
        <v/>
      </c>
      <c r="N30" s="802">
        <f>N29+H30-K30</f>
        <v/>
      </c>
      <c r="O30" s="802">
        <f>O29+J30-M30</f>
        <v/>
      </c>
      <c r="P30" s="803" t="inlineStr">
        <is>
          <t>4월 송금</t>
        </is>
      </c>
      <c r="Q30" s="804" t="n"/>
      <c r="R30" s="920" t="n"/>
      <c r="S30" s="805">
        <f>S29-M30+J30</f>
        <v/>
      </c>
      <c r="T30" s="698" t="n"/>
      <c r="U30" s="830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</row>
    <row r="31" hidden="1" ht="11.25" customFormat="1" customHeight="1" s="688">
      <c r="A31" s="80" t="n"/>
      <c r="B31" s="875" t="n">
        <v>45768</v>
      </c>
      <c r="C31" s="144" t="inlineStr">
        <is>
          <t>차량 기사비</t>
        </is>
      </c>
      <c r="D31" s="407" t="n"/>
      <c r="E31" s="149" t="n">
        <v>9</v>
      </c>
      <c r="F31" s="253" t="inlineStr">
        <is>
          <t>해외지사비</t>
        </is>
      </c>
      <c r="G31" s="82" t="n"/>
      <c r="H31" s="150" t="n"/>
      <c r="I31" s="189" t="n"/>
      <c r="J31" s="189" t="n"/>
      <c r="K31" s="799" t="n">
        <v>6000</v>
      </c>
      <c r="L31" s="800">
        <f>#REF!</f>
        <v/>
      </c>
      <c r="M31" s="919">
        <f>K31/L31</f>
        <v/>
      </c>
      <c r="N31" s="802">
        <f>N30+H31-K31</f>
        <v/>
      </c>
      <c r="O31" s="802">
        <f>O30+J31-M31</f>
        <v/>
      </c>
      <c r="P31" s="803" t="inlineStr">
        <is>
          <t>4월 송금</t>
        </is>
      </c>
      <c r="Q31" s="804" t="n"/>
      <c r="R31" s="920" t="n"/>
      <c r="S31" s="805">
        <f>S30-M31+J31</f>
        <v/>
      </c>
      <c r="T31" s="698" t="n"/>
      <c r="U31" s="830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</row>
    <row r="32" hidden="1" ht="11.25" customFormat="1" customHeight="1" s="688">
      <c r="A32" s="80" t="n"/>
      <c r="B32" s="875" t="n">
        <v>45768</v>
      </c>
      <c r="C32" s="144" t="inlineStr">
        <is>
          <t>기사 야근비용</t>
        </is>
      </c>
      <c r="D32" s="407" t="n"/>
      <c r="E32" s="149" t="n">
        <v>9</v>
      </c>
      <c r="F32" s="253" t="inlineStr">
        <is>
          <t>해외지사비</t>
        </is>
      </c>
      <c r="G32" s="82" t="n"/>
      <c r="H32" s="150" t="n"/>
      <c r="I32" s="189" t="n"/>
      <c r="J32" s="189" t="n"/>
      <c r="K32" s="799" t="n">
        <v>470</v>
      </c>
      <c r="L32" s="800">
        <f>#REF!</f>
        <v/>
      </c>
      <c r="M32" s="919">
        <f>K32/L32</f>
        <v/>
      </c>
      <c r="N32" s="802">
        <f>N31+H32-K32</f>
        <v/>
      </c>
      <c r="O32" s="802">
        <f>O31+J32-M32</f>
        <v/>
      </c>
      <c r="P32" s="803" t="inlineStr">
        <is>
          <t>4월 송금</t>
        </is>
      </c>
      <c r="Q32" s="804" t="n"/>
      <c r="R32" s="920" t="n"/>
      <c r="S32" s="805">
        <f>S31-M32+J32</f>
        <v/>
      </c>
      <c r="T32" s="698" t="n"/>
      <c r="U32" s="830" t="n"/>
      <c r="V32" s="698" t="n"/>
      <c r="W32" s="698" t="n"/>
      <c r="X32" s="698" t="n"/>
      <c r="Y32" s="698" t="n"/>
      <c r="Z32" s="698" t="n"/>
      <c r="AA32" s="698" t="n"/>
      <c r="AB32" s="698" t="n"/>
      <c r="AC32" s="698" t="n"/>
    </row>
    <row r="33" hidden="1" ht="11.25" customFormat="1" customHeight="1" s="688">
      <c r="A33" s="80" t="n"/>
      <c r="B33" s="875" t="n">
        <v>45768</v>
      </c>
      <c r="C33" s="144" t="inlineStr">
        <is>
          <t>차량 Rent비</t>
        </is>
      </c>
      <c r="D33" s="149" t="n"/>
      <c r="E33" s="149" t="n">
        <v>9</v>
      </c>
      <c r="F33" s="253" t="inlineStr">
        <is>
          <t>지급임차료</t>
        </is>
      </c>
      <c r="G33" s="82" t="inlineStr">
        <is>
          <t>차량임차료</t>
        </is>
      </c>
      <c r="H33" s="150" t="n"/>
      <c r="I33" s="189" t="n"/>
      <c r="J33" s="189" t="n"/>
      <c r="K33" s="799" t="n">
        <v>7000</v>
      </c>
      <c r="L33" s="800">
        <f>#REF!</f>
        <v/>
      </c>
      <c r="M33" s="919">
        <f>K33/L33</f>
        <v/>
      </c>
      <c r="N33" s="802">
        <f>N32+H33-K33</f>
        <v/>
      </c>
      <c r="O33" s="802">
        <f>O32+J33-M33</f>
        <v/>
      </c>
      <c r="P33" s="803" t="inlineStr">
        <is>
          <t>4월 송금</t>
        </is>
      </c>
      <c r="Q33" s="804" t="n"/>
      <c r="R33" s="920" t="n"/>
      <c r="S33" s="805">
        <f>S32-M33+J33</f>
        <v/>
      </c>
      <c r="T33" s="698" t="n"/>
      <c r="U33" s="830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</row>
    <row r="34" hidden="1" ht="11.25" customFormat="1" customHeight="1" s="688">
      <c r="A34" s="80" t="n"/>
      <c r="B34" s="875" t="n">
        <v>45768</v>
      </c>
      <c r="C34" s="144" t="inlineStr">
        <is>
          <t>차량 기사비</t>
        </is>
      </c>
      <c r="D34" s="407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9" t="n">
        <v>6000</v>
      </c>
      <c r="L34" s="800">
        <f>#REF!</f>
        <v/>
      </c>
      <c r="M34" s="919">
        <f>K34/L34</f>
        <v/>
      </c>
      <c r="N34" s="802">
        <f>N33+H34-K34</f>
        <v/>
      </c>
      <c r="O34" s="802">
        <f>O33+J34-M34</f>
        <v/>
      </c>
      <c r="P34" s="803" t="inlineStr">
        <is>
          <t>4월 송금</t>
        </is>
      </c>
      <c r="Q34" s="804" t="n"/>
      <c r="R34" s="920" t="n"/>
      <c r="S34" s="805">
        <f>S33-M34+J34</f>
        <v/>
      </c>
      <c r="T34" s="698" t="n"/>
      <c r="U34" s="830" t="n"/>
      <c r="V34" s="698" t="n"/>
      <c r="W34" s="698" t="n"/>
      <c r="X34" s="698" t="n"/>
      <c r="Y34" s="698" t="n"/>
      <c r="Z34" s="698" t="n"/>
      <c r="AA34" s="698" t="n"/>
      <c r="AB34" s="698" t="n"/>
      <c r="AC34" s="698" t="n"/>
    </row>
    <row r="35" hidden="1" ht="11.25" customFormat="1" customHeight="1" s="688">
      <c r="A35" s="80" t="n"/>
      <c r="B35" s="875" t="n">
        <v>45768</v>
      </c>
      <c r="C35" s="144" t="inlineStr">
        <is>
          <t>기사 야근비용</t>
        </is>
      </c>
      <c r="D35" s="407" t="n"/>
      <c r="E35" s="149" t="n">
        <v>9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9" t="n">
        <v>400</v>
      </c>
      <c r="L35" s="800">
        <f>#REF!</f>
        <v/>
      </c>
      <c r="M35" s="919">
        <f>K35/L35</f>
        <v/>
      </c>
      <c r="N35" s="802">
        <f>N34+H35-K35</f>
        <v/>
      </c>
      <c r="O35" s="802">
        <f>O34+J35-M35</f>
        <v/>
      </c>
      <c r="P35" s="803" t="inlineStr">
        <is>
          <t>4월 송금</t>
        </is>
      </c>
      <c r="Q35" s="804" t="n"/>
      <c r="R35" s="920" t="n"/>
      <c r="S35" s="805">
        <f>S34-M35+J35</f>
        <v/>
      </c>
      <c r="T35" s="698" t="n"/>
      <c r="U35" s="830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</row>
    <row r="36" hidden="1" ht="11.25" customFormat="1" customHeight="1" s="688">
      <c r="A36" s="80" t="n"/>
      <c r="B36" s="875" t="n">
        <v>45768</v>
      </c>
      <c r="C36" s="144" t="inlineStr">
        <is>
          <t>은행수수료</t>
        </is>
      </c>
      <c r="D36" s="407" t="n"/>
      <c r="E36" s="149" t="n">
        <v>10</v>
      </c>
      <c r="F36" s="253" t="inlineStr">
        <is>
          <t>해외지사비</t>
        </is>
      </c>
      <c r="G36" s="82" t="n"/>
      <c r="H36" s="150" t="n"/>
      <c r="I36" s="189" t="n"/>
      <c r="J36" s="189" t="n"/>
      <c r="K36" s="903" t="n">
        <v>7.2</v>
      </c>
      <c r="L36" s="800">
        <f>#REF!</f>
        <v/>
      </c>
      <c r="M36" s="919">
        <f>K36/L36</f>
        <v/>
      </c>
      <c r="N36" s="802">
        <f>N35+H36-K36</f>
        <v/>
      </c>
      <c r="O36" s="802">
        <f>O35+J36-M36</f>
        <v/>
      </c>
      <c r="P36" s="803" t="inlineStr">
        <is>
          <t>4월 송금</t>
        </is>
      </c>
      <c r="Q36" s="804" t="n"/>
      <c r="R36" s="920" t="n"/>
      <c r="S36" s="805">
        <f>S35-M36+J36</f>
        <v/>
      </c>
      <c r="T36" s="698" t="n"/>
      <c r="U36" s="830" t="n"/>
      <c r="V36" s="698" t="n"/>
      <c r="W36" s="698" t="n"/>
      <c r="X36" s="698" t="n"/>
      <c r="Y36" s="698" t="n"/>
      <c r="Z36" s="698" t="n"/>
      <c r="AA36" s="698" t="n"/>
      <c r="AB36" s="698" t="n"/>
      <c r="AC36" s="698" t="n"/>
    </row>
    <row r="37" hidden="1" ht="11.25" customFormat="1" customHeight="1" s="688">
      <c r="A37" s="80" t="n"/>
      <c r="B37" s="875" t="n">
        <v>45768</v>
      </c>
      <c r="C37" s="144" t="inlineStr">
        <is>
          <t>신순연_사무실 wfi, 통신비</t>
        </is>
      </c>
      <c r="D37" s="302" t="n"/>
      <c r="E37" s="145" t="n">
        <v>11</v>
      </c>
      <c r="F37" s="187" t="inlineStr">
        <is>
          <t>통신비</t>
        </is>
      </c>
      <c r="G37" s="187" t="inlineStr">
        <is>
          <t>기타</t>
        </is>
      </c>
      <c r="H37" s="187" t="n"/>
      <c r="I37" s="187" t="n"/>
      <c r="J37" s="187" t="n"/>
      <c r="K37" s="921" t="n">
        <v>418</v>
      </c>
      <c r="L37" s="800">
        <f>#REF!</f>
        <v/>
      </c>
      <c r="M37" s="919">
        <f>K37/L37</f>
        <v/>
      </c>
      <c r="N37" s="802">
        <f>N36+H37-K37</f>
        <v/>
      </c>
      <c r="O37" s="802">
        <f>O36+J37-M37</f>
        <v/>
      </c>
      <c r="P37" s="803" t="inlineStr">
        <is>
          <t>4월 송금</t>
        </is>
      </c>
      <c r="Q37" s="804" t="n"/>
      <c r="R37" s="304" t="inlineStr">
        <is>
          <t>신순연</t>
        </is>
      </c>
      <c r="S37" s="805">
        <f>S36-M37+J37</f>
        <v/>
      </c>
      <c r="T37" s="698" t="n"/>
      <c r="U37" s="830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</row>
    <row r="38" hidden="1" ht="11.25" customFormat="1" customHeight="1" s="688">
      <c r="A38" s="80" t="n"/>
      <c r="B38" s="875" t="n">
        <v>45768</v>
      </c>
      <c r="C38" s="144" t="inlineStr">
        <is>
          <t>은행수수료</t>
        </is>
      </c>
      <c r="D38" s="407" t="n"/>
      <c r="E38" s="145" t="n">
        <v>12</v>
      </c>
      <c r="F38" s="187" t="inlineStr">
        <is>
          <t>해외지사비</t>
        </is>
      </c>
      <c r="G38" s="187" t="n"/>
      <c r="H38" s="187" t="n"/>
      <c r="I38" s="187" t="n"/>
      <c r="J38" s="187" t="n"/>
      <c r="K38" s="921" t="n">
        <v>3.6</v>
      </c>
      <c r="L38" s="800">
        <f>#REF!</f>
        <v/>
      </c>
      <c r="M38" s="919">
        <f>K38/L38</f>
        <v/>
      </c>
      <c r="N38" s="802">
        <f>N37+H38-K38</f>
        <v/>
      </c>
      <c r="O38" s="802">
        <f>O37+J38-M38</f>
        <v/>
      </c>
      <c r="P38" s="803" t="inlineStr">
        <is>
          <t>4월 송금</t>
        </is>
      </c>
      <c r="Q38" s="804" t="n"/>
      <c r="R38" s="304" t="inlineStr">
        <is>
          <t>신순연</t>
        </is>
      </c>
      <c r="S38" s="805">
        <f>S37-M38+J38</f>
        <v/>
      </c>
      <c r="T38" s="698" t="n"/>
      <c r="U38" s="830" t="n"/>
      <c r="V38" s="698" t="n"/>
      <c r="W38" s="698" t="n"/>
      <c r="X38" s="698" t="n"/>
      <c r="Y38" s="698" t="n"/>
      <c r="Z38" s="698" t="n"/>
      <c r="AA38" s="698" t="n"/>
      <c r="AB38" s="698" t="n"/>
      <c r="AC38" s="698" t="n"/>
    </row>
    <row r="39" hidden="1" ht="11.25" customFormat="1" customHeight="1" s="688">
      <c r="A39" s="80" t="n"/>
      <c r="B39" s="875" t="n">
        <v>45768</v>
      </c>
      <c r="C39" s="144" t="inlineStr">
        <is>
          <t>Pan Shi Qiang_시내교통비</t>
        </is>
      </c>
      <c r="D39" s="149" t="n"/>
      <c r="E39" s="149" t="n">
        <v>13</v>
      </c>
      <c r="F39" s="253" t="inlineStr">
        <is>
          <t>여비교통비</t>
        </is>
      </c>
      <c r="G39" s="82" t="inlineStr">
        <is>
          <t>해외</t>
        </is>
      </c>
      <c r="H39" s="187" t="n"/>
      <c r="I39" s="187" t="n"/>
      <c r="J39" s="187" t="n"/>
      <c r="K39" s="921" t="n">
        <v>128.41</v>
      </c>
      <c r="L39" s="800">
        <f>#REF!</f>
        <v/>
      </c>
      <c r="M39" s="919">
        <f>K39/L39</f>
        <v/>
      </c>
      <c r="N39" s="802">
        <f>N38+H39-K39</f>
        <v/>
      </c>
      <c r="O39" s="802">
        <f>O38+J39-M39</f>
        <v/>
      </c>
      <c r="P39" s="803" t="inlineStr">
        <is>
          <t>4월 송금</t>
        </is>
      </c>
      <c r="Q39" s="804" t="n"/>
      <c r="R39" s="177" t="inlineStr">
        <is>
          <t>Pan Shi Qiang</t>
        </is>
      </c>
      <c r="S39" s="805">
        <f>S38-M39+J39</f>
        <v/>
      </c>
      <c r="T39" s="698" t="n"/>
      <c r="U39" s="830" t="n"/>
      <c r="V39" s="698" t="n"/>
      <c r="W39" s="698" t="n"/>
      <c r="X39" s="698" t="n"/>
      <c r="Y39" s="698" t="n"/>
      <c r="Z39" s="698" t="n"/>
      <c r="AA39" s="698" t="n"/>
      <c r="AB39" s="698" t="n"/>
      <c r="AC39" s="698" t="n"/>
    </row>
    <row r="40" hidden="1" ht="11.25" customFormat="1" customHeight="1" s="688">
      <c r="A40" s="80" t="n"/>
      <c r="B40" s="875" t="n">
        <v>45768</v>
      </c>
      <c r="C40" s="144" t="inlineStr">
        <is>
          <t>Pan Shi Qiang_출장비</t>
        </is>
      </c>
      <c r="D40" s="149" t="n"/>
      <c r="E40" s="149" t="n">
        <v>14</v>
      </c>
      <c r="F40" s="253" t="inlineStr">
        <is>
          <t>여비교통비</t>
        </is>
      </c>
      <c r="G40" s="82" t="inlineStr">
        <is>
          <t>해외</t>
        </is>
      </c>
      <c r="H40" s="187" t="n"/>
      <c r="I40" s="187" t="n"/>
      <c r="J40" s="187" t="n"/>
      <c r="K40" s="799" t="n">
        <v>4365.36</v>
      </c>
      <c r="L40" s="800">
        <f>#REF!</f>
        <v/>
      </c>
      <c r="M40" s="919">
        <f>K40/L40</f>
        <v/>
      </c>
      <c r="N40" s="802">
        <f>N39+H40-K40</f>
        <v/>
      </c>
      <c r="O40" s="802">
        <f>O39+J40-M40</f>
        <v/>
      </c>
      <c r="P40" s="803" t="inlineStr">
        <is>
          <t>4월 송금</t>
        </is>
      </c>
      <c r="Q40" s="804" t="n"/>
      <c r="R40" s="177" t="inlineStr">
        <is>
          <t>Pan Shi Qiang</t>
        </is>
      </c>
      <c r="S40" s="805">
        <f>S39-M40+J40</f>
        <v/>
      </c>
      <c r="T40" s="698" t="n"/>
      <c r="U40" s="830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</row>
    <row r="41" hidden="1" ht="11.25" customFormat="1" customHeight="1" s="688">
      <c r="A41" s="80" t="n"/>
      <c r="B41" s="875" t="n">
        <v>45768</v>
      </c>
      <c r="C41" s="144" t="inlineStr">
        <is>
          <t>Pan Shi Qiang_통신비</t>
        </is>
      </c>
      <c r="D41" s="149" t="n"/>
      <c r="E41" s="149" t="n">
        <v>15</v>
      </c>
      <c r="F41" s="187" t="inlineStr">
        <is>
          <t>통신비</t>
        </is>
      </c>
      <c r="G41" s="187" t="inlineStr">
        <is>
          <t>기타</t>
        </is>
      </c>
      <c r="H41" s="187" t="n"/>
      <c r="I41" s="187" t="n"/>
      <c r="J41" s="187" t="n"/>
      <c r="K41" s="799" t="n">
        <v>153.6</v>
      </c>
      <c r="L41" s="800">
        <f>#REF!</f>
        <v/>
      </c>
      <c r="M41" s="919">
        <f>K41/L41</f>
        <v/>
      </c>
      <c r="N41" s="802">
        <f>N40+H41-K41</f>
        <v/>
      </c>
      <c r="O41" s="802">
        <f>O40+J41-M41</f>
        <v/>
      </c>
      <c r="P41" s="803" t="inlineStr">
        <is>
          <t>4월 송금</t>
        </is>
      </c>
      <c r="Q41" s="804" t="n"/>
      <c r="R41" s="177" t="inlineStr">
        <is>
          <t>Pan Shi Qiang</t>
        </is>
      </c>
      <c r="S41" s="805">
        <f>S40-M41+J41</f>
        <v/>
      </c>
      <c r="T41" s="698" t="n"/>
      <c r="U41" s="830" t="n"/>
      <c r="V41" s="698" t="n"/>
      <c r="W41" s="698" t="n"/>
      <c r="X41" s="698" t="n"/>
      <c r="Y41" s="698" t="n"/>
      <c r="Z41" s="698" t="n"/>
      <c r="AA41" s="698" t="n"/>
      <c r="AB41" s="698" t="n"/>
      <c r="AC41" s="698" t="n"/>
    </row>
    <row r="42" hidden="1" ht="11.25" customFormat="1" customHeight="1" s="688">
      <c r="A42" s="80" t="n"/>
      <c r="B42" s="875" t="n">
        <v>45768</v>
      </c>
      <c r="C42" s="144" t="inlineStr">
        <is>
          <t>Pan Shi Qiang_택배비</t>
        </is>
      </c>
      <c r="D42" s="407" t="n"/>
      <c r="E42" s="149" t="n">
        <v>16</v>
      </c>
      <c r="F42" s="187" t="inlineStr">
        <is>
          <t>해외지사비</t>
        </is>
      </c>
      <c r="G42" s="187" t="n"/>
      <c r="H42" s="187" t="n"/>
      <c r="I42" s="187" t="n"/>
      <c r="J42" s="187" t="n"/>
      <c r="K42" s="799" t="n">
        <v>135</v>
      </c>
      <c r="L42" s="800">
        <f>#REF!</f>
        <v/>
      </c>
      <c r="M42" s="919">
        <f>K42/L42</f>
        <v/>
      </c>
      <c r="N42" s="802">
        <f>N41+H42-K42</f>
        <v/>
      </c>
      <c r="O42" s="802">
        <f>O41+J42-M42</f>
        <v/>
      </c>
      <c r="P42" s="803" t="inlineStr">
        <is>
          <t>4월 송금</t>
        </is>
      </c>
      <c r="Q42" s="804" t="n"/>
      <c r="R42" s="177" t="inlineStr">
        <is>
          <t>Pan Shi Qiang</t>
        </is>
      </c>
      <c r="S42" s="805">
        <f>S41-M42+J42</f>
        <v/>
      </c>
      <c r="T42" s="698" t="n"/>
      <c r="U42" s="830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</row>
    <row r="43" hidden="1" ht="11.25" customFormat="1" customHeight="1" s="688">
      <c r="A43" s="80" t="n"/>
      <c r="B43" s="875" t="n">
        <v>45768</v>
      </c>
      <c r="C43" s="144" t="inlineStr">
        <is>
          <t>은행수수료</t>
        </is>
      </c>
      <c r="D43" s="407" t="n"/>
      <c r="E43" s="149" t="n">
        <v>17</v>
      </c>
      <c r="F43" s="187" t="inlineStr">
        <is>
          <t>해외지사비</t>
        </is>
      </c>
      <c r="G43" s="187" t="n"/>
      <c r="H43" s="187" t="n"/>
      <c r="I43" s="187" t="n"/>
      <c r="J43" s="187" t="n"/>
      <c r="K43" s="799" t="n">
        <v>3.6</v>
      </c>
      <c r="L43" s="800">
        <f>#REF!</f>
        <v/>
      </c>
      <c r="M43" s="919">
        <f>K43/L43</f>
        <v/>
      </c>
      <c r="N43" s="802">
        <f>N42+H43-K43</f>
        <v/>
      </c>
      <c r="O43" s="802">
        <f>O42+J43-M43</f>
        <v/>
      </c>
      <c r="P43" s="803" t="inlineStr">
        <is>
          <t>4월 송금</t>
        </is>
      </c>
      <c r="Q43" s="804" t="n"/>
      <c r="R43" s="177" t="inlineStr">
        <is>
          <t>Pan Shi Qiang</t>
        </is>
      </c>
      <c r="S43" s="805">
        <f>S42-M43+J43</f>
        <v/>
      </c>
      <c r="T43" s="698" t="n"/>
      <c r="U43" s="830" t="n"/>
      <c r="V43" s="698" t="n"/>
      <c r="W43" s="698" t="n"/>
      <c r="X43" s="698" t="n"/>
      <c r="Y43" s="698" t="n"/>
      <c r="Z43" s="698" t="n"/>
      <c r="AA43" s="698" t="n"/>
      <c r="AB43" s="698" t="n"/>
      <c r="AC43" s="698" t="n"/>
    </row>
    <row r="44" hidden="1" ht="11.25" customFormat="1" customHeight="1" s="688">
      <c r="A44" s="80" t="n"/>
      <c r="B44" s="875" t="n">
        <v>45768</v>
      </c>
      <c r="C44" s="821" t="inlineStr">
        <is>
          <t>시내교통비</t>
        </is>
      </c>
      <c r="D44" s="149" t="n"/>
      <c r="E44" s="149" t="n">
        <v>18</v>
      </c>
      <c r="F44" s="253" t="inlineStr">
        <is>
          <t>여비교통비</t>
        </is>
      </c>
      <c r="G44" s="82" t="inlineStr">
        <is>
          <t>해외</t>
        </is>
      </c>
      <c r="H44" s="187" t="n"/>
      <c r="I44" s="187" t="n"/>
      <c r="J44" s="187" t="n"/>
      <c r="K44" s="921" t="n">
        <v>207.37</v>
      </c>
      <c r="L44" s="800">
        <f>#REF!</f>
        <v/>
      </c>
      <c r="M44" s="919">
        <f>K44/L44</f>
        <v/>
      </c>
      <c r="N44" s="802">
        <f>N43+H44-K44</f>
        <v/>
      </c>
      <c r="O44" s="802">
        <f>O43+J44-M44</f>
        <v/>
      </c>
      <c r="P44" s="803" t="inlineStr">
        <is>
          <t>4월 송금</t>
        </is>
      </c>
      <c r="Q44" s="804" t="n"/>
      <c r="R44" s="304" t="inlineStr">
        <is>
          <t>Zhang Liang</t>
        </is>
      </c>
      <c r="S44" s="805">
        <f>S43-M44+J44</f>
        <v/>
      </c>
      <c r="T44" s="698" t="n"/>
      <c r="U44" s="830" t="n"/>
      <c r="V44" s="698" t="n"/>
      <c r="W44" s="698" t="n"/>
      <c r="X44" s="698" t="n"/>
      <c r="Y44" s="698" t="n"/>
      <c r="Z44" s="698" t="n"/>
      <c r="AA44" s="698" t="n"/>
      <c r="AB44" s="698" t="n"/>
      <c r="AC44" s="698" t="n"/>
    </row>
    <row r="45" hidden="1" ht="11.25" customFormat="1" customHeight="1" s="688">
      <c r="A45" s="80" t="n"/>
      <c r="B45" s="875" t="n">
        <v>45768</v>
      </c>
      <c r="C45" s="177" t="inlineStr">
        <is>
          <t>출장비</t>
        </is>
      </c>
      <c r="D45" s="149" t="n"/>
      <c r="E45" s="149" t="n">
        <v>19</v>
      </c>
      <c r="F45" s="253" t="inlineStr">
        <is>
          <t>여비교통비</t>
        </is>
      </c>
      <c r="G45" s="82" t="inlineStr">
        <is>
          <t>해외</t>
        </is>
      </c>
      <c r="H45" s="187" t="n"/>
      <c r="I45" s="187" t="n"/>
      <c r="J45" s="187" t="n"/>
      <c r="K45" s="799" t="n">
        <v>941.79</v>
      </c>
      <c r="L45" s="800">
        <f>#REF!</f>
        <v/>
      </c>
      <c r="M45" s="919">
        <f>K45/L45</f>
        <v/>
      </c>
      <c r="N45" s="802">
        <f>N44+H45-K45</f>
        <v/>
      </c>
      <c r="O45" s="802">
        <f>O44+J45-M45</f>
        <v/>
      </c>
      <c r="P45" s="803" t="inlineStr">
        <is>
          <t>4월 송금</t>
        </is>
      </c>
      <c r="Q45" s="804" t="n"/>
      <c r="R45" s="304" t="inlineStr">
        <is>
          <t>Zhang Liang</t>
        </is>
      </c>
      <c r="S45" s="805">
        <f>S44-M45+J45</f>
        <v/>
      </c>
      <c r="T45" s="698" t="n"/>
      <c r="U45" s="830" t="n"/>
      <c r="V45" s="698" t="n"/>
      <c r="W45" s="698" t="n"/>
      <c r="X45" s="698" t="n"/>
      <c r="Y45" s="698" t="n"/>
      <c r="Z45" s="698" t="n"/>
      <c r="AA45" s="698" t="n"/>
      <c r="AB45" s="698" t="n"/>
      <c r="AC45" s="698" t="n"/>
    </row>
    <row r="46" hidden="1" ht="11.25" customFormat="1" customHeight="1" s="688">
      <c r="A46" s="80" t="n"/>
      <c r="B46" s="875" t="n">
        <v>45768</v>
      </c>
      <c r="C46" s="177" t="inlineStr">
        <is>
          <t>통신비</t>
        </is>
      </c>
      <c r="D46" s="149" t="n"/>
      <c r="E46" s="149" t="n">
        <v>20</v>
      </c>
      <c r="F46" s="187" t="inlineStr">
        <is>
          <t>통신비</t>
        </is>
      </c>
      <c r="G46" s="187" t="inlineStr">
        <is>
          <t>기타</t>
        </is>
      </c>
      <c r="H46" s="187" t="n"/>
      <c r="I46" s="187" t="n"/>
      <c r="J46" s="187" t="n"/>
      <c r="K46" s="878" t="n">
        <v>400</v>
      </c>
      <c r="L46" s="800">
        <f>#REF!</f>
        <v/>
      </c>
      <c r="M46" s="919">
        <f>K46/L46</f>
        <v/>
      </c>
      <c r="N46" s="802">
        <f>N45+H46-K46</f>
        <v/>
      </c>
      <c r="O46" s="802">
        <f>O45+J46-M46</f>
        <v/>
      </c>
      <c r="P46" s="803" t="inlineStr">
        <is>
          <t>4월 송금</t>
        </is>
      </c>
      <c r="Q46" s="804" t="n"/>
      <c r="R46" s="304" t="inlineStr">
        <is>
          <t>Zhang Liang</t>
        </is>
      </c>
      <c r="S46" s="805">
        <f>S45-M46+J46</f>
        <v/>
      </c>
      <c r="T46" s="698" t="n"/>
      <c r="U46" s="830" t="n"/>
      <c r="V46" s="698" t="n"/>
      <c r="W46" s="698" t="n"/>
      <c r="X46" s="698" t="n"/>
      <c r="Y46" s="698" t="n"/>
      <c r="Z46" s="698" t="n"/>
      <c r="AA46" s="698" t="n"/>
      <c r="AB46" s="698" t="n"/>
      <c r="AC46" s="698" t="n"/>
    </row>
    <row r="47" hidden="1" ht="11.25" customFormat="1" customHeight="1" s="688">
      <c r="A47" s="80" t="n"/>
      <c r="B47" s="875" t="n">
        <v>45768</v>
      </c>
      <c r="C47" s="177" t="inlineStr">
        <is>
          <t>업무추진비</t>
        </is>
      </c>
      <c r="D47" s="149" t="n"/>
      <c r="E47" s="149" t="n">
        <v>21</v>
      </c>
      <c r="F47" s="187" t="inlineStr">
        <is>
          <t>업무추진비</t>
        </is>
      </c>
      <c r="G47" s="187" t="inlineStr">
        <is>
          <t>일반</t>
        </is>
      </c>
      <c r="H47" s="187" t="n"/>
      <c r="I47" s="187" t="n"/>
      <c r="J47" s="187" t="n"/>
      <c r="K47" s="878" t="n">
        <v>179</v>
      </c>
      <c r="L47" s="800">
        <f>#REF!</f>
        <v/>
      </c>
      <c r="M47" s="919">
        <f>K47/L47</f>
        <v/>
      </c>
      <c r="N47" s="802">
        <f>N46+H47-K47</f>
        <v/>
      </c>
      <c r="O47" s="802">
        <f>O46+J47-M47</f>
        <v/>
      </c>
      <c r="P47" s="803" t="inlineStr">
        <is>
          <t>4월 송금</t>
        </is>
      </c>
      <c r="Q47" s="804" t="n"/>
      <c r="R47" s="304" t="inlineStr">
        <is>
          <t>Zhang Liang</t>
        </is>
      </c>
      <c r="S47" s="805">
        <f>S46-M47+J47</f>
        <v/>
      </c>
      <c r="T47" s="698" t="n"/>
      <c r="U47" s="830" t="n"/>
      <c r="V47" s="698" t="n"/>
      <c r="W47" s="698" t="n"/>
      <c r="X47" s="698" t="n"/>
      <c r="Y47" s="698" t="n"/>
      <c r="Z47" s="698" t="n"/>
      <c r="AA47" s="698" t="n"/>
      <c r="AB47" s="698" t="n"/>
      <c r="AC47" s="698" t="n"/>
    </row>
    <row r="48" hidden="1" ht="11.25" customFormat="1" customHeight="1" s="688">
      <c r="A48" s="80" t="n"/>
      <c r="B48" s="875" t="n">
        <v>45768</v>
      </c>
      <c r="C48" s="177" t="inlineStr">
        <is>
          <t>택배비</t>
        </is>
      </c>
      <c r="D48" s="407" t="n"/>
      <c r="E48" s="149" t="n">
        <v>22</v>
      </c>
      <c r="F48" s="187" t="inlineStr">
        <is>
          <t>해외지사비</t>
        </is>
      </c>
      <c r="G48" s="187" t="n"/>
      <c r="H48" s="187" t="n"/>
      <c r="I48" s="187" t="n"/>
      <c r="J48" s="187" t="n"/>
      <c r="K48" s="878" t="n">
        <v>424.55</v>
      </c>
      <c r="L48" s="800">
        <f>#REF!</f>
        <v/>
      </c>
      <c r="M48" s="919">
        <f>K48/L48</f>
        <v/>
      </c>
      <c r="N48" s="802">
        <f>N47+H48-K48</f>
        <v/>
      </c>
      <c r="O48" s="802">
        <f>O47+J48-M48</f>
        <v/>
      </c>
      <c r="P48" s="803" t="inlineStr">
        <is>
          <t>4월 송금</t>
        </is>
      </c>
      <c r="Q48" s="804" t="n"/>
      <c r="R48" s="304" t="inlineStr">
        <is>
          <t>Zhang Liang</t>
        </is>
      </c>
      <c r="S48" s="805">
        <f>S47-M48+J48</f>
        <v/>
      </c>
      <c r="T48" s="698" t="n"/>
      <c r="U48" s="830" t="n"/>
      <c r="V48" s="698" t="n"/>
      <c r="W48" s="698" t="n"/>
      <c r="X48" s="698" t="n"/>
      <c r="Y48" s="698" t="n"/>
      <c r="Z48" s="698" t="n"/>
      <c r="AA48" s="698" t="n"/>
      <c r="AB48" s="698" t="n"/>
      <c r="AC48" s="698" t="n"/>
    </row>
    <row r="49" hidden="1" ht="11.25" customFormat="1" customHeight="1" s="688">
      <c r="A49" s="80" t="n"/>
      <c r="B49" s="875" t="n">
        <v>45768</v>
      </c>
      <c r="C49" s="177" t="inlineStr">
        <is>
          <t>사무용픔</t>
        </is>
      </c>
      <c r="D49" s="407" t="n"/>
      <c r="E49" s="149" t="n">
        <v>23</v>
      </c>
      <c r="F49" s="187" t="inlineStr">
        <is>
          <t>해외지사비</t>
        </is>
      </c>
      <c r="G49" s="187" t="n"/>
      <c r="H49" s="187" t="n"/>
      <c r="I49" s="187" t="n"/>
      <c r="J49" s="187" t="n"/>
      <c r="K49" s="878" t="n">
        <v>127.56</v>
      </c>
      <c r="L49" s="800">
        <f>#REF!</f>
        <v/>
      </c>
      <c r="M49" s="919">
        <f>K49/L49</f>
        <v/>
      </c>
      <c r="N49" s="802">
        <f>N48+H49-K49</f>
        <v/>
      </c>
      <c r="O49" s="802">
        <f>O48+J49-M49</f>
        <v/>
      </c>
      <c r="P49" s="803" t="inlineStr">
        <is>
          <t>4월 송금</t>
        </is>
      </c>
      <c r="Q49" s="804" t="n"/>
      <c r="R49" s="304" t="inlineStr">
        <is>
          <t>Zhang Liang</t>
        </is>
      </c>
      <c r="S49" s="805">
        <f>S48-M49+J49</f>
        <v/>
      </c>
      <c r="T49" s="698" t="n"/>
      <c r="U49" s="830" t="n"/>
      <c r="V49" s="698" t="n"/>
      <c r="W49" s="698" t="n"/>
      <c r="X49" s="698" t="n"/>
      <c r="Y49" s="698" t="n"/>
      <c r="Z49" s="698" t="n"/>
      <c r="AA49" s="698" t="n"/>
      <c r="AB49" s="698" t="n"/>
      <c r="AC49" s="698" t="n"/>
    </row>
    <row r="50" hidden="1" ht="11.25" customFormat="1" customHeight="1" s="688">
      <c r="A50" s="80" t="n"/>
      <c r="B50" s="875" t="n">
        <v>45768</v>
      </c>
      <c r="C50" s="177" t="inlineStr">
        <is>
          <t>은행수수료</t>
        </is>
      </c>
      <c r="D50" s="407" t="n"/>
      <c r="E50" s="149" t="n">
        <v>24</v>
      </c>
      <c r="F50" s="187" t="inlineStr">
        <is>
          <t>해외지사비</t>
        </is>
      </c>
      <c r="G50" s="187" t="n"/>
      <c r="H50" s="187" t="n"/>
      <c r="I50" s="187" t="n"/>
      <c r="J50" s="187" t="n"/>
      <c r="K50" s="878" t="n">
        <v>3.6</v>
      </c>
      <c r="L50" s="800">
        <f>#REF!</f>
        <v/>
      </c>
      <c r="M50" s="919">
        <f>K50/L50</f>
        <v/>
      </c>
      <c r="N50" s="802">
        <f>N49+H50-K50</f>
        <v/>
      </c>
      <c r="O50" s="802">
        <f>O49+J50-M50</f>
        <v/>
      </c>
      <c r="P50" s="803" t="inlineStr">
        <is>
          <t>4월 송금</t>
        </is>
      </c>
      <c r="Q50" s="804" t="n"/>
      <c r="R50" s="304" t="inlineStr">
        <is>
          <t>Zhang Liang</t>
        </is>
      </c>
      <c r="S50" s="805">
        <f>S49-M50+J50</f>
        <v/>
      </c>
      <c r="T50" s="698" t="n"/>
      <c r="U50" s="830" t="n"/>
      <c r="V50" s="698" t="n"/>
      <c r="W50" s="698" t="n"/>
      <c r="X50" s="698" t="n"/>
      <c r="Y50" s="698" t="n"/>
      <c r="Z50" s="698" t="n"/>
      <c r="AA50" s="698" t="n"/>
      <c r="AB50" s="698" t="n"/>
      <c r="AC50" s="698" t="n"/>
    </row>
    <row r="51" hidden="1" ht="11.25" customFormat="1" customHeight="1" s="688">
      <c r="A51" s="80" t="n"/>
      <c r="B51" s="875" t="n">
        <v>45768</v>
      </c>
      <c r="C51" s="177" t="inlineStr">
        <is>
          <t>시내/시외교통비</t>
        </is>
      </c>
      <c r="D51" s="149" t="n"/>
      <c r="E51" s="149" t="n">
        <v>25</v>
      </c>
      <c r="F51" s="253" t="inlineStr">
        <is>
          <t>여비교통비</t>
        </is>
      </c>
      <c r="G51" s="82" t="inlineStr">
        <is>
          <t>해외</t>
        </is>
      </c>
      <c r="H51" s="187" t="n"/>
      <c r="I51" s="187" t="n"/>
      <c r="J51" s="187" t="n"/>
      <c r="K51" s="921" t="n">
        <v>663.95</v>
      </c>
      <c r="L51" s="800">
        <f>#REF!</f>
        <v/>
      </c>
      <c r="M51" s="919">
        <f>K51/L51</f>
        <v/>
      </c>
      <c r="N51" s="802">
        <f>N50+H51-K51</f>
        <v/>
      </c>
      <c r="O51" s="802">
        <f>O50+J51-M51</f>
        <v/>
      </c>
      <c r="P51" s="803" t="inlineStr">
        <is>
          <t>4월 송금</t>
        </is>
      </c>
      <c r="Q51" s="804" t="n"/>
      <c r="R51" s="803" t="inlineStr">
        <is>
          <t>Lin Jie Ting</t>
        </is>
      </c>
      <c r="S51" s="805">
        <f>S50-M51+J51</f>
        <v/>
      </c>
      <c r="T51" s="698" t="n"/>
      <c r="U51" s="830" t="n"/>
      <c r="V51" s="698" t="n"/>
      <c r="W51" s="698" t="n"/>
      <c r="X51" s="698" t="n"/>
      <c r="Y51" s="698" t="n"/>
      <c r="Z51" s="698" t="n"/>
      <c r="AA51" s="698" t="n"/>
      <c r="AB51" s="698" t="n"/>
      <c r="AC51" s="698" t="n"/>
    </row>
    <row r="52" hidden="1" ht="11.25" customFormat="1" customHeight="1" s="688">
      <c r="A52" s="80" t="n"/>
      <c r="B52" s="875" t="n">
        <v>45768</v>
      </c>
      <c r="C52" s="177" t="inlineStr">
        <is>
          <t>통신비</t>
        </is>
      </c>
      <c r="D52" s="149" t="n"/>
      <c r="E52" s="149" t="n">
        <v>26</v>
      </c>
      <c r="F52" s="187" t="inlineStr">
        <is>
          <t>통신비</t>
        </is>
      </c>
      <c r="G52" s="187" t="inlineStr">
        <is>
          <t>기타</t>
        </is>
      </c>
      <c r="H52" s="187" t="n"/>
      <c r="I52" s="187" t="n"/>
      <c r="J52" s="187" t="n"/>
      <c r="K52" s="878" t="n">
        <v>299.4</v>
      </c>
      <c r="L52" s="800">
        <f>#REF!</f>
        <v/>
      </c>
      <c r="M52" s="919">
        <f>K52/L52</f>
        <v/>
      </c>
      <c r="N52" s="802">
        <f>N51+H52-K52</f>
        <v/>
      </c>
      <c r="O52" s="802">
        <f>O51+J52-M52</f>
        <v/>
      </c>
      <c r="P52" s="803" t="inlineStr">
        <is>
          <t>4월 송금</t>
        </is>
      </c>
      <c r="Q52" s="804" t="n"/>
      <c r="R52" s="803" t="inlineStr">
        <is>
          <t>Lin Jie Ting</t>
        </is>
      </c>
      <c r="S52" s="805">
        <f>S51-M52+J52</f>
        <v/>
      </c>
      <c r="T52" s="698" t="n"/>
      <c r="U52" s="830" t="n"/>
      <c r="V52" s="698" t="n"/>
      <c r="W52" s="698" t="n"/>
      <c r="X52" s="698" t="n"/>
      <c r="Y52" s="698" t="n"/>
      <c r="Z52" s="698" t="n"/>
      <c r="AA52" s="698" t="n"/>
      <c r="AB52" s="698" t="n"/>
      <c r="AC52" s="698" t="n"/>
    </row>
    <row r="53" hidden="1" ht="11.25" customFormat="1" customHeight="1" s="688">
      <c r="A53" s="80" t="n"/>
      <c r="B53" s="875" t="n">
        <v>45768</v>
      </c>
      <c r="C53" s="177" t="inlineStr">
        <is>
          <t>택배비</t>
        </is>
      </c>
      <c r="D53" s="407" t="n"/>
      <c r="E53" s="149" t="n">
        <v>27</v>
      </c>
      <c r="F53" s="253" t="inlineStr">
        <is>
          <t>해외지사비</t>
        </is>
      </c>
      <c r="G53" s="82" t="n"/>
      <c r="H53" s="187" t="n"/>
      <c r="I53" s="798" t="n"/>
      <c r="J53" s="187" t="n"/>
      <c r="K53" s="878" t="n">
        <v>36</v>
      </c>
      <c r="L53" s="800">
        <f>#REF!</f>
        <v/>
      </c>
      <c r="M53" s="919">
        <f>K53/L53</f>
        <v/>
      </c>
      <c r="N53" s="802">
        <f>N52+H53-K53</f>
        <v/>
      </c>
      <c r="O53" s="802">
        <f>O52+J53-M53</f>
        <v/>
      </c>
      <c r="P53" s="803" t="inlineStr">
        <is>
          <t>4월 송금</t>
        </is>
      </c>
      <c r="Q53" s="804" t="n"/>
      <c r="R53" s="803" t="inlineStr">
        <is>
          <t>Lin Jie Ting</t>
        </is>
      </c>
      <c r="S53" s="805">
        <f>S52-M53+J53</f>
        <v/>
      </c>
      <c r="T53" s="698" t="n"/>
      <c r="U53" s="830" t="n"/>
      <c r="V53" s="698" t="n"/>
      <c r="W53" s="698" t="n"/>
      <c r="X53" s="698" t="n"/>
      <c r="Y53" s="698" t="n"/>
      <c r="Z53" s="698" t="n"/>
      <c r="AA53" s="698" t="n"/>
      <c r="AB53" s="698" t="n"/>
      <c r="AC53" s="698" t="n"/>
    </row>
    <row r="54" hidden="1" ht="11.25" customFormat="1" customHeight="1" s="688">
      <c r="A54" s="80" t="n"/>
      <c r="B54" s="875" t="n">
        <v>45768</v>
      </c>
      <c r="C54" s="177" t="inlineStr">
        <is>
          <t>출장비</t>
        </is>
      </c>
      <c r="D54" s="149" t="n"/>
      <c r="E54" s="149" t="n">
        <v>28</v>
      </c>
      <c r="F54" s="253" t="inlineStr">
        <is>
          <t>여비교통비</t>
        </is>
      </c>
      <c r="G54" s="82" t="inlineStr">
        <is>
          <t>해외</t>
        </is>
      </c>
      <c r="H54" s="187" t="n"/>
      <c r="I54" s="798" t="n"/>
      <c r="J54" s="187" t="n"/>
      <c r="K54" s="878" t="n">
        <v>4536.3</v>
      </c>
      <c r="L54" s="800">
        <f>#REF!</f>
        <v/>
      </c>
      <c r="M54" s="919">
        <f>K54/L54</f>
        <v/>
      </c>
      <c r="N54" s="802">
        <f>N53+H54-K54</f>
        <v/>
      </c>
      <c r="O54" s="802">
        <f>O53+J54-M54</f>
        <v/>
      </c>
      <c r="P54" s="803" t="inlineStr">
        <is>
          <t>4월 송금</t>
        </is>
      </c>
      <c r="Q54" s="804" t="n"/>
      <c r="R54" s="803" t="inlineStr">
        <is>
          <t>Lin Jie Ting</t>
        </is>
      </c>
      <c r="S54" s="805">
        <f>S53-M54+J54</f>
        <v/>
      </c>
      <c r="T54" s="698" t="n"/>
      <c r="U54" s="830" t="n"/>
      <c r="V54" s="698" t="n"/>
      <c r="W54" s="698" t="n"/>
      <c r="X54" s="698" t="n"/>
      <c r="Y54" s="698" t="n"/>
      <c r="Z54" s="698" t="n"/>
      <c r="AA54" s="698" t="n"/>
      <c r="AB54" s="698" t="n"/>
      <c r="AC54" s="698" t="n"/>
    </row>
    <row r="55" hidden="1" ht="11.25" customFormat="1" customHeight="1" s="688">
      <c r="A55" s="80" t="n"/>
      <c r="B55" s="875" t="n">
        <v>45768</v>
      </c>
      <c r="C55" s="177" t="inlineStr">
        <is>
          <t>사무용품</t>
        </is>
      </c>
      <c r="D55" s="407" t="n"/>
      <c r="E55" s="149" t="n">
        <v>29</v>
      </c>
      <c r="F55" s="253" t="inlineStr">
        <is>
          <t>해외지사비</t>
        </is>
      </c>
      <c r="G55" s="82" t="n"/>
      <c r="H55" s="187" t="n"/>
      <c r="I55" s="798" t="n"/>
      <c r="J55" s="187" t="n"/>
      <c r="K55" s="878" t="n">
        <v>172.98</v>
      </c>
      <c r="L55" s="800">
        <f>#REF!</f>
        <v/>
      </c>
      <c r="M55" s="919">
        <f>K55/L55</f>
        <v/>
      </c>
      <c r="N55" s="802">
        <f>N54+H55-K55</f>
        <v/>
      </c>
      <c r="O55" s="802">
        <f>O54+J55-M55</f>
        <v/>
      </c>
      <c r="P55" s="803" t="inlineStr">
        <is>
          <t>4월 송금</t>
        </is>
      </c>
      <c r="Q55" s="804" t="n"/>
      <c r="R55" s="803" t="inlineStr">
        <is>
          <t>Lin Jie Ting</t>
        </is>
      </c>
      <c r="S55" s="805">
        <f>S54-M55+J55</f>
        <v/>
      </c>
      <c r="T55" s="698" t="n"/>
      <c r="U55" s="830" t="n"/>
      <c r="V55" s="698" t="n"/>
      <c r="W55" s="698" t="n"/>
      <c r="X55" s="698" t="n"/>
      <c r="Y55" s="698" t="n"/>
      <c r="Z55" s="698" t="n"/>
      <c r="AA55" s="698" t="n"/>
      <c r="AB55" s="698" t="n"/>
      <c r="AC55" s="698" t="n"/>
    </row>
    <row r="56" hidden="1" ht="11.25" customFormat="1" customHeight="1" s="688">
      <c r="A56" s="80" t="n"/>
      <c r="B56" s="875" t="n">
        <v>45768</v>
      </c>
      <c r="C56" s="177" t="inlineStr">
        <is>
          <t>업무추진비</t>
        </is>
      </c>
      <c r="D56" s="149" t="n"/>
      <c r="E56" s="149" t="n">
        <v>30</v>
      </c>
      <c r="F56" s="253" t="inlineStr">
        <is>
          <t>업무추진비</t>
        </is>
      </c>
      <c r="G56" s="82" t="inlineStr">
        <is>
          <t>일반</t>
        </is>
      </c>
      <c r="H56" s="187" t="n"/>
      <c r="I56" s="798" t="n"/>
      <c r="J56" s="187" t="n"/>
      <c r="K56" s="878" t="n">
        <v>3310.7</v>
      </c>
      <c r="L56" s="800">
        <f>#REF!</f>
        <v/>
      </c>
      <c r="M56" s="919">
        <f>K56/L56</f>
        <v/>
      </c>
      <c r="N56" s="802">
        <f>N55+H56-K56</f>
        <v/>
      </c>
      <c r="O56" s="802">
        <f>O55+J56-M56</f>
        <v/>
      </c>
      <c r="P56" s="803" t="inlineStr">
        <is>
          <t>4월 송금</t>
        </is>
      </c>
      <c r="Q56" s="804" t="n"/>
      <c r="R56" s="803" t="inlineStr">
        <is>
          <t>Lin Jie Ting</t>
        </is>
      </c>
      <c r="S56" s="805">
        <f>S55-M56+J56</f>
        <v/>
      </c>
      <c r="T56" s="698" t="n"/>
      <c r="U56" s="830" t="n"/>
      <c r="V56" s="698" t="n"/>
      <c r="W56" s="698" t="n"/>
      <c r="X56" s="698" t="n"/>
      <c r="Y56" s="698" t="n"/>
      <c r="Z56" s="698" t="n"/>
      <c r="AA56" s="698" t="n"/>
      <c r="AB56" s="698" t="n"/>
      <c r="AC56" s="698" t="n"/>
    </row>
    <row r="57" hidden="1" ht="11.25" customFormat="1" customHeight="1" s="688">
      <c r="A57" s="80" t="n"/>
      <c r="B57" s="875" t="n">
        <v>45768</v>
      </c>
      <c r="C57" s="177" t="inlineStr">
        <is>
          <t>사무실운영비</t>
        </is>
      </c>
      <c r="D57" s="407" t="n"/>
      <c r="E57" s="149" t="n">
        <v>31</v>
      </c>
      <c r="F57" s="253" t="inlineStr">
        <is>
          <t>해외지사비</t>
        </is>
      </c>
      <c r="G57" s="82" t="n"/>
      <c r="H57" s="187" t="n"/>
      <c r="I57" s="798" t="n"/>
      <c r="J57" s="187" t="n"/>
      <c r="K57" s="921" t="n">
        <v>399</v>
      </c>
      <c r="L57" s="800">
        <f>#REF!</f>
        <v/>
      </c>
      <c r="M57" s="919">
        <f>K57/L57</f>
        <v/>
      </c>
      <c r="N57" s="802">
        <f>N56+H57-K57</f>
        <v/>
      </c>
      <c r="O57" s="802">
        <f>O56+J57-M57</f>
        <v/>
      </c>
      <c r="P57" s="803" t="inlineStr">
        <is>
          <t>4월 송금</t>
        </is>
      </c>
      <c r="Q57" s="804" t="n"/>
      <c r="R57" s="803" t="inlineStr">
        <is>
          <t>Lin Jie Ting</t>
        </is>
      </c>
      <c r="S57" s="805">
        <f>S56-M57+J57</f>
        <v/>
      </c>
      <c r="T57" s="698" t="n"/>
      <c r="U57" s="830" t="n"/>
      <c r="V57" s="698" t="n"/>
      <c r="W57" s="698" t="n"/>
      <c r="X57" s="698" t="n"/>
      <c r="Y57" s="698" t="n"/>
      <c r="Z57" s="698" t="n"/>
      <c r="AA57" s="698" t="n"/>
      <c r="AB57" s="698" t="n"/>
      <c r="AC57" s="698" t="n"/>
    </row>
    <row r="58" hidden="1" ht="11.25" customFormat="1" customHeight="1" s="688">
      <c r="A58" s="80" t="n"/>
      <c r="B58" s="875" t="n">
        <v>45768</v>
      </c>
      <c r="C58" s="177" t="inlineStr">
        <is>
          <t>은행수수료</t>
        </is>
      </c>
      <c r="D58" s="407" t="n"/>
      <c r="E58" s="149" t="n">
        <v>32</v>
      </c>
      <c r="F58" s="253" t="inlineStr">
        <is>
          <t>해외지사비</t>
        </is>
      </c>
      <c r="G58" s="82" t="n"/>
      <c r="H58" s="187" t="n"/>
      <c r="I58" s="798" t="n"/>
      <c r="J58" s="187" t="n"/>
      <c r="K58" s="878" t="n">
        <v>3.6</v>
      </c>
      <c r="L58" s="800">
        <f>#REF!</f>
        <v/>
      </c>
      <c r="M58" s="919">
        <f>K58/L58</f>
        <v/>
      </c>
      <c r="N58" s="802">
        <f>N57+H58-K58</f>
        <v/>
      </c>
      <c r="O58" s="802">
        <f>O57+J58-M58</f>
        <v/>
      </c>
      <c r="P58" s="803" t="inlineStr">
        <is>
          <t>4월 송금</t>
        </is>
      </c>
      <c r="Q58" s="804" t="n"/>
      <c r="R58" s="803" t="inlineStr">
        <is>
          <t>Lin Jie Ting</t>
        </is>
      </c>
      <c r="S58" s="805">
        <f>S57-M58+J58</f>
        <v/>
      </c>
      <c r="T58" s="698" t="n"/>
      <c r="U58" s="830" t="n"/>
      <c r="V58" s="698" t="n"/>
      <c r="W58" s="698" t="n"/>
      <c r="X58" s="698" t="n"/>
      <c r="Y58" s="698" t="n"/>
      <c r="Z58" s="698" t="n"/>
      <c r="AA58" s="698" t="n"/>
      <c r="AB58" s="698" t="n"/>
      <c r="AC58" s="698" t="n"/>
    </row>
    <row r="59" hidden="1" ht="11.25" customFormat="1" customHeight="1" s="688">
      <c r="A59" s="80" t="n"/>
      <c r="B59" s="875" t="n">
        <v>45768</v>
      </c>
      <c r="C59" s="177" t="inlineStr">
        <is>
          <t>업무추진비</t>
        </is>
      </c>
      <c r="D59" s="149" t="n"/>
      <c r="E59" s="149" t="n">
        <v>33</v>
      </c>
      <c r="F59" s="253" t="inlineStr">
        <is>
          <t>업무추진비</t>
        </is>
      </c>
      <c r="G59" s="82" t="inlineStr">
        <is>
          <t>일반</t>
        </is>
      </c>
      <c r="H59" s="187" t="n"/>
      <c r="I59" s="798" t="n"/>
      <c r="J59" s="187" t="n"/>
      <c r="K59" s="878" t="n">
        <v>15594.7</v>
      </c>
      <c r="L59" s="800">
        <f>#REF!</f>
        <v/>
      </c>
      <c r="M59" s="919">
        <f>K59/L59</f>
        <v/>
      </c>
      <c r="N59" s="802">
        <f>N58+H59-K59</f>
        <v/>
      </c>
      <c r="O59" s="802">
        <f>O58+J59-M59</f>
        <v/>
      </c>
      <c r="P59" s="803" t="inlineStr">
        <is>
          <t>4월 송금</t>
        </is>
      </c>
      <c r="Q59" s="804" t="n"/>
      <c r="R59" s="803" t="inlineStr">
        <is>
          <t>김명관</t>
        </is>
      </c>
      <c r="S59" s="805">
        <f>S58-M59+J59</f>
        <v/>
      </c>
      <c r="T59" s="698" t="n"/>
      <c r="U59" s="830" t="n"/>
      <c r="V59" s="698" t="n"/>
      <c r="W59" s="698" t="n"/>
      <c r="X59" s="698" t="n"/>
      <c r="Y59" s="698" t="n"/>
      <c r="Z59" s="698" t="n"/>
      <c r="AA59" s="698" t="n"/>
      <c r="AB59" s="698" t="n"/>
      <c r="AC59" s="698" t="n"/>
    </row>
    <row r="60" hidden="1" ht="11.25" customFormat="1" customHeight="1" s="688">
      <c r="A60" s="80" t="n"/>
      <c r="B60" s="875" t="n">
        <v>45768</v>
      </c>
      <c r="C60" s="177" t="inlineStr">
        <is>
          <t>출장비</t>
        </is>
      </c>
      <c r="D60" s="149" t="n"/>
      <c r="E60" s="149" t="n">
        <v>34</v>
      </c>
      <c r="F60" s="253" t="inlineStr">
        <is>
          <t>여비교통비</t>
        </is>
      </c>
      <c r="G60" s="82" t="inlineStr">
        <is>
          <t>해외</t>
        </is>
      </c>
      <c r="H60" s="187" t="n"/>
      <c r="I60" s="798" t="n"/>
      <c r="J60" s="187" t="n"/>
      <c r="K60" s="878" t="n">
        <v>12341.06</v>
      </c>
      <c r="L60" s="800">
        <f>#REF!</f>
        <v/>
      </c>
      <c r="M60" s="919">
        <f>K60/L60</f>
        <v/>
      </c>
      <c r="N60" s="802">
        <f>N59+H60-K60</f>
        <v/>
      </c>
      <c r="O60" s="802">
        <f>O59+J60-M60</f>
        <v/>
      </c>
      <c r="P60" s="803" t="inlineStr">
        <is>
          <t>4월 송금</t>
        </is>
      </c>
      <c r="Q60" s="804" t="n"/>
      <c r="R60" s="803" t="inlineStr">
        <is>
          <t>김명관</t>
        </is>
      </c>
      <c r="S60" s="805">
        <f>S59-M60+J60</f>
        <v/>
      </c>
      <c r="T60" s="698" t="n"/>
      <c r="U60" s="830" t="n"/>
      <c r="V60" s="698" t="n"/>
      <c r="W60" s="698" t="n"/>
      <c r="X60" s="698" t="n"/>
      <c r="Y60" s="698" t="n"/>
      <c r="Z60" s="698" t="n"/>
      <c r="AA60" s="698" t="n"/>
      <c r="AB60" s="698" t="n"/>
      <c r="AC60" s="698" t="n"/>
    </row>
    <row r="61" hidden="1" ht="11.25" customFormat="1" customHeight="1" s="688">
      <c r="A61" s="80" t="n"/>
      <c r="B61" s="875" t="n">
        <v>45768</v>
      </c>
      <c r="C61" s="177" t="inlineStr">
        <is>
          <t>수수료</t>
        </is>
      </c>
      <c r="D61" s="407" t="n"/>
      <c r="E61" s="149" t="n">
        <v>35</v>
      </c>
      <c r="F61" s="253" t="inlineStr">
        <is>
          <t>해외지사비</t>
        </is>
      </c>
      <c r="G61" s="82" t="n"/>
      <c r="H61" s="187" t="n"/>
      <c r="I61" s="798" t="n"/>
      <c r="J61" s="187" t="n"/>
      <c r="K61" s="878" t="n">
        <v>7.2</v>
      </c>
      <c r="L61" s="800">
        <f>#REF!</f>
        <v/>
      </c>
      <c r="M61" s="919">
        <f>K61/L61</f>
        <v/>
      </c>
      <c r="N61" s="802">
        <f>N60+H61-K61</f>
        <v/>
      </c>
      <c r="O61" s="802">
        <f>O60+J61-M61</f>
        <v/>
      </c>
      <c r="P61" s="803" t="inlineStr">
        <is>
          <t>4월 송금</t>
        </is>
      </c>
      <c r="Q61" s="804" t="n"/>
      <c r="R61" s="803" t="inlineStr">
        <is>
          <t>김명관</t>
        </is>
      </c>
      <c r="S61" s="805">
        <f>S60-M61+J61</f>
        <v/>
      </c>
      <c r="T61" s="698" t="n"/>
      <c r="U61" s="830" t="n"/>
      <c r="V61" s="698" t="n"/>
      <c r="W61" s="698" t="n"/>
      <c r="X61" s="698" t="n"/>
      <c r="Y61" s="698" t="n"/>
      <c r="Z61" s="698" t="n"/>
      <c r="AA61" s="698" t="n"/>
      <c r="AB61" s="698" t="n"/>
      <c r="AC61" s="698" t="n"/>
    </row>
    <row r="62" hidden="1" ht="11.25" customFormat="1" customHeight="1" s="688">
      <c r="A62" s="80" t="n"/>
      <c r="B62" s="875" t="n">
        <v>45768</v>
      </c>
      <c r="C62" s="177" t="inlineStr">
        <is>
          <t>시내교통비</t>
        </is>
      </c>
      <c r="D62" s="149" t="n"/>
      <c r="E62" s="149" t="n">
        <v>36</v>
      </c>
      <c r="F62" s="253" t="inlineStr">
        <is>
          <t>여비교통비</t>
        </is>
      </c>
      <c r="G62" s="82" t="inlineStr">
        <is>
          <t>해외</t>
        </is>
      </c>
      <c r="H62" s="187" t="n"/>
      <c r="I62" s="798" t="n"/>
      <c r="J62" s="187" t="n"/>
      <c r="K62" s="878" t="n">
        <v>15.97</v>
      </c>
      <c r="L62" s="800">
        <f>#REF!</f>
        <v/>
      </c>
      <c r="M62" s="919">
        <f>K62/L62</f>
        <v/>
      </c>
      <c r="N62" s="802">
        <f>N61+H62-K62</f>
        <v/>
      </c>
      <c r="O62" s="802">
        <f>O61+J62-M62</f>
        <v/>
      </c>
      <c r="P62" s="803" t="inlineStr">
        <is>
          <t>4월 송금</t>
        </is>
      </c>
      <c r="Q62" s="804" t="n"/>
      <c r="R62" s="803" t="inlineStr">
        <is>
          <t>Piao Mei Ling</t>
        </is>
      </c>
      <c r="S62" s="805">
        <f>S61-M62+J62</f>
        <v/>
      </c>
      <c r="T62" s="698" t="n"/>
      <c r="U62" s="830" t="n"/>
      <c r="V62" s="698" t="n"/>
      <c r="W62" s="698" t="n"/>
      <c r="X62" s="698" t="n"/>
      <c r="Y62" s="698" t="n"/>
      <c r="Z62" s="698" t="n"/>
      <c r="AA62" s="698" t="n"/>
      <c r="AB62" s="698" t="n"/>
      <c r="AC62" s="698" t="n"/>
    </row>
    <row r="63" hidden="1" ht="11.25" customFormat="1" customHeight="1" s="688">
      <c r="A63" s="80" t="n"/>
      <c r="B63" s="875" t="n">
        <v>45768</v>
      </c>
      <c r="C63" s="177" t="inlineStr">
        <is>
          <t>업무추진비</t>
        </is>
      </c>
      <c r="D63" s="149" t="n"/>
      <c r="E63" s="149" t="n">
        <v>37</v>
      </c>
      <c r="F63" s="253" t="inlineStr">
        <is>
          <t>업무추진비</t>
        </is>
      </c>
      <c r="G63" s="82" t="inlineStr">
        <is>
          <t>일반</t>
        </is>
      </c>
      <c r="H63" s="187" t="n"/>
      <c r="I63" s="798" t="n"/>
      <c r="J63" s="187" t="n"/>
      <c r="K63" s="878" t="n">
        <v>111</v>
      </c>
      <c r="L63" s="800">
        <f>#REF!</f>
        <v/>
      </c>
      <c r="M63" s="919">
        <f>K63/L63</f>
        <v/>
      </c>
      <c r="N63" s="802">
        <f>N62+H63-K63</f>
        <v/>
      </c>
      <c r="O63" s="802">
        <f>O62+J63-M63</f>
        <v/>
      </c>
      <c r="P63" s="803" t="inlineStr">
        <is>
          <t>4월 송금</t>
        </is>
      </c>
      <c r="Q63" s="804" t="n"/>
      <c r="R63" s="803" t="inlineStr">
        <is>
          <t>Piao Mei Ling</t>
        </is>
      </c>
      <c r="S63" s="805">
        <f>S62-M63+J63</f>
        <v/>
      </c>
      <c r="T63" s="698" t="n"/>
      <c r="U63" s="830" t="n"/>
      <c r="V63" s="698" t="n"/>
      <c r="W63" s="698" t="n"/>
      <c r="X63" s="698" t="n"/>
      <c r="Y63" s="698" t="n"/>
      <c r="Z63" s="698" t="n"/>
      <c r="AA63" s="698" t="n"/>
      <c r="AB63" s="698" t="n"/>
      <c r="AC63" s="698" t="n"/>
    </row>
    <row r="64" hidden="1" ht="11.25" customFormat="1" customHeight="1" s="688">
      <c r="A64" s="80" t="n"/>
      <c r="B64" s="875" t="n">
        <v>45768</v>
      </c>
      <c r="C64" s="177" t="inlineStr">
        <is>
          <t>통신비</t>
        </is>
      </c>
      <c r="D64" s="149" t="n"/>
      <c r="E64" s="149" t="n">
        <v>38</v>
      </c>
      <c r="F64" s="253" t="inlineStr">
        <is>
          <t>통신비</t>
        </is>
      </c>
      <c r="G64" s="82" t="inlineStr">
        <is>
          <t>기타</t>
        </is>
      </c>
      <c r="H64" s="187" t="n"/>
      <c r="I64" s="798" t="n"/>
      <c r="J64" s="187" t="n"/>
      <c r="K64" s="878" t="n">
        <v>198.1</v>
      </c>
      <c r="L64" s="800">
        <f>#REF!</f>
        <v/>
      </c>
      <c r="M64" s="919">
        <f>K64/L64</f>
        <v/>
      </c>
      <c r="N64" s="802">
        <f>N63+H64-K64</f>
        <v/>
      </c>
      <c r="O64" s="802">
        <f>O63+J64-M64</f>
        <v/>
      </c>
      <c r="P64" s="803" t="inlineStr">
        <is>
          <t>4월 송금</t>
        </is>
      </c>
      <c r="Q64" s="804" t="n"/>
      <c r="R64" s="803" t="inlineStr">
        <is>
          <t>Piao Mei Ling</t>
        </is>
      </c>
      <c r="S64" s="805">
        <f>S63-M64+J64</f>
        <v/>
      </c>
      <c r="T64" s="698" t="n"/>
      <c r="U64" s="830" t="n"/>
      <c r="V64" s="698" t="n"/>
      <c r="W64" s="698" t="n"/>
      <c r="X64" s="698" t="n"/>
      <c r="Y64" s="698" t="n"/>
      <c r="Z64" s="698" t="n"/>
      <c r="AA64" s="698" t="n"/>
      <c r="AB64" s="698" t="n"/>
      <c r="AC64" s="698" t="n"/>
    </row>
    <row r="65" hidden="1" ht="11.25" customFormat="1" customHeight="1" s="688">
      <c r="A65" s="80" t="n"/>
      <c r="B65" s="875" t="n">
        <v>45768</v>
      </c>
      <c r="C65" s="177" t="inlineStr">
        <is>
          <t>택배비</t>
        </is>
      </c>
      <c r="D65" s="407" t="n"/>
      <c r="E65" s="149" t="n">
        <v>39</v>
      </c>
      <c r="F65" s="253" t="inlineStr">
        <is>
          <t>해외지사비</t>
        </is>
      </c>
      <c r="G65" s="82" t="n"/>
      <c r="H65" s="187" t="n"/>
      <c r="I65" s="798" t="n"/>
      <c r="J65" s="187" t="n"/>
      <c r="K65" s="878" t="n">
        <v>13</v>
      </c>
      <c r="L65" s="800">
        <f>#REF!</f>
        <v/>
      </c>
      <c r="M65" s="919">
        <f>K65/L65</f>
        <v/>
      </c>
      <c r="N65" s="802">
        <f>N64+H65-K65</f>
        <v/>
      </c>
      <c r="O65" s="802">
        <f>O64+J65-M65</f>
        <v/>
      </c>
      <c r="P65" s="803" t="inlineStr">
        <is>
          <t>4월 송금</t>
        </is>
      </c>
      <c r="Q65" s="804" t="n"/>
      <c r="R65" s="803" t="inlineStr">
        <is>
          <t>Piao Mei Ling</t>
        </is>
      </c>
      <c r="S65" s="805">
        <f>S64-M65+J65</f>
        <v/>
      </c>
      <c r="T65" s="698" t="n"/>
      <c r="U65" s="830" t="n"/>
      <c r="V65" s="698" t="n"/>
      <c r="W65" s="698" t="n"/>
      <c r="X65" s="698" t="n"/>
      <c r="Y65" s="698" t="n"/>
      <c r="Z65" s="698" t="n"/>
      <c r="AA65" s="698" t="n"/>
      <c r="AB65" s="698" t="n"/>
      <c r="AC65" s="698" t="n"/>
    </row>
    <row r="66" hidden="1" ht="11.25" customFormat="1" customHeight="1" s="688">
      <c r="A66" s="80" t="n"/>
      <c r="B66" s="875" t="n">
        <v>45768</v>
      </c>
      <c r="C66" s="177" t="inlineStr">
        <is>
          <t>은행수수료</t>
        </is>
      </c>
      <c r="D66" s="407" t="n"/>
      <c r="E66" s="149" t="n">
        <v>40</v>
      </c>
      <c r="F66" s="253" t="inlineStr">
        <is>
          <t>해외지사비</t>
        </is>
      </c>
      <c r="G66" s="82" t="n"/>
      <c r="H66" s="187" t="n"/>
      <c r="I66" s="798" t="n"/>
      <c r="J66" s="187" t="n"/>
      <c r="K66" s="878" t="n">
        <v>3.6</v>
      </c>
      <c r="L66" s="800">
        <f>#REF!</f>
        <v/>
      </c>
      <c r="M66" s="919">
        <f>K66/L66</f>
        <v/>
      </c>
      <c r="N66" s="802">
        <f>N65+H66-K66</f>
        <v/>
      </c>
      <c r="O66" s="802">
        <f>O65+J66-M66</f>
        <v/>
      </c>
      <c r="P66" s="803" t="inlineStr">
        <is>
          <t>4월 송금</t>
        </is>
      </c>
      <c r="Q66" s="804" t="n"/>
      <c r="R66" s="803" t="inlineStr">
        <is>
          <t>Piao Mei Ling</t>
        </is>
      </c>
      <c r="S66" s="805">
        <f>S65-M66+J66</f>
        <v/>
      </c>
      <c r="T66" s="698" t="n"/>
      <c r="U66" s="830" t="n"/>
      <c r="V66" s="698" t="n"/>
      <c r="W66" s="698" t="n"/>
      <c r="X66" s="698" t="n"/>
      <c r="Y66" s="698" t="n"/>
      <c r="Z66" s="698" t="n"/>
      <c r="AA66" s="698" t="n"/>
      <c r="AB66" s="698" t="n"/>
      <c r="AC66" s="698" t="n"/>
    </row>
    <row r="67" hidden="1" ht="11.25" customFormat="1" customHeight="1" s="688">
      <c r="A67" s="80" t="n"/>
      <c r="B67" s="875" t="n">
        <v>45768</v>
      </c>
      <c r="C67" s="177" t="inlineStr">
        <is>
          <t>주유비</t>
        </is>
      </c>
      <c r="D67" s="149" t="n"/>
      <c r="E67" s="149" t="n">
        <v>41</v>
      </c>
      <c r="F67" s="253" t="inlineStr">
        <is>
          <t>여비교통비</t>
        </is>
      </c>
      <c r="G67" s="82" t="inlineStr">
        <is>
          <t>해외</t>
        </is>
      </c>
      <c r="H67" s="187" t="n"/>
      <c r="I67" s="798" t="n"/>
      <c r="J67" s="187" t="n"/>
      <c r="K67" s="878" t="n">
        <v>2331</v>
      </c>
      <c r="L67" s="800">
        <f>#REF!</f>
        <v/>
      </c>
      <c r="M67" s="919">
        <f>K67/L67</f>
        <v/>
      </c>
      <c r="N67" s="802">
        <f>N66+H67-K67</f>
        <v/>
      </c>
      <c r="O67" s="802">
        <f>O66+J67-M67</f>
        <v/>
      </c>
      <c r="P67" s="803" t="inlineStr">
        <is>
          <t>4월 송금</t>
        </is>
      </c>
      <c r="Q67" s="804" t="n"/>
      <c r="R67" s="803" t="inlineStr">
        <is>
          <t>Chen Guo Liang_주유비_주차비_톨비</t>
        </is>
      </c>
      <c r="S67" s="805">
        <f>S66-M67+J67</f>
        <v/>
      </c>
      <c r="T67" s="698" t="n"/>
      <c r="U67" s="830" t="n"/>
      <c r="V67" s="698" t="n"/>
      <c r="W67" s="698" t="n"/>
      <c r="X67" s="698" t="n"/>
      <c r="Y67" s="698" t="n"/>
      <c r="Z67" s="698" t="n"/>
      <c r="AA67" s="698" t="n"/>
      <c r="AB67" s="698" t="n"/>
      <c r="AC67" s="698" t="n"/>
    </row>
    <row r="68" hidden="1" ht="11.25" customFormat="1" customHeight="1" s="688">
      <c r="A68" s="80" t="n"/>
      <c r="B68" s="875" t="n">
        <v>45768</v>
      </c>
      <c r="C68" s="177" t="inlineStr">
        <is>
          <t>주차비</t>
        </is>
      </c>
      <c r="D68" s="149" t="n"/>
      <c r="E68" s="149" t="n">
        <v>42</v>
      </c>
      <c r="F68" s="253" t="inlineStr">
        <is>
          <t>여비교통비</t>
        </is>
      </c>
      <c r="G68" s="82" t="inlineStr">
        <is>
          <t>해외</t>
        </is>
      </c>
      <c r="H68" s="187" t="n"/>
      <c r="I68" s="798" t="n"/>
      <c r="J68" s="187" t="n"/>
      <c r="K68" s="878" t="n">
        <v>163.6</v>
      </c>
      <c r="L68" s="800">
        <f>#REF!</f>
        <v/>
      </c>
      <c r="M68" s="919">
        <f>K68/L68</f>
        <v/>
      </c>
      <c r="N68" s="802">
        <f>N67+H68-K68</f>
        <v/>
      </c>
      <c r="O68" s="802">
        <f>O67+J68-M68</f>
        <v/>
      </c>
      <c r="P68" s="803" t="inlineStr">
        <is>
          <t>4월 송금</t>
        </is>
      </c>
      <c r="Q68" s="804" t="n"/>
      <c r="R68" s="803" t="inlineStr">
        <is>
          <t>Chen Guo Liang_주유비_주차비_톨비</t>
        </is>
      </c>
      <c r="S68" s="805">
        <f>S67-M68+J68</f>
        <v/>
      </c>
      <c r="T68" s="698" t="n"/>
      <c r="U68" s="830" t="n"/>
      <c r="V68" s="698" t="n"/>
      <c r="W68" s="698" t="n"/>
      <c r="X68" s="698" t="n"/>
      <c r="Y68" s="698" t="n"/>
      <c r="Z68" s="698" t="n"/>
      <c r="AA68" s="698" t="n"/>
      <c r="AB68" s="698" t="n"/>
      <c r="AC68" s="698" t="n"/>
    </row>
    <row r="69" hidden="1" ht="11.25" customFormat="1" customHeight="1" s="688">
      <c r="A69" s="80" t="n"/>
      <c r="B69" s="875" t="n">
        <v>45768</v>
      </c>
      <c r="C69" s="177" t="inlineStr">
        <is>
          <t>톨비</t>
        </is>
      </c>
      <c r="D69" s="149" t="n"/>
      <c r="E69" s="149" t="n">
        <v>43</v>
      </c>
      <c r="F69" s="253" t="inlineStr">
        <is>
          <t>여비교통비</t>
        </is>
      </c>
      <c r="G69" s="82" t="inlineStr">
        <is>
          <t>해외</t>
        </is>
      </c>
      <c r="H69" s="187" t="n"/>
      <c r="I69" s="798" t="n"/>
      <c r="J69" s="187" t="n"/>
      <c r="K69" s="878" t="n">
        <v>369</v>
      </c>
      <c r="L69" s="800">
        <f>#REF!</f>
        <v/>
      </c>
      <c r="M69" s="919">
        <f>K69/L69</f>
        <v/>
      </c>
      <c r="N69" s="802">
        <f>N68+H69-K69</f>
        <v/>
      </c>
      <c r="O69" s="802">
        <f>O68+J69-M69</f>
        <v/>
      </c>
      <c r="P69" s="803" t="inlineStr">
        <is>
          <t>4월 송금</t>
        </is>
      </c>
      <c r="Q69" s="804" t="n"/>
      <c r="R69" s="803" t="inlineStr">
        <is>
          <t>Chen Guo Liang_주유비_주차비_톨비</t>
        </is>
      </c>
      <c r="S69" s="805">
        <f>S68-M69+J69</f>
        <v/>
      </c>
      <c r="T69" s="698" t="n"/>
      <c r="U69" s="830" t="n"/>
      <c r="V69" s="698" t="n"/>
      <c r="W69" s="698" t="n"/>
      <c r="X69" s="698" t="n"/>
      <c r="Y69" s="698" t="n"/>
      <c r="Z69" s="698" t="n"/>
      <c r="AA69" s="698" t="n"/>
      <c r="AB69" s="698" t="n"/>
      <c r="AC69" s="698" t="n"/>
    </row>
    <row r="70" hidden="1" ht="11.25" customFormat="1" customHeight="1" s="688">
      <c r="A70" s="80" t="n"/>
      <c r="B70" s="875" t="n">
        <v>45768</v>
      </c>
      <c r="C70" s="177" t="inlineStr">
        <is>
          <t>은행수수료</t>
        </is>
      </c>
      <c r="D70" s="407" t="n"/>
      <c r="E70" s="149" t="n">
        <v>44</v>
      </c>
      <c r="F70" s="253" t="inlineStr">
        <is>
          <t>해외지사비</t>
        </is>
      </c>
      <c r="G70" s="82" t="n"/>
      <c r="H70" s="187" t="n"/>
      <c r="I70" s="798" t="n"/>
      <c r="J70" s="187" t="n"/>
      <c r="K70" s="878" t="n">
        <v>3.6</v>
      </c>
      <c r="L70" s="800">
        <f>#REF!</f>
        <v/>
      </c>
      <c r="M70" s="919">
        <f>K70/L70</f>
        <v/>
      </c>
      <c r="N70" s="802">
        <f>N69+H70-K70</f>
        <v/>
      </c>
      <c r="O70" s="802">
        <f>O69+J70-M70</f>
        <v/>
      </c>
      <c r="P70" s="803" t="inlineStr">
        <is>
          <t>4월 송금</t>
        </is>
      </c>
      <c r="Q70" s="804" t="n"/>
      <c r="R70" s="803" t="inlineStr">
        <is>
          <t>Chen Guo Liang_주유비_주차비_톨비</t>
        </is>
      </c>
      <c r="S70" s="805">
        <f>S69-M70+J70</f>
        <v/>
      </c>
      <c r="T70" s="698" t="n"/>
      <c r="U70" s="830" t="n"/>
      <c r="V70" s="698" t="n"/>
      <c r="W70" s="698" t="n"/>
      <c r="X70" s="698" t="n"/>
      <c r="Y70" s="698" t="n"/>
      <c r="Z70" s="698" t="n"/>
      <c r="AA70" s="698" t="n"/>
      <c r="AB70" s="698" t="n"/>
      <c r="AC70" s="698" t="n"/>
    </row>
    <row r="71" hidden="1" ht="11.25" customFormat="1" customHeight="1" s="688">
      <c r="A71" s="80" t="n"/>
      <c r="B71" s="875" t="n">
        <v>45768</v>
      </c>
      <c r="C71" s="177" t="inlineStr">
        <is>
          <t>톨비</t>
        </is>
      </c>
      <c r="D71" s="149" t="n"/>
      <c r="E71" s="149" t="n">
        <v>45</v>
      </c>
      <c r="F71" s="253" t="inlineStr">
        <is>
          <t>여비교통비</t>
        </is>
      </c>
      <c r="G71" s="82" t="inlineStr">
        <is>
          <t>해외</t>
        </is>
      </c>
      <c r="H71" s="187" t="n"/>
      <c r="I71" s="798" t="n"/>
      <c r="J71" s="187" t="n"/>
      <c r="K71" s="878" t="n">
        <v>529</v>
      </c>
      <c r="L71" s="800">
        <f>#REF!</f>
        <v/>
      </c>
      <c r="M71" s="919">
        <f>K71/L71</f>
        <v/>
      </c>
      <c r="N71" s="802">
        <f>N70+H71-K71</f>
        <v/>
      </c>
      <c r="O71" s="802">
        <f>O70+J71-M71</f>
        <v/>
      </c>
      <c r="P71" s="803" t="inlineStr">
        <is>
          <t>4월 송금</t>
        </is>
      </c>
      <c r="Q71" s="804" t="n"/>
      <c r="R71" s="803" t="inlineStr">
        <is>
          <t>Liu Ming Liang_주유비_주차비_톨비</t>
        </is>
      </c>
      <c r="S71" s="805">
        <f>S70-M71+J71</f>
        <v/>
      </c>
      <c r="T71" s="698" t="n"/>
      <c r="U71" s="830" t="n"/>
      <c r="V71" s="698" t="n"/>
      <c r="W71" s="698" t="n"/>
      <c r="X71" s="698" t="n"/>
      <c r="Y71" s="698" t="n"/>
      <c r="Z71" s="698" t="n"/>
      <c r="AA71" s="698" t="n"/>
      <c r="AB71" s="698" t="n"/>
      <c r="AC71" s="698" t="n"/>
    </row>
    <row r="72" hidden="1" ht="11.25" customFormat="1" customHeight="1" s="688">
      <c r="A72" s="80" t="n"/>
      <c r="B72" s="875" t="n">
        <v>45768</v>
      </c>
      <c r="C72" s="177" t="inlineStr">
        <is>
          <t>주유비</t>
        </is>
      </c>
      <c r="D72" s="149" t="n"/>
      <c r="E72" s="149" t="n">
        <v>46</v>
      </c>
      <c r="F72" s="253" t="inlineStr">
        <is>
          <t>여비교통비</t>
        </is>
      </c>
      <c r="G72" s="82" t="inlineStr">
        <is>
          <t>해외</t>
        </is>
      </c>
      <c r="H72" s="187" t="n"/>
      <c r="I72" s="798" t="n"/>
      <c r="J72" s="187" t="n"/>
      <c r="K72" s="878" t="n">
        <v>2255</v>
      </c>
      <c r="L72" s="800">
        <f>#REF!</f>
        <v/>
      </c>
      <c r="M72" s="919">
        <f>K72/L72</f>
        <v/>
      </c>
      <c r="N72" s="802">
        <f>N71+H72-K72</f>
        <v/>
      </c>
      <c r="O72" s="802">
        <f>O71+J72-M72</f>
        <v/>
      </c>
      <c r="P72" s="803" t="inlineStr">
        <is>
          <t>4월 송금</t>
        </is>
      </c>
      <c r="Q72" s="804" t="n"/>
      <c r="R72" s="803" t="inlineStr">
        <is>
          <t>Liu Ming Liang_주유비_주차비_톨비</t>
        </is>
      </c>
      <c r="S72" s="805">
        <f>S71-M72+J72</f>
        <v/>
      </c>
      <c r="T72" s="698" t="n"/>
      <c r="U72" s="830" t="n"/>
      <c r="V72" s="698" t="n"/>
      <c r="W72" s="698" t="n"/>
      <c r="X72" s="698" t="n"/>
      <c r="Y72" s="698" t="n"/>
      <c r="Z72" s="698" t="n"/>
      <c r="AA72" s="698" t="n"/>
      <c r="AB72" s="698" t="n"/>
      <c r="AC72" s="698" t="n"/>
    </row>
    <row r="73" hidden="1" ht="11.25" customFormat="1" customHeight="1" s="688">
      <c r="A73" s="80" t="n"/>
      <c r="B73" s="875" t="n">
        <v>45768</v>
      </c>
      <c r="C73" s="177" t="inlineStr">
        <is>
          <t>주차비</t>
        </is>
      </c>
      <c r="D73" s="149" t="n"/>
      <c r="E73" s="149" t="n">
        <v>47</v>
      </c>
      <c r="F73" s="253" t="inlineStr">
        <is>
          <t>여비교통비</t>
        </is>
      </c>
      <c r="G73" s="82" t="inlineStr">
        <is>
          <t>해외</t>
        </is>
      </c>
      <c r="H73" s="187" t="n"/>
      <c r="I73" s="798" t="n"/>
      <c r="J73" s="187" t="n"/>
      <c r="K73" s="878" t="n">
        <v>201</v>
      </c>
      <c r="L73" s="800">
        <f>#REF!</f>
        <v/>
      </c>
      <c r="M73" s="919">
        <f>K73/L73</f>
        <v/>
      </c>
      <c r="N73" s="802">
        <f>N72+H73-K73</f>
        <v/>
      </c>
      <c r="O73" s="802">
        <f>O72+J73-M73</f>
        <v/>
      </c>
      <c r="P73" s="803" t="inlineStr">
        <is>
          <t>4월 송금</t>
        </is>
      </c>
      <c r="Q73" s="804" t="n"/>
      <c r="R73" s="803" t="inlineStr">
        <is>
          <t>Liu Ming Liang_주유비_주차비_톨비</t>
        </is>
      </c>
      <c r="S73" s="805">
        <f>S72-M73+J73</f>
        <v/>
      </c>
      <c r="T73" s="698" t="n"/>
      <c r="U73" s="830" t="n"/>
      <c r="V73" s="698" t="n"/>
      <c r="W73" s="698" t="n"/>
      <c r="X73" s="698" t="n"/>
      <c r="Y73" s="698" t="n"/>
      <c r="Z73" s="698" t="n"/>
      <c r="AA73" s="698" t="n"/>
      <c r="AB73" s="698" t="n"/>
      <c r="AC73" s="698" t="n"/>
    </row>
    <row r="74" hidden="1" ht="11.25" customFormat="1" customHeight="1" s="688">
      <c r="A74" s="80" t="n"/>
      <c r="B74" s="875" t="n">
        <v>45768</v>
      </c>
      <c r="C74" s="177" t="inlineStr">
        <is>
          <t>은행수수료</t>
        </is>
      </c>
      <c r="D74" s="407" t="n"/>
      <c r="E74" s="149" t="n">
        <v>48</v>
      </c>
      <c r="F74" s="253" t="inlineStr">
        <is>
          <t>해외지사비</t>
        </is>
      </c>
      <c r="G74" s="82" t="n"/>
      <c r="H74" s="187" t="n"/>
      <c r="I74" s="798" t="n"/>
      <c r="J74" s="187" t="n"/>
      <c r="K74" s="878" t="n">
        <v>3.6</v>
      </c>
      <c r="L74" s="800">
        <f>#REF!</f>
        <v/>
      </c>
      <c r="M74" s="919">
        <f>K74/L74</f>
        <v/>
      </c>
      <c r="N74" s="802">
        <f>N73+H74-K74</f>
        <v/>
      </c>
      <c r="O74" s="802">
        <f>O73+J74-M74</f>
        <v/>
      </c>
      <c r="P74" s="803" t="inlineStr">
        <is>
          <t>4월 송금</t>
        </is>
      </c>
      <c r="Q74" s="804" t="n"/>
      <c r="R74" s="803" t="inlineStr">
        <is>
          <t>Liu Ming Liang_주유비_주차비_톨비</t>
        </is>
      </c>
      <c r="S74" s="805">
        <f>S73-M74+J74</f>
        <v/>
      </c>
      <c r="T74" s="698" t="n"/>
      <c r="U74" s="830" t="n"/>
      <c r="V74" s="698" t="n"/>
      <c r="W74" s="698" t="n"/>
      <c r="X74" s="698" t="n"/>
      <c r="Y74" s="698" t="n"/>
      <c r="Z74" s="698" t="n"/>
      <c r="AA74" s="698" t="n"/>
      <c r="AB74" s="698" t="n"/>
      <c r="AC74" s="698" t="n"/>
    </row>
    <row r="75" hidden="1" ht="11.25" customFormat="1" customHeight="1" s="688">
      <c r="A75" s="80" t="n"/>
      <c r="B75" s="875" t="n">
        <v>45768</v>
      </c>
      <c r="C75" s="177" t="inlineStr">
        <is>
          <t>주재원 주재수당</t>
        </is>
      </c>
      <c r="D75" s="407" t="n"/>
      <c r="E75" s="149" t="n">
        <v>49</v>
      </c>
      <c r="F75" s="253" t="inlineStr">
        <is>
          <t>해외지사비</t>
        </is>
      </c>
      <c r="G75" s="82" t="n"/>
      <c r="H75" s="187" t="n"/>
      <c r="I75" s="798" t="n"/>
      <c r="J75" s="187" t="n"/>
      <c r="K75" s="922" t="n">
        <v>16000</v>
      </c>
      <c r="L75" s="800">
        <f>#REF!</f>
        <v/>
      </c>
      <c r="M75" s="919">
        <f>K75/L75</f>
        <v/>
      </c>
      <c r="N75" s="802">
        <f>N74+H75-K75</f>
        <v/>
      </c>
      <c r="O75" s="802">
        <f>O74+J75-M75</f>
        <v/>
      </c>
      <c r="P75" s="803" t="inlineStr">
        <is>
          <t>4월 송금</t>
        </is>
      </c>
      <c r="Q75" s="804" t="n"/>
      <c r="R75" s="305" t="inlineStr">
        <is>
          <t>김명관 프로</t>
        </is>
      </c>
      <c r="S75" s="805">
        <f>S74-M75+J75</f>
        <v/>
      </c>
      <c r="T75" s="698" t="n"/>
      <c r="U75" s="830" t="n"/>
      <c r="V75" s="698" t="n"/>
      <c r="W75" s="698" t="n"/>
      <c r="X75" s="698" t="n"/>
      <c r="Y75" s="698" t="n"/>
      <c r="Z75" s="698" t="n"/>
      <c r="AA75" s="698" t="n"/>
      <c r="AB75" s="698" t="n"/>
      <c r="AC75" s="698" t="n"/>
    </row>
    <row r="76" hidden="1" ht="11.25" customFormat="1" customHeight="1" s="688">
      <c r="A76" s="80" t="n"/>
      <c r="B76" s="875" t="n">
        <v>45768</v>
      </c>
      <c r="C76" s="177" t="inlineStr">
        <is>
          <t>주재원 주택수당</t>
        </is>
      </c>
      <c r="D76" s="407" t="n"/>
      <c r="E76" s="149" t="n">
        <v>49</v>
      </c>
      <c r="F76" s="253" t="inlineStr">
        <is>
          <t>해외지사비</t>
        </is>
      </c>
      <c r="G76" s="82" t="n"/>
      <c r="H76" s="187" t="n"/>
      <c r="I76" s="798" t="n"/>
      <c r="J76" s="187" t="n"/>
      <c r="K76" s="922" t="n">
        <v>24000</v>
      </c>
      <c r="L76" s="800">
        <f>#REF!</f>
        <v/>
      </c>
      <c r="M76" s="919">
        <f>K76/L76</f>
        <v/>
      </c>
      <c r="N76" s="802">
        <f>N75+H76-K76</f>
        <v/>
      </c>
      <c r="O76" s="802">
        <f>O75+J76-M76</f>
        <v/>
      </c>
      <c r="P76" s="803" t="inlineStr">
        <is>
          <t>4월 송금</t>
        </is>
      </c>
      <c r="Q76" s="804" t="n"/>
      <c r="R76" s="305" t="inlineStr">
        <is>
          <t>김명관 프로</t>
        </is>
      </c>
      <c r="S76" s="805">
        <f>S75-M76+J76</f>
        <v/>
      </c>
      <c r="T76" s="698" t="n"/>
      <c r="U76" s="830" t="n"/>
      <c r="V76" s="698" t="n"/>
      <c r="W76" s="698" t="n"/>
      <c r="X76" s="698" t="n"/>
      <c r="Y76" s="698" t="n"/>
      <c r="Z76" s="698" t="n"/>
      <c r="AA76" s="698" t="n"/>
      <c r="AB76" s="698" t="n"/>
      <c r="AC76" s="698" t="n"/>
    </row>
    <row r="77" hidden="1" ht="11.25" customFormat="1" customHeight="1" s="688">
      <c r="A77" s="80" t="n"/>
      <c r="B77" s="875" t="n">
        <v>45768</v>
      </c>
      <c r="C77" s="177" t="inlineStr">
        <is>
          <t>보험(주재원/현채인)</t>
        </is>
      </c>
      <c r="D77" s="407" t="n"/>
      <c r="E77" s="149" t="n">
        <v>49</v>
      </c>
      <c r="F77" s="253" t="inlineStr">
        <is>
          <t>해외지사비</t>
        </is>
      </c>
      <c r="G77" s="82" t="n"/>
      <c r="H77" s="187" t="n"/>
      <c r="I77" s="798" t="n"/>
      <c r="J77" s="187" t="n"/>
      <c r="K77" s="922" t="n">
        <v>5305.190000000001</v>
      </c>
      <c r="L77" s="800">
        <f>#REF!</f>
        <v/>
      </c>
      <c r="M77" s="919">
        <f>K77/L77</f>
        <v/>
      </c>
      <c r="N77" s="802">
        <f>N76+H77-K77</f>
        <v/>
      </c>
      <c r="O77" s="802">
        <f>O76+J77-M77</f>
        <v/>
      </c>
      <c r="P77" s="803" t="inlineStr">
        <is>
          <t>4월 송금</t>
        </is>
      </c>
      <c r="Q77" s="804" t="n"/>
      <c r="R77" s="305" t="inlineStr">
        <is>
          <t>김명관 프로</t>
        </is>
      </c>
      <c r="S77" s="805">
        <f>S76-M77+J77</f>
        <v/>
      </c>
      <c r="T77" s="698" t="n"/>
      <c r="U77" s="830" t="n"/>
      <c r="V77" s="698" t="n"/>
      <c r="W77" s="698" t="n"/>
      <c r="X77" s="698" t="n"/>
      <c r="Y77" s="698" t="n"/>
      <c r="Z77" s="698" t="n"/>
      <c r="AA77" s="698" t="n"/>
      <c r="AB77" s="698" t="n"/>
      <c r="AC77" s="698" t="n"/>
    </row>
    <row r="78" hidden="1" ht="11.25" customFormat="1" customHeight="1" s="688">
      <c r="A78" s="80" t="n"/>
      <c r="B78" s="875" t="n">
        <v>45768</v>
      </c>
      <c r="C78" s="177" t="inlineStr">
        <is>
          <t>세금(주재원/현채인)</t>
        </is>
      </c>
      <c r="D78" s="407" t="n"/>
      <c r="E78" s="149" t="n">
        <v>49</v>
      </c>
      <c r="F78" s="253" t="inlineStr">
        <is>
          <t>해외지사비</t>
        </is>
      </c>
      <c r="G78" s="82" t="n"/>
      <c r="H78" s="187" t="n"/>
      <c r="I78" s="798" t="n"/>
      <c r="J78" s="187" t="n"/>
      <c r="K78" s="923" t="n">
        <v>3336.800000000001</v>
      </c>
      <c r="L78" s="800">
        <f>#REF!</f>
        <v/>
      </c>
      <c r="M78" s="919">
        <f>K78/L78</f>
        <v/>
      </c>
      <c r="N78" s="802">
        <f>N77+H78-K78</f>
        <v/>
      </c>
      <c r="O78" s="802">
        <f>O77+J78-M78</f>
        <v/>
      </c>
      <c r="P78" s="803" t="inlineStr">
        <is>
          <t>4월 송금</t>
        </is>
      </c>
      <c r="Q78" s="804" t="n"/>
      <c r="R78" s="305" t="inlineStr">
        <is>
          <t>김명관 프로</t>
        </is>
      </c>
      <c r="S78" s="805">
        <f>S77-M78+J78</f>
        <v/>
      </c>
      <c r="T78" s="698" t="n"/>
      <c r="U78" s="830" t="n"/>
      <c r="V78" s="698" t="n"/>
      <c r="W78" s="698" t="n"/>
      <c r="X78" s="698" t="n"/>
      <c r="Y78" s="698" t="n"/>
      <c r="Z78" s="698" t="n"/>
      <c r="AA78" s="698" t="n"/>
      <c r="AB78" s="698" t="n"/>
      <c r="AC78" s="698" t="n"/>
    </row>
    <row r="79" hidden="1" ht="11.25" customHeight="1" s="654">
      <c r="B79" s="875" t="n">
        <v>45768</v>
      </c>
      <c r="C79" s="177" t="inlineStr">
        <is>
          <t>대행수수료</t>
        </is>
      </c>
      <c r="D79" s="407" t="n"/>
      <c r="E79" s="149" t="n">
        <v>49</v>
      </c>
      <c r="F79" s="253" t="inlineStr">
        <is>
          <t>해외지사비</t>
        </is>
      </c>
      <c r="G79" s="82" t="n"/>
      <c r="H79" s="187" t="n"/>
      <c r="I79" s="798" t="n"/>
      <c r="J79" s="187" t="n"/>
      <c r="K79" s="923" t="n">
        <v>300</v>
      </c>
      <c r="L79" s="800">
        <f>#REF!</f>
        <v/>
      </c>
      <c r="M79" s="919">
        <f>K79/L79</f>
        <v/>
      </c>
      <c r="N79" s="802">
        <f>N78+H79-K79</f>
        <v/>
      </c>
      <c r="O79" s="802">
        <f>O78+J79-M79</f>
        <v/>
      </c>
      <c r="P79" s="803" t="inlineStr">
        <is>
          <t>4월 송금</t>
        </is>
      </c>
      <c r="Q79" s="804" t="n"/>
      <c r="R79" s="305" t="inlineStr">
        <is>
          <t>김명관 프로</t>
        </is>
      </c>
      <c r="S79" s="805">
        <f>S78-M79+J79</f>
        <v/>
      </c>
    </row>
    <row r="80" hidden="1" ht="11.25" customHeight="1" s="654">
      <c r="B80" s="875" t="n">
        <v>45772</v>
      </c>
      <c r="C80" s="177" t="inlineStr">
        <is>
          <t>주재원 주재수당</t>
        </is>
      </c>
      <c r="D80" s="407" t="n"/>
      <c r="E80" s="149" t="n">
        <v>49</v>
      </c>
      <c r="F80" s="253" t="inlineStr">
        <is>
          <t>해외지사비</t>
        </is>
      </c>
      <c r="G80" s="82" t="n"/>
      <c r="H80" s="187" t="n"/>
      <c r="I80" s="798" t="n"/>
      <c r="J80" s="187" t="n"/>
      <c r="K80" s="922" t="n">
        <v>16000</v>
      </c>
      <c r="L80" s="800">
        <f>#REF!</f>
        <v/>
      </c>
      <c r="M80" s="919">
        <f>K80/L80</f>
        <v/>
      </c>
      <c r="N80" s="802">
        <f>N79+H80-K80</f>
        <v/>
      </c>
      <c r="O80" s="802">
        <f>O79+J80-M80</f>
        <v/>
      </c>
      <c r="P80" s="803" t="inlineStr">
        <is>
          <t>4월 송금</t>
        </is>
      </c>
      <c r="Q80" s="804" t="n"/>
      <c r="R80" s="305" t="inlineStr">
        <is>
          <t>신순연 프로</t>
        </is>
      </c>
      <c r="S80" s="805">
        <f>S79-M80+J80</f>
        <v/>
      </c>
    </row>
    <row r="81" hidden="1" ht="11.25" customHeight="1" s="654">
      <c r="B81" s="875" t="n">
        <v>45772</v>
      </c>
      <c r="C81" s="177" t="inlineStr">
        <is>
          <t>주재원 주택수당</t>
        </is>
      </c>
      <c r="D81" s="407" t="n"/>
      <c r="E81" s="149" t="n">
        <v>49</v>
      </c>
      <c r="F81" s="253" t="inlineStr">
        <is>
          <t>해외지사비</t>
        </is>
      </c>
      <c r="G81" s="82" t="n"/>
      <c r="H81" s="187" t="n"/>
      <c r="I81" s="798" t="n"/>
      <c r="J81" s="187" t="n"/>
      <c r="K81" s="922" t="n">
        <v>24000</v>
      </c>
      <c r="L81" s="800">
        <f>#REF!</f>
        <v/>
      </c>
      <c r="M81" s="919">
        <f>K81/L81</f>
        <v/>
      </c>
      <c r="N81" s="802">
        <f>N80+H81-K81</f>
        <v/>
      </c>
      <c r="O81" s="802">
        <f>O80+J81-M81</f>
        <v/>
      </c>
      <c r="P81" s="803" t="inlineStr">
        <is>
          <t>4월 송금</t>
        </is>
      </c>
      <c r="Q81" s="804" t="n"/>
      <c r="R81" s="306" t="inlineStr">
        <is>
          <t>신순연 프로</t>
        </is>
      </c>
      <c r="S81" s="805">
        <f>S80-M81+J81</f>
        <v/>
      </c>
    </row>
    <row r="82" hidden="1" ht="11.25" customHeight="1" s="654">
      <c r="B82" s="875" t="n">
        <v>45772</v>
      </c>
      <c r="C82" s="177" t="inlineStr">
        <is>
          <t>보험(주재원/현채인)</t>
        </is>
      </c>
      <c r="D82" s="407" t="n"/>
      <c r="E82" s="149" t="n">
        <v>49</v>
      </c>
      <c r="F82" s="253" t="inlineStr">
        <is>
          <t>해외지사비</t>
        </is>
      </c>
      <c r="G82" s="82" t="n"/>
      <c r="H82" s="187" t="n"/>
      <c r="I82" s="798" t="n"/>
      <c r="J82" s="187" t="n"/>
      <c r="K82" s="923" t="n">
        <v>9305.190000000001</v>
      </c>
      <c r="L82" s="800">
        <f>#REF!</f>
        <v/>
      </c>
      <c r="M82" s="919">
        <f>K82/L82</f>
        <v/>
      </c>
      <c r="N82" s="802">
        <f>N81+H82-K82</f>
        <v/>
      </c>
      <c r="O82" s="802">
        <f>O81+J82-M82</f>
        <v/>
      </c>
      <c r="P82" s="803" t="inlineStr">
        <is>
          <t>4월 송금</t>
        </is>
      </c>
      <c r="Q82" s="804" t="n"/>
      <c r="R82" s="306" t="inlineStr">
        <is>
          <t>신순연 프로</t>
        </is>
      </c>
      <c r="S82" s="805">
        <f>S81-M82+J82</f>
        <v/>
      </c>
    </row>
    <row r="83" hidden="1" ht="11.25" customHeight="1" s="654">
      <c r="B83" s="875" t="n">
        <v>45772</v>
      </c>
      <c r="C83" s="177" t="inlineStr">
        <is>
          <t>세금(주재원/현채인)</t>
        </is>
      </c>
      <c r="D83" s="407" t="n"/>
      <c r="E83" s="149" t="n">
        <v>49</v>
      </c>
      <c r="F83" s="253" t="inlineStr">
        <is>
          <t>해외지사비</t>
        </is>
      </c>
      <c r="G83" s="82" t="n"/>
      <c r="H83" s="187" t="n"/>
      <c r="I83" s="798" t="n"/>
      <c r="J83" s="187" t="n"/>
      <c r="K83" s="923" t="n">
        <v>3144.800000000001</v>
      </c>
      <c r="L83" s="800">
        <f>#REF!</f>
        <v/>
      </c>
      <c r="M83" s="919">
        <f>K83/L83</f>
        <v/>
      </c>
      <c r="N83" s="802">
        <f>N82+H83-K83</f>
        <v/>
      </c>
      <c r="O83" s="802">
        <f>O82+J83-M83</f>
        <v/>
      </c>
      <c r="P83" s="803" t="inlineStr">
        <is>
          <t>4월 송금</t>
        </is>
      </c>
      <c r="Q83" s="804" t="n"/>
      <c r="R83" s="306" t="inlineStr">
        <is>
          <t>신순연 프로</t>
        </is>
      </c>
      <c r="S83" s="805">
        <f>S82-M83+J83</f>
        <v/>
      </c>
    </row>
    <row r="84" hidden="1" ht="11.25" customHeight="1" s="654">
      <c r="B84" s="875" t="n">
        <v>45772</v>
      </c>
      <c r="C84" s="177" t="inlineStr">
        <is>
          <t>대행수수료</t>
        </is>
      </c>
      <c r="D84" s="407" t="n"/>
      <c r="E84" s="149" t="n">
        <v>49</v>
      </c>
      <c r="F84" s="253" t="inlineStr">
        <is>
          <t>해외지사비</t>
        </is>
      </c>
      <c r="G84" s="82" t="n"/>
      <c r="H84" s="187" t="n"/>
      <c r="I84" s="798" t="n"/>
      <c r="J84" s="187" t="n"/>
      <c r="K84" s="923" t="n">
        <v>300</v>
      </c>
      <c r="L84" s="800">
        <f>#REF!</f>
        <v/>
      </c>
      <c r="M84" s="919">
        <f>K84/L84</f>
        <v/>
      </c>
      <c r="N84" s="802">
        <f>N83+H84-K84</f>
        <v/>
      </c>
      <c r="O84" s="802">
        <f>O83+J84-M84</f>
        <v/>
      </c>
      <c r="P84" s="803" t="inlineStr">
        <is>
          <t>4월 송금</t>
        </is>
      </c>
      <c r="Q84" s="804" t="n"/>
      <c r="R84" s="306" t="inlineStr">
        <is>
          <t>신순연 프로</t>
        </is>
      </c>
      <c r="S84" s="805">
        <f>S83-M84+J84</f>
        <v/>
      </c>
    </row>
    <row r="85" ht="11.25" customHeight="1" s="654">
      <c r="B85" s="875" t="n">
        <v>45772</v>
      </c>
      <c r="C85" s="177" t="inlineStr">
        <is>
          <t>현채인 월급</t>
        </is>
      </c>
      <c r="D85" s="149" t="n"/>
      <c r="E85" s="149" t="n">
        <v>49</v>
      </c>
      <c r="F85" s="253" t="inlineStr">
        <is>
          <t>해외지사비</t>
        </is>
      </c>
      <c r="G85" s="82" t="n"/>
      <c r="H85" s="187" t="n"/>
      <c r="I85" s="798" t="n"/>
      <c r="J85" s="187" t="n"/>
      <c r="K85" s="924" t="n">
        <v>25750</v>
      </c>
      <c r="L85" s="800">
        <f>#REF!</f>
        <v/>
      </c>
      <c r="M85" s="919">
        <f>K85/L85</f>
        <v/>
      </c>
      <c r="N85" s="802">
        <f>N84+H85-K85</f>
        <v/>
      </c>
      <c r="O85" s="802">
        <f>O84+J85-M85</f>
        <v/>
      </c>
      <c r="P85" s="803" t="inlineStr">
        <is>
          <t>4월 송금</t>
        </is>
      </c>
      <c r="Q85" s="804" t="n"/>
      <c r="R85" s="305" t="inlineStr">
        <is>
          <t>FAE (Pan Shi Qiang)
7/1 입사
潘世强</t>
        </is>
      </c>
      <c r="S85" s="805">
        <f>S84-M85+J85</f>
        <v/>
      </c>
    </row>
    <row r="86" ht="11.25" customHeight="1" s="654">
      <c r="B86" s="875" t="n">
        <v>45772</v>
      </c>
      <c r="C86" s="177" t="inlineStr">
        <is>
          <t>보너스</t>
        </is>
      </c>
      <c r="D86" s="149" t="n"/>
      <c r="E86" s="149" t="n">
        <v>49</v>
      </c>
      <c r="F86" s="253" t="inlineStr">
        <is>
          <t>해외지사비</t>
        </is>
      </c>
      <c r="G86" s="82" t="n"/>
      <c r="H86" s="187" t="n"/>
      <c r="I86" s="798" t="n"/>
      <c r="J86" s="187" t="n"/>
      <c r="K86" s="924" t="n">
        <v>12875</v>
      </c>
      <c r="L86" s="800">
        <f>#REF!</f>
        <v/>
      </c>
      <c r="M86" s="919">
        <f>K86/L86</f>
        <v/>
      </c>
      <c r="N86" s="802">
        <f>N85+H86-K86</f>
        <v/>
      </c>
      <c r="O86" s="802">
        <f>O85+J86-M86</f>
        <v/>
      </c>
      <c r="P86" s="803" t="inlineStr">
        <is>
          <t>4월 송금</t>
        </is>
      </c>
      <c r="Q86" s="804" t="n"/>
      <c r="R86" s="305" t="inlineStr">
        <is>
          <t>FAE (Pan Shi Qiang)
7/1 입사
潘世强</t>
        </is>
      </c>
      <c r="S86" s="805">
        <f>S85-M86+J86</f>
        <v/>
      </c>
    </row>
    <row r="87" hidden="1" ht="11.25" customHeight="1" s="654">
      <c r="B87" s="875" t="n">
        <v>45772</v>
      </c>
      <c r="C87" s="177" t="inlineStr">
        <is>
          <t>보험비(회사납부)
公司缴纳部分合计</t>
        </is>
      </c>
      <c r="D87" s="407" t="n"/>
      <c r="E87" s="149" t="n">
        <v>49</v>
      </c>
      <c r="F87" s="253" t="inlineStr">
        <is>
          <t>해외지사비</t>
        </is>
      </c>
      <c r="G87" s="82" t="n"/>
      <c r="H87" s="187" t="n"/>
      <c r="I87" s="798" t="n"/>
      <c r="J87" s="187" t="n"/>
      <c r="K87" s="923" t="n">
        <v>7431.44</v>
      </c>
      <c r="L87" s="800">
        <f>#REF!</f>
        <v/>
      </c>
      <c r="M87" s="919">
        <f>K87/L87</f>
        <v/>
      </c>
      <c r="N87" s="802">
        <f>N86+H87-K87</f>
        <v/>
      </c>
      <c r="O87" s="802">
        <f>O86+J87-M87</f>
        <v/>
      </c>
      <c r="P87" s="803" t="inlineStr">
        <is>
          <t>4월 송금</t>
        </is>
      </c>
      <c r="Q87" s="804" t="n"/>
      <c r="R87" s="305" t="inlineStr">
        <is>
          <t>FAE (Pan Shi Qiang)
7/1 입사
潘世强</t>
        </is>
      </c>
      <c r="S87" s="805">
        <f>S86-M87+J87</f>
        <v/>
      </c>
    </row>
    <row r="88" hidden="1" ht="11.25" customHeight="1" s="654">
      <c r="B88" s="875" t="n">
        <v>45772</v>
      </c>
      <c r="C88" s="177" t="inlineStr">
        <is>
          <t>대행수수료</t>
        </is>
      </c>
      <c r="D88" s="407" t="n"/>
      <c r="E88" s="149" t="n">
        <v>49</v>
      </c>
      <c r="F88" s="253" t="inlineStr">
        <is>
          <t>해외지사비</t>
        </is>
      </c>
      <c r="G88" s="82" t="n"/>
      <c r="H88" s="187" t="n"/>
      <c r="I88" s="798" t="n"/>
      <c r="J88" s="187" t="n"/>
      <c r="K88" s="923" t="n">
        <v>300</v>
      </c>
      <c r="L88" s="800">
        <f>#REF!</f>
        <v/>
      </c>
      <c r="M88" s="919">
        <f>K88/L88</f>
        <v/>
      </c>
      <c r="N88" s="802">
        <f>N87+H88-K88</f>
        <v/>
      </c>
      <c r="O88" s="802">
        <f>O87+J88-M88</f>
        <v/>
      </c>
      <c r="P88" s="803" t="inlineStr">
        <is>
          <t>4월 송금</t>
        </is>
      </c>
      <c r="Q88" s="804" t="n"/>
      <c r="R88" s="305" t="inlineStr">
        <is>
          <t>FAE (Pan Shi Qiang)
7/1 입사
潘世强</t>
        </is>
      </c>
      <c r="S88" s="805">
        <f>S87-M88+J88</f>
        <v/>
      </c>
    </row>
    <row r="89" ht="11.25" customHeight="1" s="654">
      <c r="B89" s="875" t="n">
        <v>45772</v>
      </c>
      <c r="C89" s="177" t="inlineStr">
        <is>
          <t>일비</t>
        </is>
      </c>
      <c r="D89" s="149" t="n"/>
      <c r="E89" s="149" t="n">
        <v>49</v>
      </c>
      <c r="F89" s="253" t="inlineStr">
        <is>
          <t>해외지사비</t>
        </is>
      </c>
      <c r="G89" s="82" t="n"/>
      <c r="H89" s="187" t="n"/>
      <c r="I89" s="798" t="n"/>
      <c r="J89" s="187" t="n"/>
      <c r="K89" s="923" t="n">
        <v>800</v>
      </c>
      <c r="L89" s="800">
        <f>#REF!</f>
        <v/>
      </c>
      <c r="M89" s="919">
        <f>K89/L89</f>
        <v/>
      </c>
      <c r="N89" s="802">
        <f>N88+H89-K89</f>
        <v/>
      </c>
      <c r="O89" s="802">
        <f>O88+J89-M89</f>
        <v/>
      </c>
      <c r="P89" s="803" t="inlineStr">
        <is>
          <t>4월 송금</t>
        </is>
      </c>
      <c r="Q89" s="804" t="n"/>
      <c r="R89" s="305" t="inlineStr">
        <is>
          <t>FAE (Pan Shi Qiang)
7/1 입사
潘世强</t>
        </is>
      </c>
      <c r="S89" s="805">
        <f>S88-M89+J89</f>
        <v/>
      </c>
    </row>
    <row r="90" ht="11.25" customHeight="1" s="654">
      <c r="B90" s="875" t="n">
        <v>45772</v>
      </c>
      <c r="C90" s="177" t="inlineStr">
        <is>
          <t>현채인 월급</t>
        </is>
      </c>
      <c r="D90" s="149" t="n"/>
      <c r="E90" s="149" t="n">
        <v>49</v>
      </c>
      <c r="F90" s="253" t="inlineStr">
        <is>
          <t>해외지사비</t>
        </is>
      </c>
      <c r="G90" s="82" t="n"/>
      <c r="H90" s="187" t="n"/>
      <c r="I90" s="798" t="n"/>
      <c r="J90" s="187" t="n"/>
      <c r="K90" s="924" t="n">
        <v>13390</v>
      </c>
      <c r="L90" s="800">
        <f>#REF!</f>
        <v/>
      </c>
      <c r="M90" s="919">
        <f>K90/L90</f>
        <v/>
      </c>
      <c r="N90" s="802">
        <f>N89+H90-K90</f>
        <v/>
      </c>
      <c r="O90" s="802">
        <f>O89+J90-M90</f>
        <v/>
      </c>
      <c r="P90" s="803" t="inlineStr">
        <is>
          <t>4월 송금</t>
        </is>
      </c>
      <c r="Q90" s="804" t="n"/>
      <c r="R90" s="307" t="inlineStr">
        <is>
          <t>张亮(Zhang Liang)
23/8/1 입사</t>
        </is>
      </c>
      <c r="S90" s="805">
        <f>S89-M90+J90</f>
        <v/>
      </c>
    </row>
    <row r="91" ht="11.25" customHeight="1" s="654">
      <c r="B91" s="875" t="n">
        <v>45772</v>
      </c>
      <c r="C91" s="177" t="inlineStr">
        <is>
          <t>보너스</t>
        </is>
      </c>
      <c r="D91" s="149" t="n"/>
      <c r="E91" s="149" t="n">
        <v>49</v>
      </c>
      <c r="F91" s="253" t="inlineStr">
        <is>
          <t>해외지사비</t>
        </is>
      </c>
      <c r="G91" s="82" t="n"/>
      <c r="H91" s="187" t="n"/>
      <c r="I91" s="798" t="n"/>
      <c r="J91" s="187" t="n"/>
      <c r="K91" s="924" t="n">
        <v>4120</v>
      </c>
      <c r="L91" s="800">
        <f>#REF!</f>
        <v/>
      </c>
      <c r="M91" s="919">
        <f>K91/L91</f>
        <v/>
      </c>
      <c r="N91" s="802">
        <f>N90+H91-K91</f>
        <v/>
      </c>
      <c r="O91" s="802">
        <f>O90+J91-M91</f>
        <v/>
      </c>
      <c r="P91" s="803" t="inlineStr">
        <is>
          <t>4월 송금</t>
        </is>
      </c>
      <c r="Q91" s="804" t="n"/>
      <c r="R91" s="307" t="inlineStr">
        <is>
          <t>张亮(Zhang Liang)
23/8/1 입사</t>
        </is>
      </c>
      <c r="S91" s="805">
        <f>S90-M91+J91</f>
        <v/>
      </c>
    </row>
    <row r="92" hidden="1" ht="11.25" customHeight="1" s="654">
      <c r="B92" s="875" t="n">
        <v>45772</v>
      </c>
      <c r="C92" s="177" t="inlineStr">
        <is>
          <t>보험비(회사납부)
公司缴纳部分合计</t>
        </is>
      </c>
      <c r="D92" s="407" t="n"/>
      <c r="E92" s="149" t="n">
        <v>49</v>
      </c>
      <c r="F92" s="253" t="inlineStr">
        <is>
          <t>해외지사비</t>
        </is>
      </c>
      <c r="G92" s="82" t="n"/>
      <c r="H92" s="187" t="n"/>
      <c r="I92" s="798" t="n"/>
      <c r="J92" s="187" t="n"/>
      <c r="K92" s="923" t="n">
        <v>3281.57</v>
      </c>
      <c r="L92" s="800">
        <f>#REF!</f>
        <v/>
      </c>
      <c r="M92" s="919">
        <f>K92/L92</f>
        <v/>
      </c>
      <c r="N92" s="802">
        <f>N91+H92-K92</f>
        <v/>
      </c>
      <c r="O92" s="802">
        <f>O91+J92-M92</f>
        <v/>
      </c>
      <c r="P92" s="803" t="inlineStr">
        <is>
          <t>4월 송금</t>
        </is>
      </c>
      <c r="Q92" s="804" t="n"/>
      <c r="R92" s="307" t="inlineStr">
        <is>
          <t>张亮(Zhang Liang)
23/8/1 입사</t>
        </is>
      </c>
      <c r="S92" s="805">
        <f>S91-M92+J92</f>
        <v/>
      </c>
    </row>
    <row r="93" hidden="1" ht="11.25" customHeight="1" s="654">
      <c r="B93" s="875" t="n">
        <v>45772</v>
      </c>
      <c r="C93" s="177" t="inlineStr">
        <is>
          <t>대행수수료</t>
        </is>
      </c>
      <c r="D93" s="407" t="n"/>
      <c r="E93" s="149" t="n">
        <v>49</v>
      </c>
      <c r="F93" s="253" t="inlineStr">
        <is>
          <t>해외지사비</t>
        </is>
      </c>
      <c r="G93" s="82" t="n"/>
      <c r="H93" s="187" t="n"/>
      <c r="I93" s="798" t="n"/>
      <c r="J93" s="187" t="n"/>
      <c r="K93" s="923" t="n">
        <v>300</v>
      </c>
      <c r="L93" s="800">
        <f>#REF!</f>
        <v/>
      </c>
      <c r="M93" s="919">
        <f>K93/L93</f>
        <v/>
      </c>
      <c r="N93" s="802">
        <f>N92+H93-K93</f>
        <v/>
      </c>
      <c r="O93" s="802">
        <f>O92+J93-M93</f>
        <v/>
      </c>
      <c r="P93" s="803" t="inlineStr">
        <is>
          <t>4월 송금</t>
        </is>
      </c>
      <c r="Q93" s="804" t="n"/>
      <c r="R93" s="307" t="inlineStr">
        <is>
          <t>张亮(Zhang Liang)
23/8/1 입사</t>
        </is>
      </c>
      <c r="S93" s="805">
        <f>S92-M93+J93</f>
        <v/>
      </c>
    </row>
    <row r="94" ht="11.25" customHeight="1" s="654">
      <c r="B94" s="875" t="n">
        <v>45772</v>
      </c>
      <c r="C94" s="177" t="inlineStr">
        <is>
          <t>일비</t>
        </is>
      </c>
      <c r="D94" s="149" t="n"/>
      <c r="E94" s="149" t="n">
        <v>49</v>
      </c>
      <c r="F94" s="253" t="inlineStr">
        <is>
          <t>해외지사비</t>
        </is>
      </c>
      <c r="G94" s="82" t="n"/>
      <c r="H94" s="187" t="n"/>
      <c r="I94" s="798" t="n"/>
      <c r="J94" s="187" t="n"/>
      <c r="K94" s="923" t="n">
        <v>200</v>
      </c>
      <c r="L94" s="800">
        <f>#REF!</f>
        <v/>
      </c>
      <c r="M94" s="919">
        <f>K94/L94</f>
        <v/>
      </c>
      <c r="N94" s="802">
        <f>N93+H94-K94</f>
        <v/>
      </c>
      <c r="O94" s="802">
        <f>O93+J94-M94</f>
        <v/>
      </c>
      <c r="P94" s="803" t="inlineStr">
        <is>
          <t>4월 송금</t>
        </is>
      </c>
      <c r="Q94" s="804" t="n"/>
      <c r="R94" s="307" t="inlineStr">
        <is>
          <t>张亮(Zhang Liang)
23/8/1 입사</t>
        </is>
      </c>
      <c r="S94" s="805">
        <f>S93-M94+J94</f>
        <v/>
      </c>
    </row>
    <row r="95" ht="11.25" customHeight="1" s="654">
      <c r="B95" s="875" t="n">
        <v>45772</v>
      </c>
      <c r="C95" s="177" t="inlineStr">
        <is>
          <t>현채인 월급</t>
        </is>
      </c>
      <c r="D95" s="149" t="n"/>
      <c r="E95" s="149" t="n">
        <v>49</v>
      </c>
      <c r="F95" s="253" t="inlineStr">
        <is>
          <t>해외지사비</t>
        </is>
      </c>
      <c r="G95" s="82" t="n"/>
      <c r="H95" s="187" t="n"/>
      <c r="I95" s="798" t="n"/>
      <c r="J95" s="187" t="n"/>
      <c r="K95" s="924" t="n">
        <v>25750</v>
      </c>
      <c r="L95" s="800">
        <f>#REF!</f>
        <v/>
      </c>
      <c r="M95" s="919">
        <f>K95/L95</f>
        <v/>
      </c>
      <c r="N95" s="802">
        <f>N94+H95-K95</f>
        <v/>
      </c>
      <c r="O95" s="802">
        <f>O94+J95-M95</f>
        <v/>
      </c>
      <c r="P95" s="803" t="inlineStr">
        <is>
          <t>4월 송금</t>
        </is>
      </c>
      <c r="Q95" s="804" t="n"/>
      <c r="R95" s="305" t="inlineStr">
        <is>
          <t>林洁婷 임결정
23/9/18 입사</t>
        </is>
      </c>
      <c r="S95" s="805">
        <f>S94-M95+J95</f>
        <v/>
      </c>
    </row>
    <row r="96" ht="11.25" customHeight="1" s="654">
      <c r="B96" s="875" t="n">
        <v>45772</v>
      </c>
      <c r="C96" s="177" t="inlineStr">
        <is>
          <t>보너스</t>
        </is>
      </c>
      <c r="D96" s="149" t="n"/>
      <c r="E96" s="149" t="n">
        <v>49</v>
      </c>
      <c r="F96" s="253" t="inlineStr">
        <is>
          <t>해외지사비</t>
        </is>
      </c>
      <c r="G96" s="82" t="n"/>
      <c r="H96" s="187" t="n"/>
      <c r="I96" s="798" t="n"/>
      <c r="J96" s="187" t="n"/>
      <c r="K96" s="924" t="n">
        <v>10300</v>
      </c>
      <c r="L96" s="800">
        <f>#REF!</f>
        <v/>
      </c>
      <c r="M96" s="919">
        <f>K96/L96</f>
        <v/>
      </c>
      <c r="N96" s="802">
        <f>N95+H96-K96</f>
        <v/>
      </c>
      <c r="O96" s="802">
        <f>O95+J96-M96</f>
        <v/>
      </c>
      <c r="P96" s="803" t="inlineStr">
        <is>
          <t>4월 송금</t>
        </is>
      </c>
      <c r="Q96" s="804" t="n"/>
      <c r="R96" s="305" t="inlineStr">
        <is>
          <t>林洁婷 임결정
23/9/18 입사</t>
        </is>
      </c>
      <c r="S96" s="805">
        <f>S95-M96+J96</f>
        <v/>
      </c>
    </row>
    <row r="97" hidden="1" ht="11.25" customHeight="1" s="654">
      <c r="B97" s="875" t="n">
        <v>45772</v>
      </c>
      <c r="C97" s="177" t="inlineStr">
        <is>
          <t>보험비(회사납부)
公司缴纳部分合计</t>
        </is>
      </c>
      <c r="D97" s="407" t="n"/>
      <c r="E97" s="149" t="n">
        <v>49</v>
      </c>
      <c r="F97" s="253" t="inlineStr">
        <is>
          <t>해외지사비</t>
        </is>
      </c>
      <c r="G97" s="82" t="n"/>
      <c r="H97" s="187" t="n"/>
      <c r="I97" s="798" t="n"/>
      <c r="J97" s="187" t="n"/>
      <c r="K97" s="923" t="n">
        <v>7431.44</v>
      </c>
      <c r="L97" s="800">
        <f>#REF!</f>
        <v/>
      </c>
      <c r="M97" s="919">
        <f>K97/L97</f>
        <v/>
      </c>
      <c r="N97" s="802">
        <f>N96+H97-K97</f>
        <v/>
      </c>
      <c r="O97" s="802">
        <f>O96+J97-M97</f>
        <v/>
      </c>
      <c r="P97" s="803" t="inlineStr">
        <is>
          <t>4월 송금</t>
        </is>
      </c>
      <c r="Q97" s="804" t="n"/>
      <c r="R97" s="305" t="inlineStr">
        <is>
          <t>林洁婷 임결정
23/9/18 입사</t>
        </is>
      </c>
      <c r="S97" s="805">
        <f>S96-M97+J97</f>
        <v/>
      </c>
    </row>
    <row r="98" hidden="1" ht="11.25" customHeight="1" s="654">
      <c r="B98" s="875" t="n">
        <v>45772</v>
      </c>
      <c r="C98" s="177" t="inlineStr">
        <is>
          <t>대행수수료</t>
        </is>
      </c>
      <c r="D98" s="407" t="n"/>
      <c r="E98" s="149" t="n">
        <v>49</v>
      </c>
      <c r="F98" s="253" t="inlineStr">
        <is>
          <t>해외지사비</t>
        </is>
      </c>
      <c r="G98" s="82" t="n"/>
      <c r="H98" s="187" t="n"/>
      <c r="I98" s="798" t="n"/>
      <c r="J98" s="187" t="n"/>
      <c r="K98" s="923" t="n">
        <v>300</v>
      </c>
      <c r="L98" s="800">
        <f>#REF!</f>
        <v/>
      </c>
      <c r="M98" s="919">
        <f>K98/L98</f>
        <v/>
      </c>
      <c r="N98" s="802">
        <f>N97+H98-K98</f>
        <v/>
      </c>
      <c r="O98" s="802">
        <f>O97+J98-M98</f>
        <v/>
      </c>
      <c r="P98" s="803" t="inlineStr">
        <is>
          <t>4월 송금</t>
        </is>
      </c>
      <c r="Q98" s="804" t="n"/>
      <c r="R98" s="305" t="inlineStr">
        <is>
          <t>林洁婷 임결정
23/9/18 입사</t>
        </is>
      </c>
      <c r="S98" s="805">
        <f>S97-M98+J98</f>
        <v/>
      </c>
    </row>
    <row r="99" ht="11.25" customHeight="1" s="654">
      <c r="B99" s="875" t="n">
        <v>45772</v>
      </c>
      <c r="C99" s="177" t="inlineStr">
        <is>
          <t>일비</t>
        </is>
      </c>
      <c r="D99" s="149" t="n"/>
      <c r="E99" s="149" t="n">
        <v>49</v>
      </c>
      <c r="F99" s="253" t="inlineStr">
        <is>
          <t>해외지사비</t>
        </is>
      </c>
      <c r="G99" s="82" t="n"/>
      <c r="H99" s="187" t="n"/>
      <c r="I99" s="798" t="n"/>
      <c r="J99" s="187" t="n"/>
      <c r="K99" s="923" t="n">
        <v>200</v>
      </c>
      <c r="L99" s="800">
        <f>#REF!</f>
        <v/>
      </c>
      <c r="M99" s="919">
        <f>K99/L99</f>
        <v/>
      </c>
      <c r="N99" s="802">
        <f>N98+H99-K99</f>
        <v/>
      </c>
      <c r="O99" s="802">
        <f>O98+J99-M99</f>
        <v/>
      </c>
      <c r="P99" s="803" t="inlineStr">
        <is>
          <t>4월 송금</t>
        </is>
      </c>
      <c r="Q99" s="804" t="n"/>
      <c r="R99" s="305" t="inlineStr">
        <is>
          <t>林洁婷 임결정
23/9/18 입사</t>
        </is>
      </c>
      <c r="S99" s="805">
        <f>S98-M99+J99</f>
        <v/>
      </c>
    </row>
    <row r="100" ht="11.25" customHeight="1" s="654">
      <c r="B100" s="875" t="n">
        <v>45772</v>
      </c>
      <c r="C100" s="177" t="inlineStr">
        <is>
          <t>현채인 월급</t>
        </is>
      </c>
      <c r="D100" s="149" t="n"/>
      <c r="E100" s="149" t="n">
        <v>49</v>
      </c>
      <c r="F100" s="253" t="inlineStr">
        <is>
          <t>해외지사비</t>
        </is>
      </c>
      <c r="G100" s="82" t="n"/>
      <c r="H100" s="187" t="n"/>
      <c r="I100" s="798" t="n"/>
      <c r="J100" s="187" t="n"/>
      <c r="K100" s="923" t="n">
        <v>21300</v>
      </c>
      <c r="L100" s="800">
        <f>#REF!</f>
        <v/>
      </c>
      <c r="M100" s="919">
        <f>K100/L100</f>
        <v/>
      </c>
      <c r="N100" s="802">
        <f>N99+H100-K100</f>
        <v/>
      </c>
      <c r="O100" s="802">
        <f>O99+J100-M100</f>
        <v/>
      </c>
      <c r="P100" s="803" t="inlineStr">
        <is>
          <t>4월 송금</t>
        </is>
      </c>
      <c r="Q100" s="804" t="n"/>
      <c r="R100" s="305" t="inlineStr">
        <is>
          <t>朴美玲 박미령
23/9/18 입사</t>
        </is>
      </c>
      <c r="S100" s="805">
        <f>S99-M100+J100</f>
        <v/>
      </c>
    </row>
    <row r="101" ht="11.25" customHeight="1" s="654">
      <c r="B101" s="875" t="n">
        <v>45772</v>
      </c>
      <c r="C101" s="177" t="inlineStr">
        <is>
          <t>보너스</t>
        </is>
      </c>
      <c r="D101" s="149" t="n"/>
      <c r="E101" s="149" t="n">
        <v>49</v>
      </c>
      <c r="F101" s="253" t="inlineStr">
        <is>
          <t>해외지사비</t>
        </is>
      </c>
      <c r="G101" s="82" t="n"/>
      <c r="H101" s="187" t="n"/>
      <c r="I101" s="798" t="n"/>
      <c r="J101" s="187" t="n"/>
      <c r="K101" s="923" t="n">
        <v>8600</v>
      </c>
      <c r="L101" s="800">
        <f>#REF!</f>
        <v/>
      </c>
      <c r="M101" s="919">
        <f>K101/L101</f>
        <v/>
      </c>
      <c r="N101" s="802">
        <f>N100+H101-K101</f>
        <v/>
      </c>
      <c r="O101" s="802">
        <f>O100+J101-M101</f>
        <v/>
      </c>
      <c r="P101" s="803" t="inlineStr">
        <is>
          <t>4월 송금</t>
        </is>
      </c>
      <c r="Q101" s="804" t="n"/>
      <c r="R101" s="305" t="inlineStr">
        <is>
          <t>朴美玲 박미령
23/9/18 입사</t>
        </is>
      </c>
      <c r="S101" s="805">
        <f>S100-M101+J101</f>
        <v/>
      </c>
    </row>
    <row r="102" hidden="1" ht="11.25" customHeight="1" s="654">
      <c r="B102" s="875" t="n">
        <v>45772</v>
      </c>
      <c r="C102" s="177" t="inlineStr">
        <is>
          <t>보험비(회사납부)
公司缴纳部分合计</t>
        </is>
      </c>
      <c r="D102" s="407" t="n"/>
      <c r="E102" s="149" t="n">
        <v>49</v>
      </c>
      <c r="F102" s="253" t="inlineStr">
        <is>
          <t>해외지사비</t>
        </is>
      </c>
      <c r="G102" s="82" t="n"/>
      <c r="H102" s="187" t="n"/>
      <c r="I102" s="798" t="n"/>
      <c r="J102" s="187" t="n"/>
      <c r="K102" s="923" t="n">
        <v>5941.29</v>
      </c>
      <c r="L102" s="800">
        <f>#REF!</f>
        <v/>
      </c>
      <c r="M102" s="919">
        <f>K102/L102</f>
        <v/>
      </c>
      <c r="N102" s="802">
        <f>N101+H102-K102</f>
        <v/>
      </c>
      <c r="O102" s="802">
        <f>O101+J102-M102</f>
        <v/>
      </c>
      <c r="P102" s="803" t="inlineStr">
        <is>
          <t>4월 송금</t>
        </is>
      </c>
      <c r="Q102" s="804" t="n"/>
      <c r="R102" s="305" t="inlineStr">
        <is>
          <t>朴美玲 박미령
23/9/18 입사</t>
        </is>
      </c>
      <c r="S102" s="805">
        <f>S101-M102+J102</f>
        <v/>
      </c>
    </row>
    <row r="103" hidden="1" ht="11.25" customHeight="1" s="654">
      <c r="B103" s="875" t="n">
        <v>45772</v>
      </c>
      <c r="C103" s="177" t="inlineStr">
        <is>
          <t>대행수수료</t>
        </is>
      </c>
      <c r="D103" s="407" t="n"/>
      <c r="E103" s="149" t="n">
        <v>49</v>
      </c>
      <c r="F103" s="253" t="inlineStr">
        <is>
          <t>해외지사비</t>
        </is>
      </c>
      <c r="G103" s="82" t="n"/>
      <c r="H103" s="187" t="n"/>
      <c r="I103" s="798" t="n"/>
      <c r="J103" s="187" t="n"/>
      <c r="K103" s="923" t="n">
        <v>300</v>
      </c>
      <c r="L103" s="800">
        <f>#REF!</f>
        <v/>
      </c>
      <c r="M103" s="919">
        <f>K103/L103</f>
        <v/>
      </c>
      <c r="N103" s="802">
        <f>N102+H103-K103</f>
        <v/>
      </c>
      <c r="O103" s="802">
        <f>O102+J103-M103</f>
        <v/>
      </c>
      <c r="P103" s="803" t="inlineStr">
        <is>
          <t>4월 송금</t>
        </is>
      </c>
      <c r="Q103" s="804" t="n"/>
      <c r="R103" s="305" t="inlineStr">
        <is>
          <t>朴美玲 박미령
23/9/18 입사</t>
        </is>
      </c>
      <c r="S103" s="805">
        <f>S102-M103+J103</f>
        <v/>
      </c>
    </row>
    <row r="104" hidden="1" ht="11.25" customHeight="1" s="654">
      <c r="B104" s="875" t="n">
        <v>45772</v>
      </c>
      <c r="C104" s="177" t="inlineStr">
        <is>
          <t>은행 수수료</t>
        </is>
      </c>
      <c r="D104" s="407" t="n"/>
      <c r="E104" s="145" t="n">
        <v>50</v>
      </c>
      <c r="F104" s="253" t="inlineStr">
        <is>
          <t>해외지사비</t>
        </is>
      </c>
      <c r="G104" s="82" t="n"/>
      <c r="H104" s="187" t="n"/>
      <c r="I104" s="798" t="n"/>
      <c r="J104" s="187" t="n"/>
      <c r="K104" s="799" t="n">
        <v>12</v>
      </c>
      <c r="L104" s="800">
        <f>#REF!</f>
        <v/>
      </c>
      <c r="M104" s="919">
        <f>K104/L104</f>
        <v/>
      </c>
      <c r="N104" s="802">
        <f>N103+H104-K104</f>
        <v/>
      </c>
      <c r="O104" s="802">
        <f>O103+J104-M104</f>
        <v/>
      </c>
      <c r="P104" s="803" t="inlineStr">
        <is>
          <t>4월 송금</t>
        </is>
      </c>
      <c r="Q104" s="804" t="n"/>
      <c r="R104" s="803" t="n"/>
      <c r="S104" s="805">
        <f>S103-M104+J104</f>
        <v/>
      </c>
    </row>
    <row r="105" ht="11.25" customHeight="1" s="654">
      <c r="M105" s="909" t="n"/>
    </row>
    <row r="106" ht="11.25" customHeight="1" s="654">
      <c r="M106" s="909" t="n"/>
    </row>
  </sheetData>
  <autoFilter ref="B18:R104">
    <filterColumn colId="2" hiddenButton="0" showButton="1">
      <colorFilter dxfId="1"/>
    </filterColumn>
    <filterColumn colId="4" hiddenButton="0" showButton="1">
      <filters>
        <filter val="해외지사비"/>
      </filters>
    </filterColumn>
    <filterColumn colId="14" hiddenButton="0" showButton="0"/>
    <sortState ref="B19:R104">
      <sortCondition sortBy="cellColor" ref="M18:M104" dxfId="2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AC112"/>
  <sheetViews>
    <sheetView showGridLines="0" zoomScaleNormal="100" workbookViewId="0">
      <pane ySplit="19" topLeftCell="A45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6" min="2" max="2"/>
    <col width="24" customWidth="1" style="700" min="3" max="3"/>
    <col width="9.75" customWidth="1" style="698" min="4" max="4"/>
    <col width="12.125" customWidth="1" style="698" min="5" max="5"/>
    <col width="12.5" customWidth="1" style="698" min="6" max="6"/>
    <col width="9.875" customWidth="1" style="688" min="7" max="7"/>
    <col width="9.75" customWidth="1" style="698" min="8" max="8"/>
    <col width="9.875" customWidth="1" style="698" min="9" max="9"/>
    <col width="10.5" customWidth="1" style="688" min="10" max="10"/>
    <col width="11" customWidth="1" style="750" min="11" max="11"/>
    <col width="11.125" customWidth="1" style="698" min="12" max="12"/>
    <col width="9.75" customWidth="1" style="698" min="13" max="13"/>
    <col width="12.375" customWidth="1" style="698" min="14" max="14"/>
    <col width="9.875" customWidth="1" style="698" min="15" max="15"/>
    <col width="10.75" customWidth="1" style="698" min="16" max="16"/>
    <col width="9.625" customWidth="1" style="698" min="17" max="17"/>
    <col width="31.5" customWidth="1" style="688" min="18" max="18"/>
    <col width="10.5" bestFit="1" customWidth="1" style="39" min="19" max="19"/>
    <col width="9" customWidth="1" style="698" min="20" max="20"/>
    <col width="9" customWidth="1" style="830" min="21" max="21"/>
    <col width="9" customWidth="1" style="698" min="22" max="16384"/>
  </cols>
  <sheetData>
    <row r="1" ht="4.5" customHeight="1" s="654">
      <c r="A1" s="14" t="n"/>
      <c r="B1" s="831" t="n"/>
      <c r="C1" s="882" t="n"/>
      <c r="D1" s="832" t="n"/>
      <c r="E1" s="833" t="n"/>
      <c r="F1" s="833" t="n"/>
      <c r="G1" s="834" t="n"/>
      <c r="H1" s="833" t="n"/>
      <c r="I1" s="833" t="n"/>
      <c r="J1" s="835" t="n"/>
      <c r="K1" s="883" t="n"/>
      <c r="L1" s="833" t="n"/>
      <c r="M1" s="836" t="n"/>
      <c r="N1" s="836" t="n"/>
      <c r="O1" s="832" t="n"/>
      <c r="P1" s="837" t="n"/>
      <c r="Q1" s="837" t="n"/>
      <c r="R1" s="838" t="n"/>
      <c r="S1" s="24" t="n"/>
    </row>
    <row r="2" ht="15" customHeight="1" s="654">
      <c r="B2" s="839" t="inlineStr">
        <is>
          <t>▶ 25년 5월 전도금 정산 내역 (심천지사)_4000061 (B2F590)</t>
        </is>
      </c>
      <c r="D2" s="700" t="n"/>
      <c r="F2" s="701" t="n"/>
      <c r="G2" s="688" t="inlineStr">
        <is>
          <t> </t>
        </is>
      </c>
      <c r="H2" s="206" t="inlineStr">
        <is>
          <t>보증금 입금 내역_1,234.5 (#1900000828 / #1200000234 / #100013313)</t>
        </is>
      </c>
      <c r="I2" s="702" t="n"/>
      <c r="J2" s="702" t="n"/>
      <c r="K2" s="884" t="n"/>
      <c r="L2" s="702" t="n"/>
      <c r="M2" s="702" t="n"/>
      <c r="N2" s="704" t="n"/>
      <c r="O2" s="705" t="n"/>
      <c r="Q2" s="702" t="n"/>
    </row>
    <row r="3" ht="11.25" customFormat="1" customHeight="1" s="706">
      <c r="A3" s="26" t="n"/>
      <c r="B3" s="707" t="inlineStr">
        <is>
          <t>25년 4월 송금_1,482.90 (#)</t>
        </is>
      </c>
      <c r="C3" s="708" t="n"/>
      <c r="D3" s="708" t="n"/>
      <c r="E3" s="708" t="n"/>
      <c r="F3" s="184" t="n">
        <v>1482.9</v>
      </c>
      <c r="G3" s="709" t="n"/>
      <c r="H3" s="707" t="inlineStr">
        <is>
          <t>25년 5월 송금_1405.60 (#)</t>
        </is>
      </c>
      <c r="I3" s="708" t="n"/>
      <c r="K3" s="885" t="n"/>
      <c r="L3" s="184" t="n">
        <v>1405.6</v>
      </c>
      <c r="N3" s="707" t="n"/>
      <c r="O3" s="707" t="n"/>
      <c r="P3" s="707" t="n"/>
      <c r="Q3" s="707" t="n"/>
      <c r="R3" s="707" t="n"/>
      <c r="T3" s="707" t="n"/>
      <c r="U3" s="708" t="n"/>
      <c r="V3" s="710" t="n"/>
      <c r="W3" s="710" t="n"/>
      <c r="X3" s="711" t="n">
        <v>1327.2</v>
      </c>
    </row>
    <row r="4" ht="11.25" customHeight="1" s="654">
      <c r="A4" s="14" t="n"/>
      <c r="B4" s="712" t="inlineStr">
        <is>
          <t>대계정</t>
        </is>
      </c>
      <c r="C4" s="886" t="inlineStr">
        <is>
          <t>소계정</t>
        </is>
      </c>
      <c r="D4" s="713" t="inlineStr">
        <is>
          <t>금액 (CNY)</t>
        </is>
      </c>
      <c r="E4" s="714" t="inlineStr">
        <is>
          <t>금액 (USD)</t>
        </is>
      </c>
      <c r="F4" s="715" t="inlineStr">
        <is>
          <t>금액 (KRW)</t>
        </is>
      </c>
      <c r="H4" s="712" t="inlineStr">
        <is>
          <t>대계정</t>
        </is>
      </c>
      <c r="I4" s="713" t="inlineStr">
        <is>
          <t>소계정</t>
        </is>
      </c>
      <c r="J4" s="716" t="inlineStr">
        <is>
          <t>금액 (CNY)</t>
        </is>
      </c>
      <c r="K4" s="717" t="inlineStr">
        <is>
          <t>금액 (USD)</t>
        </is>
      </c>
      <c r="L4" s="715" t="inlineStr">
        <is>
          <t>금액 (KRW)</t>
        </is>
      </c>
      <c r="M4" s="718" t="n"/>
      <c r="N4" s="707" t="n"/>
      <c r="O4" s="707" t="n"/>
      <c r="P4" s="707" t="n"/>
      <c r="Q4" s="707" t="n"/>
      <c r="R4" s="707" t="n"/>
      <c r="U4" s="698" t="n"/>
    </row>
    <row r="5" ht="11.25" customHeight="1" s="654">
      <c r="A5" s="39" t="n">
        <v>51131050</v>
      </c>
      <c r="B5" s="719" t="inlineStr">
        <is>
          <t>업무추진비</t>
        </is>
      </c>
      <c r="C5" s="720" t="inlineStr">
        <is>
          <t>일반</t>
        </is>
      </c>
      <c r="D5" s="721" t="n">
        <v>3161.4</v>
      </c>
      <c r="E5" s="722" t="n">
        <v>431.34</v>
      </c>
      <c r="F5" s="723">
        <f>ROUND(E5*$F$3,0)</f>
        <v/>
      </c>
      <c r="G5" s="724" t="n"/>
      <c r="H5" s="725" t="inlineStr">
        <is>
          <t>업무추진비</t>
        </is>
      </c>
      <c r="I5" s="725" t="inlineStr">
        <is>
          <t>일반</t>
        </is>
      </c>
      <c r="J5" s="726" t="n">
        <v>14265.08</v>
      </c>
      <c r="K5" s="887" t="n">
        <v>1986.7</v>
      </c>
      <c r="L5" s="723">
        <f>ROUND(K5*$L$3,0)</f>
        <v/>
      </c>
      <c r="M5" s="910">
        <f>L5+F5</f>
        <v/>
      </c>
      <c r="N5" s="707" t="n"/>
      <c r="O5" s="707" t="n"/>
      <c r="P5" s="707" t="n"/>
      <c r="Q5" s="707" t="n"/>
      <c r="R5" s="707" t="n"/>
      <c r="S5" s="728">
        <f>F5+L5+R5</f>
        <v/>
      </c>
      <c r="U5" s="698" t="n"/>
    </row>
    <row r="6" ht="11.25" customHeight="1" s="654">
      <c r="A6" s="39" t="n">
        <v>51061030</v>
      </c>
      <c r="B6" s="719" t="inlineStr">
        <is>
          <t>여비교통비</t>
        </is>
      </c>
      <c r="C6" s="720" t="inlineStr">
        <is>
          <t>해외</t>
        </is>
      </c>
      <c r="D6" s="721" t="n">
        <v>11847.42688835852</v>
      </c>
      <c r="E6" s="721" t="n">
        <v>1616.47</v>
      </c>
      <c r="F6" s="723">
        <f>ROUND(E6*$F$3,0)</f>
        <v/>
      </c>
      <c r="G6" s="729" t="n"/>
      <c r="H6" s="725" t="inlineStr">
        <is>
          <t>여비교통비</t>
        </is>
      </c>
      <c r="I6" s="725" t="inlineStr">
        <is>
          <t>해외</t>
        </is>
      </c>
      <c r="J6" s="726" t="n">
        <v>19528.07</v>
      </c>
      <c r="K6" s="887" t="n">
        <v>2719.68</v>
      </c>
      <c r="L6" s="723">
        <f>ROUND(K6*$L$3,0)</f>
        <v/>
      </c>
      <c r="M6" s="910">
        <f>L6+F6</f>
        <v/>
      </c>
      <c r="N6" s="707" t="n"/>
      <c r="O6" s="707" t="n"/>
      <c r="P6" s="707" t="n"/>
      <c r="Q6" s="707" t="n"/>
      <c r="R6" s="707" t="n"/>
      <c r="S6" s="728">
        <f>F6+L6+R6</f>
        <v/>
      </c>
      <c r="U6" s="698" t="n"/>
      <c r="AB6" s="702" t="n"/>
      <c r="AC6" s="688" t="n"/>
    </row>
    <row r="7" ht="11.25" customHeight="1" s="654">
      <c r="A7" s="39" t="n">
        <v>51201020</v>
      </c>
      <c r="B7" s="719" t="inlineStr">
        <is>
          <t>지급임차료</t>
        </is>
      </c>
      <c r="C7" s="720" t="inlineStr">
        <is>
          <t>사무실임차료</t>
        </is>
      </c>
      <c r="D7" s="721" t="n">
        <v>25096</v>
      </c>
      <c r="E7" s="721" t="n">
        <v>3424.11</v>
      </c>
      <c r="F7" s="723">
        <f>ROUND(E7*$F$3,0)</f>
        <v/>
      </c>
      <c r="G7" s="730" t="n"/>
      <c r="H7" s="725" t="inlineStr">
        <is>
          <t>지급임차료</t>
        </is>
      </c>
      <c r="I7" s="725" t="inlineStr">
        <is>
          <t>사무실임차료</t>
        </is>
      </c>
      <c r="J7" s="726" t="n"/>
      <c r="K7" s="887" t="n"/>
      <c r="L7" s="723">
        <f>ROUND(K7*$L$3,0)</f>
        <v/>
      </c>
      <c r="M7" s="910">
        <f>L7+F7</f>
        <v/>
      </c>
      <c r="N7" s="707" t="n"/>
      <c r="O7" s="707" t="n"/>
      <c r="P7" s="707" t="n"/>
      <c r="Q7" s="707" t="n"/>
      <c r="R7" s="707" t="n"/>
      <c r="S7" s="728">
        <f>F7+L7+R7</f>
        <v/>
      </c>
      <c r="U7" s="698" t="n"/>
    </row>
    <row r="8" ht="15" customHeight="1" s="654">
      <c r="A8" s="39" t="n">
        <v>51201030</v>
      </c>
      <c r="B8" s="719" t="inlineStr">
        <is>
          <t>지급임차료</t>
        </is>
      </c>
      <c r="C8" s="720" t="inlineStr">
        <is>
          <t>차량임차료</t>
        </is>
      </c>
      <c r="D8" s="721" t="n"/>
      <c r="E8" s="721" t="n"/>
      <c r="F8" s="723">
        <f>ROUND(E8*$F$3,0)</f>
        <v/>
      </c>
      <c r="G8" s="730" t="n"/>
      <c r="H8" s="725" t="inlineStr">
        <is>
          <t>지급임차료</t>
        </is>
      </c>
      <c r="I8" s="720" t="inlineStr">
        <is>
          <t>차량임차료</t>
        </is>
      </c>
      <c r="J8" s="726" t="n">
        <v>20596</v>
      </c>
      <c r="K8" s="887" t="n">
        <v>2868.4</v>
      </c>
      <c r="L8" s="723">
        <f>ROUND(K8*$L$3,0)</f>
        <v/>
      </c>
      <c r="M8" s="910">
        <f>L8+F8</f>
        <v/>
      </c>
      <c r="N8" s="707" t="n"/>
      <c r="O8" s="707" t="n"/>
      <c r="P8" s="707" t="n"/>
      <c r="Q8" s="707" t="n"/>
      <c r="R8" s="707" t="n"/>
      <c r="S8" s="728">
        <f>F8+L8+R8</f>
        <v/>
      </c>
      <c r="U8" s="698" t="n"/>
    </row>
    <row r="9" ht="11.25" customHeight="1" s="654">
      <c r="A9" s="39" t="n">
        <v>51071700</v>
      </c>
      <c r="B9" s="719" t="inlineStr">
        <is>
          <t>통신비</t>
        </is>
      </c>
      <c r="C9" s="720" t="inlineStr">
        <is>
          <t>기타</t>
        </is>
      </c>
      <c r="D9" s="721" t="n">
        <v>2034.12</v>
      </c>
      <c r="E9" s="721" t="n">
        <v>277.54</v>
      </c>
      <c r="F9" s="723">
        <f>ROUND(E9*$F$3,0)</f>
        <v/>
      </c>
      <c r="G9" s="731" t="n"/>
      <c r="H9" s="725" t="inlineStr">
        <is>
          <t>통신비</t>
        </is>
      </c>
      <c r="I9" s="720" t="inlineStr">
        <is>
          <t>기타</t>
        </is>
      </c>
      <c r="J9" s="726" t="n">
        <v>300</v>
      </c>
      <c r="K9" s="887" t="n">
        <v>41.78</v>
      </c>
      <c r="L9" s="723">
        <f>ROUND(K9*$L$3,0)</f>
        <v/>
      </c>
      <c r="M9" s="910">
        <f>L9+F9</f>
        <v/>
      </c>
      <c r="N9" s="707" t="n"/>
      <c r="O9" s="707" t="n"/>
      <c r="P9" s="707" t="n"/>
      <c r="Q9" s="707" t="n"/>
      <c r="R9" s="707" t="n"/>
      <c r="S9" s="728">
        <f>F9+L9+R9</f>
        <v/>
      </c>
      <c r="U9" s="698" t="n"/>
    </row>
    <row r="10" ht="11.25" customHeight="1" s="654">
      <c r="A10" s="39" t="n">
        <v>51321010</v>
      </c>
      <c r="B10" s="719" t="inlineStr">
        <is>
          <t>해외지사비</t>
        </is>
      </c>
      <c r="C10" s="720" t="n"/>
      <c r="D10" s="721" t="n">
        <v>2938.75</v>
      </c>
      <c r="E10" s="721" t="n">
        <v>400.97</v>
      </c>
      <c r="F10" s="723">
        <f>ROUND(E10*$F$3,0)</f>
        <v/>
      </c>
      <c r="G10" s="732" t="n"/>
      <c r="H10" s="725" t="inlineStr">
        <is>
          <t>해외지사비</t>
        </is>
      </c>
      <c r="I10" s="725" t="n"/>
      <c r="J10" s="726" t="n">
        <v>247302.52</v>
      </c>
      <c r="K10" s="887" t="n">
        <v>34492.81</v>
      </c>
      <c r="L10" s="723">
        <f>ROUND(K10*$L$3,0)</f>
        <v/>
      </c>
      <c r="M10" s="910">
        <f>L10+F10</f>
        <v/>
      </c>
      <c r="N10" s="707" t="n"/>
      <c r="O10" s="707" t="n"/>
      <c r="P10" s="707" t="n"/>
      <c r="Q10" s="707" t="n"/>
      <c r="R10" s="707" t="n"/>
      <c r="S10" s="728">
        <f>F10+L10+R10</f>
        <v/>
      </c>
      <c r="U10" s="698" t="n"/>
      <c r="AB10" s="702" t="n"/>
      <c r="AC10" s="688" t="n"/>
    </row>
    <row r="11" ht="11.25" customHeight="1" s="654">
      <c r="A11" s="39" t="n">
        <v>51031020</v>
      </c>
      <c r="B11" s="733" t="inlineStr">
        <is>
          <t>급여(incentive)</t>
        </is>
      </c>
      <c r="C11" s="888" t="inlineStr">
        <is>
          <t>성과급여조정</t>
        </is>
      </c>
      <c r="D11" s="733" t="n"/>
      <c r="E11" s="733" t="n"/>
      <c r="F11" s="735" t="n"/>
      <c r="G11" s="736">
        <f>G13/G12</f>
        <v/>
      </c>
      <c r="H11" s="733" t="inlineStr">
        <is>
          <t>급여(incentive)</t>
        </is>
      </c>
      <c r="I11" s="733" t="inlineStr">
        <is>
          <t>포상금</t>
        </is>
      </c>
      <c r="J11" s="737" t="n"/>
      <c r="K11" s="889" t="n"/>
      <c r="L11" s="739">
        <f>ROUND(K11*$L$3,0)</f>
        <v/>
      </c>
      <c r="M11" s="910">
        <f>L11+F11</f>
        <v/>
      </c>
      <c r="N11" s="707" t="n"/>
      <c r="O11" s="748" t="n"/>
      <c r="P11" s="748" t="n"/>
      <c r="Q11" s="748" t="n"/>
      <c r="R11" s="707" t="n"/>
      <c r="S11" s="728">
        <f>F11+L11+R11</f>
        <v/>
      </c>
      <c r="U11" s="698" t="n"/>
      <c r="AB11" s="702" t="n"/>
      <c r="AC11" s="688" t="n"/>
    </row>
    <row r="12" ht="11.25" customHeight="1" s="654">
      <c r="A12" s="39" t="n">
        <v>52981010</v>
      </c>
      <c r="B12" s="725" t="inlineStr">
        <is>
          <t>(-)잡이익(50)</t>
        </is>
      </c>
      <c r="C12" s="720" t="inlineStr">
        <is>
          <t>(-)잡이익</t>
        </is>
      </c>
      <c r="D12" s="151" t="n"/>
      <c r="E12" s="721" t="n"/>
      <c r="F12" s="723">
        <f>ROUND(E12*$F$3,0)</f>
        <v/>
      </c>
      <c r="G12" s="740">
        <f>E13+Q13+AB13</f>
        <v/>
      </c>
      <c r="H12" s="725" t="inlineStr">
        <is>
          <t>(-)잡이익(50)</t>
        </is>
      </c>
      <c r="I12" s="725" t="inlineStr">
        <is>
          <t>(-)잡이익</t>
        </is>
      </c>
      <c r="J12" s="741" t="n"/>
      <c r="K12" s="890" t="n"/>
      <c r="L12" s="723">
        <f>ROUND(K12*$L$3,0)</f>
        <v/>
      </c>
      <c r="M12" s="910">
        <f>L12+F12</f>
        <v/>
      </c>
      <c r="N12" s="707" t="n"/>
      <c r="O12" s="748" t="n"/>
      <c r="P12" s="748" t="n"/>
      <c r="Q12" s="748" t="n"/>
      <c r="R12" s="707" t="n"/>
      <c r="S12" s="728">
        <f>F12+L12+R12</f>
        <v/>
      </c>
      <c r="U12" s="698" t="n"/>
      <c r="AB12" s="702" t="n"/>
      <c r="AC12" s="688" t="n"/>
    </row>
    <row r="13" ht="11.25" customFormat="1" customHeight="1" s="688">
      <c r="A13" s="124" t="n"/>
      <c r="B13" s="742" t="inlineStr">
        <is>
          <t>Total</t>
        </is>
      </c>
      <c r="C13" s="891" t="n"/>
      <c r="D13" s="744">
        <f>SUM(D5:D11)-D12</f>
        <v/>
      </c>
      <c r="E13" s="892">
        <f>SUM(E5:E11)-E12</f>
        <v/>
      </c>
      <c r="F13" s="745">
        <f>SUM(F5:F11)-F12</f>
        <v/>
      </c>
      <c r="G13" s="746">
        <f>F13+R13+AC13</f>
        <v/>
      </c>
      <c r="H13" s="742" t="inlineStr">
        <is>
          <t>Total</t>
        </is>
      </c>
      <c r="I13" s="743" t="n"/>
      <c r="J13" s="744">
        <f>SUM(J5:J11)-J12</f>
        <v/>
      </c>
      <c r="K13" s="717">
        <f>SUM(K5:K11)-K12</f>
        <v/>
      </c>
      <c r="L13" s="745">
        <f>SUM(L5:L11)-L12</f>
        <v/>
      </c>
      <c r="M13" s="727">
        <f>L13+F13</f>
        <v/>
      </c>
      <c r="N13" s="707" t="n"/>
      <c r="O13" s="748" t="n"/>
      <c r="P13" s="748" t="n"/>
      <c r="Q13" s="748" t="n"/>
      <c r="R13" s="707" t="n"/>
      <c r="S13" s="728">
        <f>F13+L13+R13</f>
        <v/>
      </c>
      <c r="U13" s="747" t="n"/>
      <c r="X13" s="748">
        <f>F13+R13</f>
        <v/>
      </c>
      <c r="Y13" s="749" t="n"/>
      <c r="Z13" s="750" t="n"/>
      <c r="AB13" s="703" t="n"/>
    </row>
    <row r="14" ht="14.25" customHeight="1" s="654">
      <c r="A14" s="14" t="n"/>
      <c r="D14" s="893" t="n"/>
      <c r="E14" s="893" t="n"/>
      <c r="F14" s="894" t="n"/>
      <c r="G14" s="752" t="n"/>
      <c r="J14" s="753">
        <f>J13+D13+P13</f>
        <v/>
      </c>
      <c r="K14" s="895">
        <f>K13+E13+Q13</f>
        <v/>
      </c>
      <c r="L14" s="754">
        <f>L13+F13+R13</f>
        <v/>
      </c>
      <c r="M14" s="755">
        <f>M16-E12</f>
        <v/>
      </c>
      <c r="N14" s="707" t="n"/>
      <c r="O14" s="748" t="n"/>
      <c r="P14" s="748" t="n"/>
      <c r="Q14" s="748" t="n"/>
      <c r="R14" s="707" t="n"/>
      <c r="X14" s="702" t="n"/>
      <c r="Y14" s="702" t="n"/>
      <c r="AB14" s="702" t="n"/>
      <c r="AC14" s="688" t="n"/>
    </row>
    <row r="15" ht="14.25" customHeight="1" s="654">
      <c r="A15" s="14" t="n"/>
      <c r="D15" s="893" t="n"/>
      <c r="E15" s="893" t="n"/>
      <c r="F15" s="893" t="n"/>
      <c r="G15" s="752" t="n"/>
      <c r="J15" s="755">
        <f>J16-#REF!</f>
        <v/>
      </c>
      <c r="K15" s="755">
        <f>K16-#REF!</f>
        <v/>
      </c>
      <c r="L15" s="755">
        <f>L16-#REF!</f>
        <v/>
      </c>
      <c r="M15" s="755">
        <f>M16-#REF!</f>
        <v/>
      </c>
      <c r="O15" s="748" t="n"/>
      <c r="P15" s="748" t="n"/>
      <c r="Q15" s="748" t="n"/>
      <c r="R15" s="756" t="n"/>
      <c r="X15" s="702" t="n"/>
      <c r="Y15" s="702" t="n"/>
      <c r="AB15" s="702" t="n"/>
      <c r="AC15" s="688" t="n"/>
    </row>
    <row r="16" ht="18.75" customHeight="1" s="654">
      <c r="A16" s="14" t="n"/>
      <c r="D16" s="700" t="n"/>
      <c r="E16" s="757" t="n"/>
      <c r="F16" s="757" t="n"/>
      <c r="G16" s="752" t="n"/>
      <c r="I16" s="702" t="n"/>
      <c r="J16" s="703" t="n"/>
      <c r="K16" s="896">
        <f>SUBTOTAL(9,K19:K111)</f>
        <v/>
      </c>
      <c r="L16" s="759" t="n"/>
      <c r="M16" s="896">
        <f>SUBTOTAL(9,M19:M111)</f>
        <v/>
      </c>
      <c r="N16" s="702" t="n"/>
      <c r="Q16" s="702" t="n"/>
    </row>
    <row r="17" ht="11.25" customHeight="1" s="654">
      <c r="A17" s="14" t="n"/>
      <c r="B17" s="847" t="inlineStr">
        <is>
          <t>날짜</t>
        </is>
      </c>
      <c r="C17" s="897" t="inlineStr">
        <is>
          <t>내역</t>
        </is>
      </c>
      <c r="D17" s="848" t="inlineStr">
        <is>
          <t>담당자</t>
        </is>
      </c>
      <c r="E17" s="849" t="inlineStr">
        <is>
          <t>증빙번호</t>
        </is>
      </c>
      <c r="F17" s="848" t="inlineStr">
        <is>
          <t>대계정</t>
        </is>
      </c>
      <c r="G17" s="850" t="inlineStr">
        <is>
          <t>소계정</t>
        </is>
      </c>
      <c r="H17" s="851" t="inlineStr">
        <is>
          <t>입금</t>
        </is>
      </c>
      <c r="I17" s="852" t="n"/>
      <c r="J17" s="853" t="n"/>
      <c r="K17" s="851" t="inlineStr">
        <is>
          <t>출금</t>
        </is>
      </c>
      <c r="L17" s="852" t="n"/>
      <c r="M17" s="853" t="n"/>
      <c r="N17" s="854" t="inlineStr">
        <is>
          <t>잔액</t>
        </is>
      </c>
      <c r="O17" s="853" t="n"/>
      <c r="P17" s="848" t="n"/>
      <c r="Q17" s="853" t="n"/>
      <c r="R17" s="850" t="inlineStr">
        <is>
          <t>항목</t>
        </is>
      </c>
    </row>
    <row r="18" ht="11.25" customHeight="1" s="654">
      <c r="A18" s="14" t="n"/>
      <c r="B18" s="855" t="inlineStr">
        <is>
          <t>날짜</t>
        </is>
      </c>
      <c r="C18" s="898" t="inlineStr">
        <is>
          <t>내역</t>
        </is>
      </c>
      <c r="D18" s="856" t="inlineStr">
        <is>
          <t>담당자</t>
        </is>
      </c>
      <c r="E18" s="857" t="inlineStr">
        <is>
          <t>증빙번호</t>
        </is>
      </c>
      <c r="F18" s="856" t="inlineStr">
        <is>
          <t>대계정</t>
        </is>
      </c>
      <c r="G18" s="858" t="inlineStr">
        <is>
          <t>소계정</t>
        </is>
      </c>
      <c r="H18" s="859" t="inlineStr">
        <is>
          <t>CNY</t>
        </is>
      </c>
      <c r="I18" s="859" t="inlineStr">
        <is>
          <t>환산요율</t>
        </is>
      </c>
      <c r="J18" s="860" t="inlineStr">
        <is>
          <t>USD</t>
        </is>
      </c>
      <c r="K18" s="860" t="inlineStr">
        <is>
          <t>CNY</t>
        </is>
      </c>
      <c r="L18" s="859" t="inlineStr">
        <is>
          <t>환산요율</t>
        </is>
      </c>
      <c r="M18" s="899" t="inlineStr">
        <is>
          <t>USD</t>
        </is>
      </c>
      <c r="N18" s="851" t="inlineStr">
        <is>
          <t>CNY</t>
        </is>
      </c>
      <c r="O18" s="851" t="inlineStr">
        <is>
          <t>USD</t>
        </is>
      </c>
      <c r="P18" s="856" t="inlineStr">
        <is>
          <t>비고</t>
        </is>
      </c>
      <c r="Q18" s="853" t="n"/>
      <c r="R18" s="858" t="inlineStr">
        <is>
          <t>항목</t>
        </is>
      </c>
    </row>
    <row r="19" ht="11.25" customHeight="1" s="654">
      <c r="B19" s="861" t="n">
        <v>45777</v>
      </c>
      <c r="C19" s="863" t="n"/>
      <c r="D19" s="862" t="n"/>
      <c r="E19" s="863" t="n"/>
      <c r="F19" s="864" t="n"/>
      <c r="G19" s="865" t="n"/>
      <c r="H19" s="866" t="n"/>
      <c r="I19" s="862" t="n"/>
      <c r="J19" s="865" t="n"/>
      <c r="K19" s="911" t="n"/>
      <c r="L19" s="868" t="n"/>
      <c r="M19" s="869" t="n"/>
      <c r="N19" s="870" t="n">
        <v>45051.06000000091</v>
      </c>
      <c r="O19" s="870" t="n">
        <v>6150.426752157769</v>
      </c>
      <c r="P19" s="871" t="n"/>
      <c r="Q19" s="863" t="n"/>
      <c r="R19" s="872" t="n"/>
      <c r="S19" s="796" t="n">
        <v>6150.425227335609</v>
      </c>
    </row>
    <row r="20" ht="11.25" customFormat="1" customHeight="1" s="925">
      <c r="A20" s="312" t="n"/>
      <c r="B20" s="926" t="n">
        <v>45790</v>
      </c>
      <c r="C20" s="404" t="inlineStr">
        <is>
          <t>USD입금 and RMB 환전</t>
        </is>
      </c>
      <c r="D20" s="318" t="n"/>
      <c r="E20" s="319" t="n">
        <v>1</v>
      </c>
      <c r="F20" s="320" t="n"/>
      <c r="G20" s="320" t="n"/>
      <c r="H20" s="321" t="n">
        <v>343685.06</v>
      </c>
      <c r="I20" s="320" t="n"/>
      <c r="J20" s="321" t="n">
        <v>47916</v>
      </c>
      <c r="K20" s="927" t="n"/>
      <c r="L20" s="928" t="n"/>
      <c r="M20" s="929" t="n"/>
      <c r="N20" s="930">
        <f>N19+H20-K20</f>
        <v/>
      </c>
      <c r="O20" s="930">
        <f>O19+J20-M20</f>
        <v/>
      </c>
      <c r="P20" s="931" t="n"/>
      <c r="Q20" s="932" t="n"/>
      <c r="R20" s="932" t="n"/>
      <c r="S20" s="933" t="n"/>
      <c r="T20" s="934" t="n"/>
      <c r="V20" s="934" t="n"/>
      <c r="W20" s="934" t="n"/>
      <c r="X20" s="934" t="n"/>
      <c r="Y20" s="934" t="n"/>
      <c r="Z20" s="934" t="n"/>
      <c r="AA20" s="934" t="n"/>
      <c r="AB20" s="934" t="n"/>
      <c r="AC20" s="934" t="n"/>
    </row>
    <row r="21" ht="11.25" customFormat="1" customHeight="1" s="925">
      <c r="A21" s="312" t="n"/>
      <c r="B21" s="935" t="n">
        <v>45790</v>
      </c>
      <c r="C21" s="360" t="inlineStr">
        <is>
          <t>은행수수료</t>
        </is>
      </c>
      <c r="D21" s="361" t="n"/>
      <c r="E21" s="362" t="n"/>
      <c r="F21" s="363" t="inlineStr">
        <is>
          <t>해외지사비</t>
        </is>
      </c>
      <c r="G21" s="363" t="n"/>
      <c r="H21" s="364" t="n"/>
      <c r="I21" s="363" t="n"/>
      <c r="J21" s="364" t="n"/>
      <c r="K21" s="936" t="n"/>
      <c r="L21" s="937" t="n"/>
      <c r="M21" s="938" t="n">
        <v>51</v>
      </c>
      <c r="N21" s="939">
        <f>N20+H21-K21</f>
        <v/>
      </c>
      <c r="O21" s="939">
        <f>O20+J21-M21</f>
        <v/>
      </c>
      <c r="P21" s="940" t="n"/>
      <c r="Q21" s="941" t="n"/>
      <c r="R21" s="941" t="n"/>
      <c r="S21" s="933" t="n"/>
      <c r="T21" s="934" t="n"/>
      <c r="V21" s="934" t="n"/>
      <c r="W21" s="934" t="n"/>
      <c r="X21" s="934" t="n"/>
      <c r="Y21" s="934" t="n"/>
      <c r="Z21" s="934" t="n"/>
      <c r="AA21" s="934" t="n"/>
      <c r="AB21" s="934" t="n"/>
      <c r="AC21" s="934" t="n"/>
    </row>
    <row r="22" ht="11.25" customFormat="1" customHeight="1" s="830">
      <c r="A22" s="80" t="n"/>
      <c r="B22" s="942" t="n">
        <v>45792</v>
      </c>
      <c r="C22" s="341" t="inlineStr">
        <is>
          <t>사무실 임대료/전기세 관련</t>
        </is>
      </c>
      <c r="D22" s="342" t="n"/>
      <c r="E22" s="343" t="n">
        <v>2</v>
      </c>
      <c r="F22" s="344" t="inlineStr">
        <is>
          <t>지급임차료</t>
        </is>
      </c>
      <c r="G22" s="344" t="inlineStr">
        <is>
          <t>사무실임차료</t>
        </is>
      </c>
      <c r="H22" s="345" t="n"/>
      <c r="I22" s="344" t="n"/>
      <c r="J22" s="345" t="n"/>
      <c r="K22" s="943" t="n">
        <v>25096</v>
      </c>
      <c r="L22" s="944">
        <f>#REF!</f>
        <v/>
      </c>
      <c r="M22" s="945">
        <f>K22/L22</f>
        <v/>
      </c>
      <c r="N22" s="946">
        <f>N21+H22-K22</f>
        <v/>
      </c>
      <c r="O22" s="946">
        <f>O21+J22-M22</f>
        <v/>
      </c>
      <c r="P22" s="947" t="inlineStr">
        <is>
          <t>4월 송금</t>
        </is>
      </c>
      <c r="Q22" s="948" t="n"/>
      <c r="R22" s="948" t="n"/>
      <c r="S22" s="805">
        <f>S19-M22+J22</f>
        <v/>
      </c>
      <c r="T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</row>
    <row r="23" ht="11.25" customFormat="1" customHeight="1" s="830">
      <c r="A23" s="80" t="n"/>
      <c r="B23" s="875" t="n">
        <v>45792</v>
      </c>
      <c r="C23" s="144" t="inlineStr">
        <is>
          <t>은행수수료</t>
        </is>
      </c>
      <c r="D23" s="149" t="n"/>
      <c r="E23" s="145" t="n">
        <v>3</v>
      </c>
      <c r="F23" s="187" t="inlineStr">
        <is>
          <t>해외지사비</t>
        </is>
      </c>
      <c r="G23" s="187" t="n"/>
      <c r="H23" s="179" t="n"/>
      <c r="I23" s="187" t="n"/>
      <c r="J23" s="179" t="n"/>
      <c r="K23" s="912" t="n">
        <v>7.2</v>
      </c>
      <c r="L23" s="800">
        <f>#REF!</f>
        <v/>
      </c>
      <c r="M23" s="919">
        <f>K23/L23</f>
        <v/>
      </c>
      <c r="N23" s="802">
        <f>N22+H23-K23</f>
        <v/>
      </c>
      <c r="O23" s="802">
        <f>O22+J23-M23</f>
        <v/>
      </c>
      <c r="P23" s="803" t="inlineStr">
        <is>
          <t>4월 송금</t>
        </is>
      </c>
      <c r="Q23" s="804" t="n"/>
      <c r="R23" s="804" t="n"/>
      <c r="S23" s="805">
        <f>S22-M23+J23</f>
        <v/>
      </c>
      <c r="T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</row>
    <row r="24" ht="12" customFormat="1" customHeight="1" s="830">
      <c r="A24" s="80" t="n"/>
      <c r="B24" s="875" t="n">
        <v>45792</v>
      </c>
      <c r="C24" s="177" t="inlineStr">
        <is>
          <t>사무실 주차비</t>
        </is>
      </c>
      <c r="D24" s="149" t="n"/>
      <c r="E24" s="145" t="n">
        <v>4</v>
      </c>
      <c r="F24" s="187" t="inlineStr">
        <is>
          <t>여비교통비</t>
        </is>
      </c>
      <c r="G24" s="187" t="inlineStr">
        <is>
          <t>해외</t>
        </is>
      </c>
      <c r="H24" s="179" t="n"/>
      <c r="I24" s="798" t="n"/>
      <c r="J24" s="179" t="n"/>
      <c r="K24" s="921" t="n">
        <v>1600</v>
      </c>
      <c r="L24" s="800">
        <f>#REF!</f>
        <v/>
      </c>
      <c r="M24" s="919">
        <f>K24/L24</f>
        <v/>
      </c>
      <c r="N24" s="802">
        <f>N23+H24-K24</f>
        <v/>
      </c>
      <c r="O24" s="802">
        <f>O23+J24-M24</f>
        <v/>
      </c>
      <c r="P24" s="803" t="inlineStr">
        <is>
          <t>4월 송금</t>
        </is>
      </c>
      <c r="Q24" s="804" t="n"/>
      <c r="R24" s="804" t="n"/>
      <c r="S24" s="805">
        <f>S23-M24+J24</f>
        <v/>
      </c>
      <c r="T24" s="698" t="n"/>
      <c r="V24" s="698" t="n"/>
      <c r="W24" s="698" t="n"/>
      <c r="X24" s="698" t="n"/>
      <c r="Y24" s="698" t="n"/>
      <c r="Z24" s="698" t="n"/>
      <c r="AA24" s="698" t="n"/>
      <c r="AB24" s="698" t="n"/>
      <c r="AC24" s="698" t="n"/>
    </row>
    <row r="25" ht="12" customFormat="1" customHeight="1" s="830">
      <c r="A25" s="80" t="n"/>
      <c r="B25" s="875" t="n">
        <v>45792</v>
      </c>
      <c r="C25" s="144" t="inlineStr">
        <is>
          <t>은행수수료</t>
        </is>
      </c>
      <c r="D25" s="149" t="n"/>
      <c r="E25" s="145" t="n">
        <v>5</v>
      </c>
      <c r="F25" s="187" t="inlineStr">
        <is>
          <t>해외지사비</t>
        </is>
      </c>
      <c r="G25" s="187" t="n"/>
      <c r="H25" s="179" t="n"/>
      <c r="I25" s="798" t="n"/>
      <c r="J25" s="179" t="n"/>
      <c r="K25" s="921" t="n">
        <v>3.6</v>
      </c>
      <c r="L25" s="800">
        <f>#REF!</f>
        <v/>
      </c>
      <c r="M25" s="919">
        <f>K25/L25</f>
        <v/>
      </c>
      <c r="N25" s="802">
        <f>N24+H25-K25</f>
        <v/>
      </c>
      <c r="O25" s="802">
        <f>O24+J25-M25</f>
        <v/>
      </c>
      <c r="P25" s="803" t="inlineStr">
        <is>
          <t>4월 송금</t>
        </is>
      </c>
      <c r="Q25" s="804" t="n"/>
      <c r="R25" s="804" t="n"/>
      <c r="S25" s="805">
        <f>S24-M25+J25</f>
        <v/>
      </c>
      <c r="T25" s="698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</row>
    <row r="26" ht="12" customFormat="1" customHeight="1" s="830">
      <c r="A26" s="80" t="n"/>
      <c r="B26" s="875" t="n">
        <v>45796</v>
      </c>
      <c r="C26" s="144" t="inlineStr">
        <is>
          <t>세무대행비</t>
        </is>
      </c>
      <c r="D26" s="149" t="n"/>
      <c r="E26" s="145" t="n">
        <v>6</v>
      </c>
      <c r="F26" s="187" t="inlineStr">
        <is>
          <t>해외지사비</t>
        </is>
      </c>
      <c r="G26" s="187" t="n"/>
      <c r="H26" s="179" t="n"/>
      <c r="I26" s="798" t="n"/>
      <c r="J26" s="179" t="n"/>
      <c r="K26" s="921" t="n">
        <v>1010</v>
      </c>
      <c r="L26" s="800">
        <f>#REF!</f>
        <v/>
      </c>
      <c r="M26" s="919">
        <f>K26/L26</f>
        <v/>
      </c>
      <c r="N26" s="802">
        <f>N25+H26-K26</f>
        <v/>
      </c>
      <c r="O26" s="802">
        <f>O25+J26-M26</f>
        <v/>
      </c>
      <c r="P26" s="803" t="inlineStr">
        <is>
          <t>4월 송금</t>
        </is>
      </c>
      <c r="Q26" s="804" t="n"/>
      <c r="R26" s="804" t="n"/>
      <c r="S26" s="805">
        <f>S25-M26+J26</f>
        <v/>
      </c>
      <c r="T26" s="698" t="n"/>
      <c r="V26" s="698" t="n"/>
      <c r="W26" s="698" t="n"/>
      <c r="X26" s="698" t="n"/>
      <c r="Y26" s="698" t="n"/>
      <c r="Z26" s="698" t="n"/>
      <c r="AA26" s="698" t="n"/>
      <c r="AB26" s="698" t="n"/>
      <c r="AC26" s="698" t="n"/>
    </row>
    <row r="27" ht="12" customFormat="1" customHeight="1" s="830">
      <c r="A27" s="80" t="n"/>
      <c r="B27" s="875" t="n">
        <v>45796</v>
      </c>
      <c r="C27" s="144" t="inlineStr">
        <is>
          <t>은행수수료</t>
        </is>
      </c>
      <c r="D27" s="149" t="n"/>
      <c r="E27" s="145" t="n">
        <v>7</v>
      </c>
      <c r="F27" s="187" t="inlineStr">
        <is>
          <t>해외지사비</t>
        </is>
      </c>
      <c r="G27" s="187" t="n"/>
      <c r="H27" s="179" t="n"/>
      <c r="I27" s="798" t="n"/>
      <c r="J27" s="179" t="n"/>
      <c r="K27" s="921" t="n">
        <v>3.6</v>
      </c>
      <c r="L27" s="800">
        <f>#REF!</f>
        <v/>
      </c>
      <c r="M27" s="919">
        <f>K27/L27</f>
        <v/>
      </c>
      <c r="N27" s="802">
        <f>N26+H27-K27</f>
        <v/>
      </c>
      <c r="O27" s="802">
        <f>O26+J27-M27</f>
        <v/>
      </c>
      <c r="P27" s="803" t="inlineStr">
        <is>
          <t>4월 송금</t>
        </is>
      </c>
      <c r="Q27" s="804" t="n"/>
      <c r="R27" s="804" t="n"/>
      <c r="S27" s="805">
        <f>S26-M27+J27</f>
        <v/>
      </c>
      <c r="T27" s="698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</row>
    <row r="28" ht="12" customFormat="1" customHeight="1" s="830">
      <c r="A28" s="80" t="n"/>
      <c r="B28" s="875" t="n">
        <v>45796</v>
      </c>
      <c r="C28" s="177" t="inlineStr">
        <is>
          <t>사무실 WIFI+통신비</t>
        </is>
      </c>
      <c r="D28" s="149" t="inlineStr">
        <is>
          <t>신순연</t>
        </is>
      </c>
      <c r="E28" s="145" t="n">
        <v>8</v>
      </c>
      <c r="F28" s="187" t="inlineStr">
        <is>
          <t>통신비</t>
        </is>
      </c>
      <c r="G28" s="187" t="inlineStr">
        <is>
          <t>기타</t>
        </is>
      </c>
      <c r="H28" s="187" t="n"/>
      <c r="I28" s="187" t="n"/>
      <c r="J28" s="187" t="n"/>
      <c r="K28" s="878" t="n">
        <v>1018.2</v>
      </c>
      <c r="L28" s="800">
        <f>#REF!</f>
        <v/>
      </c>
      <c r="M28" s="919">
        <f>K28/L28</f>
        <v/>
      </c>
      <c r="N28" s="802">
        <f>N27+H28-K28</f>
        <v/>
      </c>
      <c r="O28" s="802">
        <f>O27+J28-M28</f>
        <v/>
      </c>
      <c r="P28" s="803" t="inlineStr">
        <is>
          <t>4월 송금</t>
        </is>
      </c>
      <c r="Q28" s="804" t="n"/>
      <c r="R28" s="804" t="n"/>
      <c r="S28" s="805">
        <f>S27-M28+J28</f>
        <v/>
      </c>
      <c r="T28" s="698" t="n"/>
      <c r="V28" s="698" t="n"/>
      <c r="W28" s="698" t="n"/>
      <c r="X28" s="698" t="n"/>
      <c r="Y28" s="698" t="n"/>
      <c r="Z28" s="698" t="n"/>
      <c r="AA28" s="698" t="n"/>
      <c r="AB28" s="698" t="n"/>
      <c r="AC28" s="698" t="n"/>
    </row>
    <row r="29" ht="12" customFormat="1" customHeight="1" s="830">
      <c r="A29" s="80" t="n"/>
      <c r="B29" s="875" t="n">
        <v>45796</v>
      </c>
      <c r="C29" s="177" t="inlineStr">
        <is>
          <t>사무실 운영비</t>
        </is>
      </c>
      <c r="D29" s="149" t="inlineStr">
        <is>
          <t>신순연</t>
        </is>
      </c>
      <c r="E29" s="145" t="n">
        <v>9</v>
      </c>
      <c r="F29" s="187" t="inlineStr">
        <is>
          <t>해외지사비</t>
        </is>
      </c>
      <c r="G29" s="187" t="n"/>
      <c r="H29" s="187" t="n"/>
      <c r="I29" s="187" t="n"/>
      <c r="J29" s="187" t="n"/>
      <c r="K29" s="878" t="n">
        <v>676</v>
      </c>
      <c r="L29" s="800">
        <f>#REF!</f>
        <v/>
      </c>
      <c r="M29" s="919">
        <f>K29/L29</f>
        <v/>
      </c>
      <c r="N29" s="802">
        <f>N28+H29-K29</f>
        <v/>
      </c>
      <c r="O29" s="802">
        <f>O28+J29-M29</f>
        <v/>
      </c>
      <c r="P29" s="803" t="inlineStr">
        <is>
          <t>4월 송금</t>
        </is>
      </c>
      <c r="Q29" s="804" t="n"/>
      <c r="R29" s="920" t="n"/>
      <c r="S29" s="805">
        <f>S28-M29+J29</f>
        <v/>
      </c>
      <c r="T29" s="698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</row>
    <row r="30" ht="12" customFormat="1" customHeight="1" s="830">
      <c r="A30" s="80" t="n"/>
      <c r="B30" s="875" t="n">
        <v>45796</v>
      </c>
      <c r="C30" s="144" t="inlineStr">
        <is>
          <t>수수료</t>
        </is>
      </c>
      <c r="D30" s="149" t="inlineStr">
        <is>
          <t>신순연</t>
        </is>
      </c>
      <c r="E30" s="145" t="n">
        <v>10</v>
      </c>
      <c r="F30" s="187" t="inlineStr">
        <is>
          <t>해외지사비</t>
        </is>
      </c>
      <c r="G30" s="187" t="n"/>
      <c r="H30" s="187" t="n"/>
      <c r="I30" s="187" t="n"/>
      <c r="J30" s="187" t="n"/>
      <c r="K30" s="799" t="n">
        <v>3.6</v>
      </c>
      <c r="L30" s="800">
        <f>#REF!</f>
        <v/>
      </c>
      <c r="M30" s="919">
        <f>K30/L30</f>
        <v/>
      </c>
      <c r="N30" s="802">
        <f>N29+H30-K30</f>
        <v/>
      </c>
      <c r="O30" s="802">
        <f>O29+J30-M30</f>
        <v/>
      </c>
      <c r="P30" s="803" t="inlineStr">
        <is>
          <t>4월 송금</t>
        </is>
      </c>
      <c r="Q30" s="804" t="n"/>
      <c r="R30" s="920" t="n"/>
      <c r="S30" s="805">
        <f>S29-M30+J30</f>
        <v/>
      </c>
      <c r="T30" s="698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</row>
    <row r="31" ht="12" customFormat="1" customHeight="1" s="830">
      <c r="A31" s="80" t="n"/>
      <c r="B31" s="875" t="n">
        <v>45796</v>
      </c>
      <c r="C31" s="177" t="inlineStr">
        <is>
          <t>시내 교통비</t>
        </is>
      </c>
      <c r="D31" s="149" t="inlineStr">
        <is>
          <t>Pan Shi Qiang</t>
        </is>
      </c>
      <c r="E31" s="253" t="n">
        <v>11</v>
      </c>
      <c r="F31" s="187" t="inlineStr">
        <is>
          <t>여비교통비</t>
        </is>
      </c>
      <c r="G31" s="82" t="inlineStr">
        <is>
          <t>해외</t>
        </is>
      </c>
      <c r="H31" s="187" t="n"/>
      <c r="I31" s="187" t="n"/>
      <c r="J31" s="187" t="n"/>
      <c r="K31" s="878" t="n">
        <v>419.4</v>
      </c>
      <c r="L31" s="800">
        <f>#REF!</f>
        <v/>
      </c>
      <c r="M31" s="919">
        <f>K31/L31</f>
        <v/>
      </c>
      <c r="N31" s="802">
        <f>N30+H31-K31</f>
        <v/>
      </c>
      <c r="O31" s="802">
        <f>O30+J31-M31</f>
        <v/>
      </c>
      <c r="P31" s="803" t="inlineStr">
        <is>
          <t>4월 송금</t>
        </is>
      </c>
      <c r="Q31" s="804" t="n"/>
      <c r="R31" s="920" t="n"/>
      <c r="S31" s="805">
        <f>S30-M31+J31</f>
        <v/>
      </c>
      <c r="T31" s="698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</row>
    <row r="32" ht="12" customFormat="1" customHeight="1" s="830">
      <c r="A32" s="80" t="n"/>
      <c r="B32" s="875" t="n">
        <v>45796</v>
      </c>
      <c r="C32" s="144" t="inlineStr">
        <is>
          <t>출장비</t>
        </is>
      </c>
      <c r="D32" s="149" t="inlineStr">
        <is>
          <t>Pan Shi Qiang</t>
        </is>
      </c>
      <c r="E32" s="145" t="n">
        <v>12</v>
      </c>
      <c r="F32" s="187" t="inlineStr">
        <is>
          <t>여비교통비</t>
        </is>
      </c>
      <c r="G32" s="187" t="inlineStr">
        <is>
          <t>해외</t>
        </is>
      </c>
      <c r="H32" s="187" t="n"/>
      <c r="I32" s="187" t="n"/>
      <c r="J32" s="187" t="n"/>
      <c r="K32" s="799" t="n">
        <v>628</v>
      </c>
      <c r="L32" s="800">
        <f>#REF!</f>
        <v/>
      </c>
      <c r="M32" s="919">
        <f>K32/L32</f>
        <v/>
      </c>
      <c r="N32" s="802">
        <f>N31+H32-K32</f>
        <v/>
      </c>
      <c r="O32" s="802">
        <f>O31+J32-M32</f>
        <v/>
      </c>
      <c r="P32" s="803" t="inlineStr">
        <is>
          <t>4월 송금</t>
        </is>
      </c>
      <c r="Q32" s="804" t="n"/>
      <c r="R32" s="920" t="n"/>
      <c r="S32" s="805">
        <f>S31-M32+J32</f>
        <v/>
      </c>
      <c r="T32" s="698" t="n"/>
      <c r="V32" s="698" t="n"/>
      <c r="W32" s="698" t="n"/>
      <c r="X32" s="698" t="n"/>
      <c r="Y32" s="698" t="n"/>
      <c r="Z32" s="698" t="n"/>
      <c r="AA32" s="698" t="n"/>
      <c r="AB32" s="698" t="n"/>
      <c r="AC32" s="698" t="n"/>
    </row>
    <row r="33" ht="12" customFormat="1" customHeight="1" s="830">
      <c r="A33" s="80" t="n"/>
      <c r="B33" s="875" t="n">
        <v>45796</v>
      </c>
      <c r="C33" s="177" t="inlineStr">
        <is>
          <t>통신비</t>
        </is>
      </c>
      <c r="D33" s="149" t="inlineStr">
        <is>
          <t>Pan Shi Qiang</t>
        </is>
      </c>
      <c r="E33" s="145" t="n">
        <v>13</v>
      </c>
      <c r="F33" s="187" t="inlineStr">
        <is>
          <t>통신비</t>
        </is>
      </c>
      <c r="G33" s="187" t="inlineStr">
        <is>
          <t>기타</t>
        </is>
      </c>
      <c r="H33" s="187" t="n"/>
      <c r="I33" s="187" t="n"/>
      <c r="J33" s="187" t="n"/>
      <c r="K33" s="799" t="n">
        <v>123.8</v>
      </c>
      <c r="L33" s="800">
        <f>#REF!</f>
        <v/>
      </c>
      <c r="M33" s="919">
        <f>K33/L33</f>
        <v/>
      </c>
      <c r="N33" s="802">
        <f>N32+H33-K33</f>
        <v/>
      </c>
      <c r="O33" s="802">
        <f>O32+J33-M33</f>
        <v/>
      </c>
      <c r="P33" s="803" t="inlineStr">
        <is>
          <t>4월 송금</t>
        </is>
      </c>
      <c r="Q33" s="804" t="n"/>
      <c r="R33" s="920" t="n"/>
      <c r="S33" s="805">
        <f>S32-M33+J33</f>
        <v/>
      </c>
      <c r="T33" s="698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</row>
    <row r="34" ht="12" customFormat="1" customHeight="1" s="830">
      <c r="A34" s="80" t="n"/>
      <c r="B34" s="875" t="n">
        <v>45796</v>
      </c>
      <c r="C34" s="144" t="inlineStr">
        <is>
          <t>추진비</t>
        </is>
      </c>
      <c r="D34" s="149" t="inlineStr">
        <is>
          <t>Pan Shi Qiang</t>
        </is>
      </c>
      <c r="E34" s="145" t="n">
        <v>14</v>
      </c>
      <c r="F34" s="187" t="inlineStr">
        <is>
          <t>업무추진비</t>
        </is>
      </c>
      <c r="G34" s="187" t="inlineStr">
        <is>
          <t>일반</t>
        </is>
      </c>
      <c r="H34" s="187" t="n"/>
      <c r="I34" s="187" t="n"/>
      <c r="J34" s="187" t="n"/>
      <c r="K34" s="799" t="n">
        <v>318.4</v>
      </c>
      <c r="L34" s="800">
        <f>#REF!</f>
        <v/>
      </c>
      <c r="M34" s="919">
        <f>K34/L34</f>
        <v/>
      </c>
      <c r="N34" s="802">
        <f>N33+H34-K34</f>
        <v/>
      </c>
      <c r="O34" s="802">
        <f>O33+J34-M34</f>
        <v/>
      </c>
      <c r="P34" s="803" t="inlineStr">
        <is>
          <t>4월 송금</t>
        </is>
      </c>
      <c r="Q34" s="804" t="n"/>
      <c r="R34" s="920" t="n"/>
      <c r="S34" s="805">
        <f>S33-M34+J34</f>
        <v/>
      </c>
      <c r="T34" s="698" t="n"/>
      <c r="V34" s="698" t="n"/>
      <c r="W34" s="698" t="n"/>
      <c r="X34" s="698" t="n"/>
      <c r="Y34" s="698" t="n"/>
      <c r="Z34" s="698" t="n"/>
      <c r="AA34" s="698" t="n"/>
      <c r="AB34" s="698" t="n"/>
      <c r="AC34" s="698" t="n"/>
    </row>
    <row r="35" ht="11.25" customFormat="1" customHeight="1" s="688">
      <c r="A35" s="80" t="n"/>
      <c r="B35" s="875" t="n">
        <v>45796</v>
      </c>
      <c r="C35" s="144" t="inlineStr">
        <is>
          <t>수수료</t>
        </is>
      </c>
      <c r="D35" s="149" t="inlineStr">
        <is>
          <t>Pan Shi Qiang</t>
        </is>
      </c>
      <c r="E35" s="149" t="n">
        <v>15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9" t="n">
        <v>3.6</v>
      </c>
      <c r="L35" s="800">
        <f>#REF!</f>
        <v/>
      </c>
      <c r="M35" s="919">
        <f>K35/L35</f>
        <v/>
      </c>
      <c r="N35" s="802">
        <f>N34+H35-K35</f>
        <v/>
      </c>
      <c r="O35" s="802">
        <f>O34+J35-M35</f>
        <v/>
      </c>
      <c r="P35" s="803" t="inlineStr">
        <is>
          <t>4월 송금</t>
        </is>
      </c>
      <c r="Q35" s="804" t="n"/>
      <c r="R35" s="920" t="n"/>
      <c r="S35" s="805">
        <f>S34-M35+J35</f>
        <v/>
      </c>
      <c r="T35" s="698" t="n"/>
      <c r="U35" s="830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</row>
    <row r="36" ht="11.25" customFormat="1" customHeight="1" s="688">
      <c r="A36" s="80" t="n"/>
      <c r="B36" s="875" t="n">
        <v>45796</v>
      </c>
      <c r="C36" s="144" t="inlineStr">
        <is>
          <t>시내 교통비</t>
        </is>
      </c>
      <c r="D36" s="149" t="inlineStr">
        <is>
          <t>Zhang Liang</t>
        </is>
      </c>
      <c r="E36" s="253" t="n">
        <v>16</v>
      </c>
      <c r="F36" s="187" t="inlineStr">
        <is>
          <t>여비교통비</t>
        </is>
      </c>
      <c r="G36" s="82" t="inlineStr">
        <is>
          <t>해외</t>
        </is>
      </c>
      <c r="H36" s="150" t="n"/>
      <c r="I36" s="189" t="n"/>
      <c r="J36" s="189" t="n"/>
      <c r="K36" s="799" t="n">
        <v>536.62</v>
      </c>
      <c r="L36" s="800">
        <f>#REF!</f>
        <v/>
      </c>
      <c r="M36" s="919">
        <f>K36/L36</f>
        <v/>
      </c>
      <c r="N36" s="802">
        <f>N35+H36-K36</f>
        <v/>
      </c>
      <c r="O36" s="802">
        <f>O35+J36-M36</f>
        <v/>
      </c>
      <c r="P36" s="803" t="inlineStr">
        <is>
          <t>4월 송금</t>
        </is>
      </c>
      <c r="Q36" s="804" t="n"/>
      <c r="R36" s="920" t="n"/>
      <c r="S36" s="805">
        <f>S35-M36+J36</f>
        <v/>
      </c>
      <c r="T36" s="698" t="n"/>
      <c r="U36" s="830" t="n"/>
      <c r="V36" s="698" t="n"/>
      <c r="W36" s="698" t="n"/>
      <c r="X36" s="698" t="n"/>
      <c r="Y36" s="698" t="n"/>
      <c r="Z36" s="698" t="n"/>
      <c r="AA36" s="698" t="n"/>
      <c r="AB36" s="698" t="n"/>
      <c r="AC36" s="698" t="n"/>
    </row>
    <row r="37" ht="11.25" customFormat="1" customHeight="1" s="688">
      <c r="A37" s="80" t="n"/>
      <c r="B37" s="875" t="n">
        <v>45796</v>
      </c>
      <c r="C37" s="144" t="inlineStr">
        <is>
          <t>출장비</t>
        </is>
      </c>
      <c r="D37" s="149" t="inlineStr">
        <is>
          <t>Zhang Liang</t>
        </is>
      </c>
      <c r="E37" s="149" t="n">
        <v>17</v>
      </c>
      <c r="F37" s="187" t="inlineStr">
        <is>
          <t>여비교통비</t>
        </is>
      </c>
      <c r="G37" s="82" t="inlineStr">
        <is>
          <t>해외</t>
        </is>
      </c>
      <c r="H37" s="150" t="n"/>
      <c r="I37" s="189" t="n"/>
      <c r="J37" s="189" t="n"/>
      <c r="K37" s="799" t="n">
        <v>5617.81</v>
      </c>
      <c r="L37" s="800">
        <f>#REF!</f>
        <v/>
      </c>
      <c r="M37" s="919">
        <f>K37/L37</f>
        <v/>
      </c>
      <c r="N37" s="802">
        <f>N36+H37-K37</f>
        <v/>
      </c>
      <c r="O37" s="802">
        <f>O36+J37-M37</f>
        <v/>
      </c>
      <c r="P37" s="803" t="inlineStr">
        <is>
          <t>4월 송금</t>
        </is>
      </c>
      <c r="Q37" s="804" t="n"/>
      <c r="R37" s="920" t="n"/>
      <c r="S37" s="805">
        <f>S36-M37+J37</f>
        <v/>
      </c>
      <c r="T37" s="698" t="n"/>
      <c r="U37" s="830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</row>
    <row r="38" ht="11.25" customFormat="1" customHeight="1" s="688">
      <c r="A38" s="80" t="n"/>
      <c r="B38" s="875" t="n">
        <v>45796</v>
      </c>
      <c r="C38" s="144" t="inlineStr">
        <is>
          <t>통신비</t>
        </is>
      </c>
      <c r="D38" s="149" t="inlineStr">
        <is>
          <t>Zhang Liang</t>
        </is>
      </c>
      <c r="E38" s="149" t="n">
        <v>18</v>
      </c>
      <c r="F38" s="187" t="inlineStr">
        <is>
          <t>통신비</t>
        </is>
      </c>
      <c r="G38" s="82" t="inlineStr">
        <is>
          <t>기타</t>
        </is>
      </c>
      <c r="H38" s="150" t="n"/>
      <c r="I38" s="189" t="n"/>
      <c r="J38" s="189" t="n"/>
      <c r="K38" s="799" t="n">
        <v>400</v>
      </c>
      <c r="L38" s="800">
        <f>#REF!</f>
        <v/>
      </c>
      <c r="M38" s="919">
        <f>K38/L38</f>
        <v/>
      </c>
      <c r="N38" s="802">
        <f>N37+H38-K38</f>
        <v/>
      </c>
      <c r="O38" s="802">
        <f>O37+J38-M38</f>
        <v/>
      </c>
      <c r="P38" s="803" t="inlineStr">
        <is>
          <t>4월 송금</t>
        </is>
      </c>
      <c r="Q38" s="804" t="n"/>
      <c r="R38" s="920" t="n"/>
      <c r="S38" s="805">
        <f>S37-M38+J38</f>
        <v/>
      </c>
      <c r="T38" s="698" t="n"/>
      <c r="U38" s="830" t="n"/>
      <c r="V38" s="698" t="n"/>
      <c r="W38" s="698" t="n"/>
      <c r="X38" s="698" t="n"/>
      <c r="Y38" s="698" t="n"/>
      <c r="Z38" s="698" t="n"/>
      <c r="AA38" s="698" t="n"/>
      <c r="AB38" s="698" t="n"/>
      <c r="AC38" s="698" t="n"/>
    </row>
    <row r="39" ht="11.25" customFormat="1" customHeight="1" s="688">
      <c r="A39" s="80" t="n"/>
      <c r="B39" s="875" t="n">
        <v>45796</v>
      </c>
      <c r="C39" s="144" t="inlineStr">
        <is>
          <t>업무추진비</t>
        </is>
      </c>
      <c r="D39" s="149" t="inlineStr">
        <is>
          <t>Zhang Liang</t>
        </is>
      </c>
      <c r="E39" s="149" t="n">
        <v>19</v>
      </c>
      <c r="F39" s="187" t="inlineStr">
        <is>
          <t>업무추진비</t>
        </is>
      </c>
      <c r="G39" s="82" t="inlineStr">
        <is>
          <t>일반</t>
        </is>
      </c>
      <c r="H39" s="150" t="n"/>
      <c r="I39" s="189" t="n"/>
      <c r="J39" s="189" t="n"/>
      <c r="K39" s="799" t="n">
        <v>361</v>
      </c>
      <c r="L39" s="800">
        <f>#REF!</f>
        <v/>
      </c>
      <c r="M39" s="919">
        <f>K39/L39</f>
        <v/>
      </c>
      <c r="N39" s="802">
        <f>N38+H39-K39</f>
        <v/>
      </c>
      <c r="O39" s="802">
        <f>O38+J39-M39</f>
        <v/>
      </c>
      <c r="P39" s="803" t="inlineStr">
        <is>
          <t>4월 송금</t>
        </is>
      </c>
      <c r="Q39" s="804" t="n"/>
      <c r="R39" s="920" t="n"/>
      <c r="S39" s="805">
        <f>S38-M39+J39</f>
        <v/>
      </c>
      <c r="T39" s="698" t="n"/>
      <c r="U39" s="830" t="n"/>
      <c r="V39" s="698" t="n"/>
      <c r="W39" s="698" t="n"/>
      <c r="X39" s="698" t="n"/>
      <c r="Y39" s="698" t="n"/>
      <c r="Z39" s="698" t="n"/>
      <c r="AA39" s="698" t="n"/>
      <c r="AB39" s="698" t="n"/>
      <c r="AC39" s="698" t="n"/>
    </row>
    <row r="40" ht="11.25" customFormat="1" customHeight="1" s="688">
      <c r="A40" s="80" t="n"/>
      <c r="B40" s="875" t="n">
        <v>45796</v>
      </c>
      <c r="C40" s="144" t="inlineStr">
        <is>
          <t>택배비</t>
        </is>
      </c>
      <c r="D40" s="149" t="inlineStr">
        <is>
          <t>Zhang Liang</t>
        </is>
      </c>
      <c r="E40" s="149" t="n">
        <v>20</v>
      </c>
      <c r="F40" s="187" t="inlineStr">
        <is>
          <t>해외지사비</t>
        </is>
      </c>
      <c r="G40" s="82" t="n"/>
      <c r="H40" s="150" t="n"/>
      <c r="I40" s="189" t="n"/>
      <c r="J40" s="189" t="n"/>
      <c r="K40" s="799" t="n">
        <v>276.6</v>
      </c>
      <c r="L40" s="800">
        <f>#REF!</f>
        <v/>
      </c>
      <c r="M40" s="919">
        <f>K40/L40</f>
        <v/>
      </c>
      <c r="N40" s="802">
        <f>N39+H40-K40</f>
        <v/>
      </c>
      <c r="O40" s="802">
        <f>O39+J40-M40</f>
        <v/>
      </c>
      <c r="P40" s="803" t="inlineStr">
        <is>
          <t>4월 송금</t>
        </is>
      </c>
      <c r="Q40" s="804" t="n"/>
      <c r="R40" s="920" t="n"/>
      <c r="S40" s="805">
        <f>S39-M40+J40</f>
        <v/>
      </c>
      <c r="T40" s="698" t="n"/>
      <c r="U40" s="830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</row>
    <row r="41" ht="11.25" customFormat="1" customHeight="1" s="688">
      <c r="A41" s="80" t="n"/>
      <c r="B41" s="875" t="n">
        <v>45796</v>
      </c>
      <c r="C41" s="144" t="inlineStr">
        <is>
          <t>사무용픔</t>
        </is>
      </c>
      <c r="D41" s="149" t="inlineStr">
        <is>
          <t>Zhang Liang</t>
        </is>
      </c>
      <c r="E41" s="149" t="n">
        <v>21</v>
      </c>
      <c r="F41" s="187" t="inlineStr">
        <is>
          <t>해외지사비</t>
        </is>
      </c>
      <c r="G41" s="82" t="n"/>
      <c r="H41" s="150" t="n"/>
      <c r="I41" s="189" t="n"/>
      <c r="J41" s="189" t="n"/>
      <c r="K41" s="799" t="n">
        <v>517</v>
      </c>
      <c r="L41" s="800">
        <f>#REF!</f>
        <v/>
      </c>
      <c r="M41" s="919">
        <f>K41/L41</f>
        <v/>
      </c>
      <c r="N41" s="802">
        <f>N40+H41-K41</f>
        <v/>
      </c>
      <c r="O41" s="802">
        <f>O40+J41-M41</f>
        <v/>
      </c>
      <c r="P41" s="803" t="inlineStr">
        <is>
          <t>4월 송금</t>
        </is>
      </c>
      <c r="Q41" s="804" t="n"/>
      <c r="R41" s="920" t="n"/>
      <c r="S41" s="805">
        <f>S40-M41+J41</f>
        <v/>
      </c>
      <c r="T41" s="698" t="n"/>
      <c r="U41" s="830" t="n"/>
      <c r="V41" s="698" t="n"/>
      <c r="W41" s="698" t="n"/>
      <c r="X41" s="698" t="n"/>
      <c r="Y41" s="698" t="n"/>
      <c r="Z41" s="698" t="n"/>
      <c r="AA41" s="698" t="n"/>
      <c r="AB41" s="698" t="n"/>
      <c r="AC41" s="698" t="n"/>
    </row>
    <row r="42" ht="11.25" customFormat="1" customHeight="1" s="688">
      <c r="A42" s="80" t="n"/>
      <c r="B42" s="875" t="n">
        <v>45796</v>
      </c>
      <c r="C42" s="144" t="inlineStr">
        <is>
          <t>수수료</t>
        </is>
      </c>
      <c r="D42" s="149" t="inlineStr">
        <is>
          <t>Zhang Liang</t>
        </is>
      </c>
      <c r="E42" s="145" t="n">
        <v>22</v>
      </c>
      <c r="F42" s="187" t="inlineStr">
        <is>
          <t>해외지사비</t>
        </is>
      </c>
      <c r="G42" s="187" t="n"/>
      <c r="H42" s="187" t="n"/>
      <c r="I42" s="187" t="n"/>
      <c r="J42" s="187" t="n"/>
      <c r="K42" s="949" t="n">
        <v>3.6</v>
      </c>
      <c r="L42" s="800">
        <f>#REF!</f>
        <v/>
      </c>
      <c r="M42" s="919">
        <f>K42/L42</f>
        <v/>
      </c>
      <c r="N42" s="802">
        <f>N41+H42-K42</f>
        <v/>
      </c>
      <c r="O42" s="802">
        <f>O41+J42-M42</f>
        <v/>
      </c>
      <c r="P42" s="803" t="inlineStr">
        <is>
          <t>4월 송금</t>
        </is>
      </c>
      <c r="Q42" s="804" t="n"/>
      <c r="R42" s="304" t="n"/>
      <c r="S42" s="805">
        <f>S41-M42+J42</f>
        <v/>
      </c>
      <c r="T42" s="698" t="n"/>
      <c r="U42" s="830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</row>
    <row r="43" ht="11.25" customFormat="1" customHeight="1" s="688">
      <c r="A43" s="80" t="n"/>
      <c r="B43" s="875" t="n">
        <v>45796</v>
      </c>
      <c r="C43" s="144" t="inlineStr">
        <is>
          <t>시내/시외 교통비</t>
        </is>
      </c>
      <c r="D43" s="821" t="inlineStr">
        <is>
          <t>Lin Jie Ting</t>
        </is>
      </c>
      <c r="E43" s="187" t="n">
        <v>23</v>
      </c>
      <c r="F43" s="187" t="inlineStr">
        <is>
          <t>여비교통비</t>
        </is>
      </c>
      <c r="G43" s="187" t="inlineStr">
        <is>
          <t>해외</t>
        </is>
      </c>
      <c r="H43" s="187" t="n"/>
      <c r="I43" s="187" t="n"/>
      <c r="J43" s="187" t="n"/>
      <c r="K43" s="878" t="n">
        <v>589.1</v>
      </c>
      <c r="L43" s="800">
        <f>#REF!</f>
        <v/>
      </c>
      <c r="M43" s="919">
        <f>K43/L43</f>
        <v/>
      </c>
      <c r="N43" s="802">
        <f>N42+H43-K43</f>
        <v/>
      </c>
      <c r="O43" s="802">
        <f>O42+J43-M43</f>
        <v/>
      </c>
      <c r="P43" s="803" t="inlineStr">
        <is>
          <t>4월 송금</t>
        </is>
      </c>
      <c r="Q43" s="804" t="n"/>
      <c r="R43" s="304" t="n"/>
      <c r="S43" s="805">
        <f>S42-M43+J43</f>
        <v/>
      </c>
      <c r="T43" s="698" t="n"/>
      <c r="U43" s="830" t="n"/>
      <c r="V43" s="698" t="n"/>
      <c r="W43" s="698" t="n"/>
      <c r="X43" s="698" t="n"/>
      <c r="Y43" s="698" t="n"/>
      <c r="Z43" s="698" t="n"/>
      <c r="AA43" s="698" t="n"/>
      <c r="AB43" s="698" t="n"/>
      <c r="AC43" s="698" t="n"/>
    </row>
    <row r="44" ht="11.25" customFormat="1" customHeight="1" s="688">
      <c r="A44" s="80" t="n"/>
      <c r="B44" s="875" t="n">
        <v>45796</v>
      </c>
      <c r="C44" s="144" t="inlineStr">
        <is>
          <t>통신비</t>
        </is>
      </c>
      <c r="D44" s="821" t="inlineStr">
        <is>
          <t>Lin Jie Ting</t>
        </is>
      </c>
      <c r="E44" s="149" t="n">
        <v>24</v>
      </c>
      <c r="F44" s="187" t="inlineStr">
        <is>
          <t>통신비</t>
        </is>
      </c>
      <c r="G44" s="82" t="inlineStr">
        <is>
          <t>기타</t>
        </is>
      </c>
      <c r="H44" s="187" t="n"/>
      <c r="I44" s="187" t="n"/>
      <c r="J44" s="187" t="n"/>
      <c r="K44" s="799" t="n">
        <v>299.6</v>
      </c>
      <c r="L44" s="800">
        <f>#REF!</f>
        <v/>
      </c>
      <c r="M44" s="919">
        <f>K44/L44</f>
        <v/>
      </c>
      <c r="N44" s="802">
        <f>N43+H44-K44</f>
        <v/>
      </c>
      <c r="O44" s="802">
        <f>O43+J44-M44</f>
        <v/>
      </c>
      <c r="P44" s="803" t="inlineStr">
        <is>
          <t>4월 송금</t>
        </is>
      </c>
      <c r="Q44" s="804" t="n"/>
      <c r="R44" s="177" t="n"/>
      <c r="S44" s="805">
        <f>S43-M44+J44</f>
        <v/>
      </c>
      <c r="T44" s="698" t="n"/>
      <c r="U44" s="830" t="n"/>
      <c r="V44" s="698" t="n"/>
      <c r="W44" s="698" t="n"/>
      <c r="X44" s="698" t="n"/>
      <c r="Y44" s="698" t="n"/>
      <c r="Z44" s="698" t="n"/>
      <c r="AA44" s="698" t="n"/>
      <c r="AB44" s="698" t="n"/>
      <c r="AC44" s="698" t="n"/>
    </row>
    <row r="45" ht="11.25" customFormat="1" customHeight="1" s="688">
      <c r="A45" s="80" t="n"/>
      <c r="B45" s="875" t="n">
        <v>45796</v>
      </c>
      <c r="C45" s="144" t="inlineStr">
        <is>
          <t>출장비</t>
        </is>
      </c>
      <c r="D45" s="821" t="inlineStr">
        <is>
          <t>Lin Jie Ting</t>
        </is>
      </c>
      <c r="E45" s="149" t="n">
        <v>25</v>
      </c>
      <c r="F45" s="187" t="inlineStr">
        <is>
          <t>여비교통비</t>
        </is>
      </c>
      <c r="G45" s="82" t="inlineStr">
        <is>
          <t>해외</t>
        </is>
      </c>
      <c r="H45" s="187" t="n"/>
      <c r="I45" s="187" t="n"/>
      <c r="J45" s="187" t="n"/>
      <c r="K45" s="799" t="n">
        <v>1259</v>
      </c>
      <c r="L45" s="800">
        <f>#REF!</f>
        <v/>
      </c>
      <c r="M45" s="919">
        <f>K45/L45</f>
        <v/>
      </c>
      <c r="N45" s="802">
        <f>N44+H45-K45</f>
        <v/>
      </c>
      <c r="O45" s="802">
        <f>O44+J45-M45</f>
        <v/>
      </c>
      <c r="P45" s="803" t="inlineStr">
        <is>
          <t>4월 송금</t>
        </is>
      </c>
      <c r="Q45" s="804" t="n"/>
      <c r="R45" s="177" t="n"/>
      <c r="S45" s="805">
        <f>S44-M45+J45</f>
        <v/>
      </c>
      <c r="T45" s="698" t="n"/>
      <c r="U45" s="830" t="n"/>
      <c r="V45" s="698" t="n"/>
      <c r="W45" s="698" t="n"/>
      <c r="X45" s="698" t="n"/>
      <c r="Y45" s="698" t="n"/>
      <c r="Z45" s="698" t="n"/>
      <c r="AA45" s="698" t="n"/>
      <c r="AB45" s="698" t="n"/>
      <c r="AC45" s="698" t="n"/>
    </row>
    <row r="46" ht="11.25" customFormat="1" customHeight="1" s="688">
      <c r="A46" s="80" t="n"/>
      <c r="B46" s="875" t="n">
        <v>45796</v>
      </c>
      <c r="C46" s="144" t="inlineStr">
        <is>
          <t>업무추진비</t>
        </is>
      </c>
      <c r="D46" s="821" t="inlineStr">
        <is>
          <t>Lin Jie Ting</t>
        </is>
      </c>
      <c r="E46" s="149" t="n">
        <v>26</v>
      </c>
      <c r="F46" s="187" t="inlineStr">
        <is>
          <t>업무추진비</t>
        </is>
      </c>
      <c r="G46" s="187" t="inlineStr">
        <is>
          <t>일반</t>
        </is>
      </c>
      <c r="H46" s="187" t="n"/>
      <c r="I46" s="187" t="n"/>
      <c r="J46" s="187" t="n"/>
      <c r="K46" s="799" t="n">
        <v>2482</v>
      </c>
      <c r="L46" s="800">
        <f>#REF!</f>
        <v/>
      </c>
      <c r="M46" s="919">
        <f>K46/L46</f>
        <v/>
      </c>
      <c r="N46" s="802">
        <f>N45+H46-K46</f>
        <v/>
      </c>
      <c r="O46" s="802">
        <f>O45+J46-M46</f>
        <v/>
      </c>
      <c r="P46" s="803" t="inlineStr">
        <is>
          <t>4월 송금</t>
        </is>
      </c>
      <c r="Q46" s="804" t="n"/>
      <c r="R46" s="177" t="n"/>
      <c r="S46" s="805">
        <f>S45-M46+J46</f>
        <v/>
      </c>
      <c r="T46" s="698" t="n"/>
      <c r="U46" s="830" t="n"/>
      <c r="V46" s="698" t="n"/>
      <c r="W46" s="698" t="n"/>
      <c r="X46" s="698" t="n"/>
      <c r="Y46" s="698" t="n"/>
      <c r="Z46" s="698" t="n"/>
      <c r="AA46" s="698" t="n"/>
      <c r="AB46" s="698" t="n"/>
      <c r="AC46" s="698" t="n"/>
    </row>
    <row r="47" ht="11.25" customFormat="1" customHeight="1" s="688">
      <c r="A47" s="80" t="n"/>
      <c r="B47" s="875" t="n">
        <v>45796</v>
      </c>
      <c r="C47" s="144" t="inlineStr">
        <is>
          <t>수수료</t>
        </is>
      </c>
      <c r="D47" s="821" t="inlineStr">
        <is>
          <t>Lin Jie Ting</t>
        </is>
      </c>
      <c r="E47" s="149" t="n">
        <v>27</v>
      </c>
      <c r="F47" s="187" t="inlineStr">
        <is>
          <t>해외지사비</t>
        </is>
      </c>
      <c r="G47" s="187" t="n"/>
      <c r="H47" s="187" t="n"/>
      <c r="I47" s="187" t="n"/>
      <c r="J47" s="187" t="n"/>
      <c r="K47" s="799" t="n">
        <v>3.6</v>
      </c>
      <c r="L47" s="800">
        <f>#REF!</f>
        <v/>
      </c>
      <c r="M47" s="919">
        <f>K47/L47</f>
        <v/>
      </c>
      <c r="N47" s="802">
        <f>N46+H47-K47</f>
        <v/>
      </c>
      <c r="O47" s="802">
        <f>O46+J47-M47</f>
        <v/>
      </c>
      <c r="P47" s="803" t="inlineStr">
        <is>
          <t>4월 송금</t>
        </is>
      </c>
      <c r="Q47" s="804" t="n"/>
      <c r="R47" s="177" t="n"/>
      <c r="S47" s="805">
        <f>S46-M47+J47</f>
        <v/>
      </c>
      <c r="T47" s="698" t="n"/>
      <c r="U47" s="830" t="n"/>
      <c r="V47" s="698" t="n"/>
      <c r="W47" s="698" t="n"/>
      <c r="X47" s="698" t="n"/>
      <c r="Y47" s="698" t="n"/>
      <c r="Z47" s="698" t="n"/>
      <c r="AA47" s="698" t="n"/>
      <c r="AB47" s="698" t="n"/>
      <c r="AC47" s="698" t="n"/>
    </row>
    <row r="48" ht="11.25" customFormat="1" customHeight="1" s="688">
      <c r="A48" s="80" t="n"/>
      <c r="B48" s="875" t="n">
        <v>45796</v>
      </c>
      <c r="C48" s="144" t="inlineStr">
        <is>
          <t>시내교통비</t>
        </is>
      </c>
      <c r="D48" s="821" t="inlineStr">
        <is>
          <t>Piao Mei Ling</t>
        </is>
      </c>
      <c r="E48" s="149" t="n">
        <v>28</v>
      </c>
      <c r="F48" s="187" t="inlineStr">
        <is>
          <t>여비교통비</t>
        </is>
      </c>
      <c r="G48" s="187" t="inlineStr">
        <is>
          <t>해외</t>
        </is>
      </c>
      <c r="H48" s="187" t="n"/>
      <c r="I48" s="187" t="n"/>
      <c r="J48" s="187" t="n"/>
      <c r="K48" s="799" t="n">
        <v>313.59</v>
      </c>
      <c r="L48" s="800">
        <f>#REF!</f>
        <v/>
      </c>
      <c r="M48" s="919">
        <f>K48/L48</f>
        <v/>
      </c>
      <c r="N48" s="802">
        <f>N47+H48-K48</f>
        <v/>
      </c>
      <c r="O48" s="802">
        <f>O47+J48-M48</f>
        <v/>
      </c>
      <c r="P48" s="803" t="inlineStr">
        <is>
          <t>4월 송금</t>
        </is>
      </c>
      <c r="Q48" s="804" t="n"/>
      <c r="R48" s="177" t="n"/>
      <c r="S48" s="805">
        <f>S47-M48+J48</f>
        <v/>
      </c>
      <c r="T48" s="698" t="n"/>
      <c r="U48" s="830" t="n"/>
      <c r="V48" s="698" t="n"/>
      <c r="W48" s="698" t="n"/>
      <c r="X48" s="698" t="n"/>
      <c r="Y48" s="698" t="n"/>
      <c r="Z48" s="698" t="n"/>
      <c r="AA48" s="698" t="n"/>
      <c r="AB48" s="698" t="n"/>
      <c r="AC48" s="698" t="n"/>
    </row>
    <row r="49" ht="11.25" customFormat="1" customHeight="1" s="688">
      <c r="A49" s="80" t="n"/>
      <c r="B49" s="875" t="n">
        <v>45796</v>
      </c>
      <c r="C49" s="821" t="inlineStr">
        <is>
          <t>출장비</t>
        </is>
      </c>
      <c r="D49" s="821" t="inlineStr">
        <is>
          <t>Piao Mei Ling</t>
        </is>
      </c>
      <c r="E49" s="149" t="n">
        <v>29</v>
      </c>
      <c r="F49" s="253" t="inlineStr">
        <is>
          <t>여비교통비</t>
        </is>
      </c>
      <c r="G49" s="82" t="inlineStr">
        <is>
          <t>해외</t>
        </is>
      </c>
      <c r="H49" s="187" t="n"/>
      <c r="I49" s="187" t="n"/>
      <c r="J49" s="187" t="n"/>
      <c r="K49" s="799" t="n">
        <v>688.3</v>
      </c>
      <c r="L49" s="800">
        <f>#REF!</f>
        <v/>
      </c>
      <c r="M49" s="919">
        <f>K49/L49</f>
        <v/>
      </c>
      <c r="N49" s="802">
        <f>N48+H49-K49</f>
        <v/>
      </c>
      <c r="O49" s="802">
        <f>O48+J49-M49</f>
        <v/>
      </c>
      <c r="P49" s="803" t="inlineStr">
        <is>
          <t>4월 송금</t>
        </is>
      </c>
      <c r="Q49" s="804" t="n"/>
      <c r="R49" s="304" t="n"/>
      <c r="S49" s="805">
        <f>S48-M49+J49</f>
        <v/>
      </c>
      <c r="T49" s="698" t="n"/>
      <c r="U49" s="830" t="n"/>
      <c r="V49" s="698" t="n"/>
      <c r="W49" s="698" t="n"/>
      <c r="X49" s="698" t="n"/>
      <c r="Y49" s="698" t="n"/>
      <c r="Z49" s="698" t="n"/>
      <c r="AA49" s="698" t="n"/>
      <c r="AB49" s="698" t="n"/>
      <c r="AC49" s="698" t="n"/>
    </row>
    <row r="50" ht="11.25" customFormat="1" customHeight="1" s="688">
      <c r="A50" s="80" t="n"/>
      <c r="B50" s="875" t="n">
        <v>45796</v>
      </c>
      <c r="C50" s="177" t="inlineStr">
        <is>
          <t>통신비</t>
        </is>
      </c>
      <c r="D50" s="821" t="inlineStr">
        <is>
          <t>Piao Mei Ling</t>
        </is>
      </c>
      <c r="E50" s="149" t="n">
        <v>30</v>
      </c>
      <c r="F50" s="253" t="inlineStr">
        <is>
          <t>통신비</t>
        </is>
      </c>
      <c r="G50" s="82" t="inlineStr">
        <is>
          <t>기타</t>
        </is>
      </c>
      <c r="H50" s="187" t="n"/>
      <c r="I50" s="187" t="n"/>
      <c r="J50" s="187" t="n"/>
      <c r="K50" s="799" t="n">
        <v>192.52</v>
      </c>
      <c r="L50" s="800">
        <f>#REF!</f>
        <v/>
      </c>
      <c r="M50" s="919">
        <f>K50/L50</f>
        <v/>
      </c>
      <c r="N50" s="802">
        <f>N49+H50-K50</f>
        <v/>
      </c>
      <c r="O50" s="802">
        <f>O49+J50-M50</f>
        <v/>
      </c>
      <c r="P50" s="803" t="inlineStr">
        <is>
          <t>4월 송금</t>
        </is>
      </c>
      <c r="Q50" s="804" t="n"/>
      <c r="R50" s="304" t="n"/>
      <c r="S50" s="805">
        <f>S49-M50+J50</f>
        <v/>
      </c>
      <c r="T50" s="698" t="n"/>
      <c r="U50" s="830" t="n"/>
      <c r="V50" s="698" t="n"/>
      <c r="W50" s="698" t="n"/>
      <c r="X50" s="698" t="n"/>
      <c r="Y50" s="698" t="n"/>
      <c r="Z50" s="698" t="n"/>
      <c r="AA50" s="698" t="n"/>
      <c r="AB50" s="698" t="n"/>
      <c r="AC50" s="698" t="n"/>
    </row>
    <row r="51" ht="11.25" customFormat="1" customHeight="1" s="688">
      <c r="A51" s="80" t="n"/>
      <c r="B51" s="875" t="n">
        <v>45796</v>
      </c>
      <c r="C51" s="177" t="inlineStr">
        <is>
          <t>택배비</t>
        </is>
      </c>
      <c r="D51" s="821" t="inlineStr">
        <is>
          <t>Piao Mei Ling</t>
        </is>
      </c>
      <c r="E51" s="149" t="n">
        <v>31</v>
      </c>
      <c r="F51" s="187" t="inlineStr">
        <is>
          <t>해외지사비</t>
        </is>
      </c>
      <c r="G51" s="187" t="n"/>
      <c r="H51" s="187" t="n"/>
      <c r="I51" s="187" t="n"/>
      <c r="J51" s="187" t="n"/>
      <c r="K51" s="799" t="n">
        <v>426.75</v>
      </c>
      <c r="L51" s="800">
        <f>#REF!</f>
        <v/>
      </c>
      <c r="M51" s="919" t="n">
        <v>58.23</v>
      </c>
      <c r="N51" s="802">
        <f>N50+H51-K51</f>
        <v/>
      </c>
      <c r="O51" s="802">
        <f>O50+J51-M51</f>
        <v/>
      </c>
      <c r="P51" s="803" t="inlineStr">
        <is>
          <t>4월 송금</t>
        </is>
      </c>
      <c r="Q51" s="804" t="n"/>
      <c r="R51" s="304" t="n"/>
      <c r="S51" s="805">
        <f>S50-M51+J51</f>
        <v/>
      </c>
      <c r="T51" s="698" t="n"/>
      <c r="U51" s="830" t="n"/>
      <c r="V51" s="698" t="n"/>
      <c r="W51" s="698" t="n"/>
      <c r="X51" s="698" t="n"/>
      <c r="Y51" s="698" t="n"/>
      <c r="Z51" s="698" t="n"/>
      <c r="AA51" s="698" t="n"/>
      <c r="AB51" s="698" t="n"/>
      <c r="AC51" s="698" t="n"/>
    </row>
    <row r="52" ht="11.25" customFormat="1" customHeight="1" s="688">
      <c r="A52" s="80" t="n"/>
      <c r="B52" s="875" t="n">
        <v>45796</v>
      </c>
      <c r="C52" s="177" t="inlineStr">
        <is>
          <t>수수료</t>
        </is>
      </c>
      <c r="D52" s="821" t="inlineStr">
        <is>
          <t>Piao Mei Ling</t>
        </is>
      </c>
      <c r="E52" s="149" t="n">
        <v>32</v>
      </c>
      <c r="F52" s="187" t="inlineStr">
        <is>
          <t>해외지사비</t>
        </is>
      </c>
      <c r="G52" s="187" t="n"/>
      <c r="H52" s="187" t="n"/>
      <c r="I52" s="187" t="n"/>
      <c r="J52" s="187" t="n"/>
      <c r="K52" s="799" t="n">
        <v>3.6</v>
      </c>
      <c r="L52" s="800">
        <f>#REF!</f>
        <v/>
      </c>
      <c r="M52" s="919">
        <f>K52/L52</f>
        <v/>
      </c>
      <c r="N52" s="802">
        <f>N51+H52-K52</f>
        <v/>
      </c>
      <c r="O52" s="802">
        <f>O51+J52-M52</f>
        <v/>
      </c>
      <c r="P52" s="803" t="inlineStr">
        <is>
          <t>4월 송금</t>
        </is>
      </c>
      <c r="Q52" s="804" t="n"/>
      <c r="R52" s="304" t="n"/>
      <c r="S52" s="805">
        <f>S51-M52+J52</f>
        <v/>
      </c>
      <c r="T52" s="698" t="n"/>
      <c r="U52" s="830" t="n"/>
      <c r="V52" s="698" t="n"/>
      <c r="W52" s="698" t="n"/>
      <c r="X52" s="698" t="n"/>
      <c r="Y52" s="698" t="n"/>
      <c r="Z52" s="698" t="n"/>
      <c r="AA52" s="698" t="n"/>
      <c r="AB52" s="698" t="n"/>
      <c r="AC52" s="698" t="n"/>
    </row>
    <row r="53" ht="11.25" customFormat="1" customHeight="1" s="688">
      <c r="A53" s="80" t="n"/>
      <c r="B53" s="950" t="n">
        <v>45796</v>
      </c>
      <c r="C53" s="329" t="inlineStr">
        <is>
          <t>주유비</t>
        </is>
      </c>
      <c r="D53" s="951" t="inlineStr">
        <is>
          <t>Chen Guo Liang</t>
        </is>
      </c>
      <c r="E53" s="331" t="n">
        <v>33</v>
      </c>
      <c r="F53" s="332" t="inlineStr">
        <is>
          <t>여비교통비</t>
        </is>
      </c>
      <c r="G53" s="332" t="inlineStr">
        <is>
          <t>해외</t>
        </is>
      </c>
      <c r="H53" s="332" t="n"/>
      <c r="I53" s="332" t="n"/>
      <c r="J53" s="332" t="n"/>
      <c r="K53" s="952">
        <f>L53*M53</f>
        <v/>
      </c>
      <c r="L53" s="953">
        <f>#REF!</f>
        <v/>
      </c>
      <c r="M53" s="954" t="n">
        <v>26.68870913659138</v>
      </c>
      <c r="N53" s="955">
        <f>N52+H53-K53</f>
        <v/>
      </c>
      <c r="O53" s="955">
        <f>O52+J53-M53</f>
        <v/>
      </c>
      <c r="P53" s="956" t="inlineStr">
        <is>
          <t>4월 송금</t>
        </is>
      </c>
      <c r="Q53" s="957" t="n"/>
      <c r="R53" s="339" t="n"/>
      <c r="S53" s="805">
        <f>S52-M53+J53</f>
        <v/>
      </c>
      <c r="T53" s="698" t="n"/>
      <c r="U53" s="830" t="n"/>
      <c r="V53" s="698" t="n"/>
      <c r="W53" s="698" t="n"/>
      <c r="X53" s="698" t="n"/>
      <c r="Y53" s="698" t="n"/>
      <c r="Z53" s="698" t="n"/>
      <c r="AA53" s="698" t="n"/>
      <c r="AB53" s="698" t="n"/>
      <c r="AC53" s="698" t="n"/>
    </row>
    <row r="54" ht="11.25" customFormat="1" customHeight="1" s="688">
      <c r="A54" s="80" t="n"/>
      <c r="B54" s="958" t="n">
        <v>45796</v>
      </c>
      <c r="C54" s="372" t="inlineStr">
        <is>
          <t>주유비</t>
        </is>
      </c>
      <c r="D54" s="959" t="inlineStr">
        <is>
          <t>Chen Guo Liang</t>
        </is>
      </c>
      <c r="E54" s="374" t="n">
        <v>33</v>
      </c>
      <c r="F54" s="375" t="inlineStr">
        <is>
          <t>여비교통비</t>
        </is>
      </c>
      <c r="G54" s="375" t="inlineStr">
        <is>
          <t>해외</t>
        </is>
      </c>
      <c r="H54" s="375" t="n"/>
      <c r="I54" s="375" t="n"/>
      <c r="J54" s="375" t="n"/>
      <c r="K54" s="960">
        <f>3060-K53</f>
        <v/>
      </c>
      <c r="L54" s="961">
        <f>#REF!</f>
        <v/>
      </c>
      <c r="M54" s="938">
        <f>K54/L54</f>
        <v/>
      </c>
      <c r="N54" s="962">
        <f>N53+H54-K54</f>
        <v/>
      </c>
      <c r="O54" s="962">
        <f>O53+J54-M54</f>
        <v/>
      </c>
      <c r="P54" s="963" t="inlineStr">
        <is>
          <t>5월 송금</t>
        </is>
      </c>
      <c r="Q54" s="964" t="n"/>
      <c r="R54" s="352" t="n"/>
      <c r="S54" s="805">
        <f>47865-M54+J54</f>
        <v/>
      </c>
      <c r="T54" s="698" t="n"/>
      <c r="U54" s="830" t="n"/>
      <c r="V54" s="698" t="n"/>
      <c r="W54" s="698" t="n"/>
      <c r="X54" s="698" t="n"/>
      <c r="Y54" s="698" t="n"/>
      <c r="Z54" s="698" t="n"/>
      <c r="AA54" s="698" t="n"/>
      <c r="AB54" s="698" t="n"/>
      <c r="AC54" s="698" t="n"/>
    </row>
    <row r="55" ht="11.25" customFormat="1" customHeight="1" s="688">
      <c r="A55" s="80" t="n"/>
      <c r="B55" s="965" t="n">
        <v>45796</v>
      </c>
      <c r="C55" s="358" t="inlineStr">
        <is>
          <t>주차비</t>
        </is>
      </c>
      <c r="D55" s="966" t="inlineStr">
        <is>
          <t>Chen Guo Liang</t>
        </is>
      </c>
      <c r="E55" s="382" t="n">
        <v>34</v>
      </c>
      <c r="F55" s="383" t="inlineStr">
        <is>
          <t>여비교통비</t>
        </is>
      </c>
      <c r="G55" s="383" t="inlineStr">
        <is>
          <t>해외</t>
        </is>
      </c>
      <c r="H55" s="383" t="n"/>
      <c r="I55" s="383" t="n"/>
      <c r="J55" s="383" t="n"/>
      <c r="K55" s="967" t="n">
        <v>179</v>
      </c>
      <c r="L55" s="968">
        <f>#REF!</f>
        <v/>
      </c>
      <c r="M55" s="938">
        <f>K55/L55</f>
        <v/>
      </c>
      <c r="N55" s="969">
        <f>N54+H55-K55</f>
        <v/>
      </c>
      <c r="O55" s="969">
        <f>O54+J55-M55</f>
        <v/>
      </c>
      <c r="P55" s="970" t="inlineStr">
        <is>
          <t>5월 송금</t>
        </is>
      </c>
      <c r="Q55" s="971" t="n"/>
      <c r="R55" s="353" t="n"/>
      <c r="S55" s="805">
        <f>S54-M55+J55</f>
        <v/>
      </c>
      <c r="T55" s="698" t="n"/>
      <c r="U55" s="830" t="n"/>
      <c r="V55" s="698" t="n"/>
      <c r="W55" s="698" t="n"/>
      <c r="X55" s="698" t="n"/>
      <c r="Y55" s="698" t="n"/>
      <c r="Z55" s="698" t="n"/>
      <c r="AA55" s="698" t="n"/>
      <c r="AB55" s="698" t="n"/>
      <c r="AC55" s="698" t="n"/>
    </row>
    <row r="56" ht="11.25" customFormat="1" customHeight="1" s="688">
      <c r="A56" s="80" t="n"/>
      <c r="B56" s="965" t="n">
        <v>45796</v>
      </c>
      <c r="C56" s="358" t="inlineStr">
        <is>
          <t>톨비</t>
        </is>
      </c>
      <c r="D56" s="966" t="inlineStr">
        <is>
          <t>Chen Guo Liang</t>
        </is>
      </c>
      <c r="E56" s="382" t="n">
        <v>35</v>
      </c>
      <c r="F56" s="383" t="inlineStr">
        <is>
          <t>여비교통비</t>
        </is>
      </c>
      <c r="G56" s="383" t="inlineStr">
        <is>
          <t>해외</t>
        </is>
      </c>
      <c r="H56" s="383" t="n"/>
      <c r="I56" s="383" t="n"/>
      <c r="J56" s="383" t="n"/>
      <c r="K56" s="967" t="n">
        <v>852</v>
      </c>
      <c r="L56" s="968">
        <f>#REF!</f>
        <v/>
      </c>
      <c r="M56" s="938">
        <f>K56/L56</f>
        <v/>
      </c>
      <c r="N56" s="969">
        <f>N55+H56-K56</f>
        <v/>
      </c>
      <c r="O56" s="969">
        <f>O55+J56-M56</f>
        <v/>
      </c>
      <c r="P56" s="970" t="inlineStr">
        <is>
          <t>5월 송금</t>
        </is>
      </c>
      <c r="Q56" s="971" t="n"/>
      <c r="R56" s="353" t="n"/>
      <c r="S56" s="805">
        <f>S55-M56+J56</f>
        <v/>
      </c>
      <c r="T56" s="698" t="n"/>
      <c r="U56" s="830" t="n"/>
      <c r="V56" s="698" t="n"/>
      <c r="W56" s="698" t="n"/>
      <c r="X56" s="698" t="n"/>
      <c r="Y56" s="698" t="n"/>
      <c r="Z56" s="698" t="n"/>
      <c r="AA56" s="698" t="n"/>
      <c r="AB56" s="698" t="n"/>
      <c r="AC56" s="698" t="n"/>
    </row>
    <row r="57" ht="11.25" customFormat="1" customHeight="1" s="688">
      <c r="A57" s="80" t="n"/>
      <c r="B57" s="965" t="n">
        <v>45796</v>
      </c>
      <c r="C57" s="358" t="inlineStr">
        <is>
          <t>수수료</t>
        </is>
      </c>
      <c r="D57" s="966" t="inlineStr">
        <is>
          <t>Chen Guo Liang</t>
        </is>
      </c>
      <c r="E57" s="382" t="n">
        <v>36</v>
      </c>
      <c r="F57" s="389" t="inlineStr">
        <is>
          <t>해외지사비</t>
        </is>
      </c>
      <c r="G57" s="390" t="n"/>
      <c r="H57" s="383" t="n"/>
      <c r="I57" s="383" t="n"/>
      <c r="J57" s="383" t="n"/>
      <c r="K57" s="967" t="n">
        <v>3.6</v>
      </c>
      <c r="L57" s="968">
        <f>#REF!</f>
        <v/>
      </c>
      <c r="M57" s="938">
        <f>K57/L57</f>
        <v/>
      </c>
      <c r="N57" s="969">
        <f>N56+H57-K57</f>
        <v/>
      </c>
      <c r="O57" s="969">
        <f>O56+J57-M57</f>
        <v/>
      </c>
      <c r="P57" s="970" t="inlineStr">
        <is>
          <t>5월 송금</t>
        </is>
      </c>
      <c r="Q57" s="971" t="n"/>
      <c r="R57" s="970" t="n"/>
      <c r="S57" s="805">
        <f>S56-M57+J57</f>
        <v/>
      </c>
      <c r="T57" s="698" t="n"/>
      <c r="U57" s="830" t="n"/>
      <c r="V57" s="698" t="n"/>
      <c r="W57" s="698" t="n"/>
      <c r="X57" s="698" t="n"/>
      <c r="Y57" s="698" t="n"/>
      <c r="Z57" s="698" t="n"/>
      <c r="AA57" s="698" t="n"/>
      <c r="AB57" s="698" t="n"/>
      <c r="AC57" s="698" t="n"/>
    </row>
    <row r="58" ht="11.25" customFormat="1" customHeight="1" s="688">
      <c r="A58" s="80" t="n"/>
      <c r="B58" s="965" t="n">
        <v>45796</v>
      </c>
      <c r="C58" s="358" t="inlineStr">
        <is>
          <t>톨비</t>
        </is>
      </c>
      <c r="D58" s="966" t="inlineStr">
        <is>
          <t>Liu Ming Liang</t>
        </is>
      </c>
      <c r="E58" s="382" t="n">
        <v>37</v>
      </c>
      <c r="F58" s="383" t="inlineStr">
        <is>
          <t>여비교통비</t>
        </is>
      </c>
      <c r="G58" s="383" t="inlineStr">
        <is>
          <t>해외</t>
        </is>
      </c>
      <c r="H58" s="383" t="n"/>
      <c r="I58" s="383" t="n"/>
      <c r="J58" s="383" t="n"/>
      <c r="K58" s="967" t="n">
        <v>551</v>
      </c>
      <c r="L58" s="968">
        <f>#REF!</f>
        <v/>
      </c>
      <c r="M58" s="938">
        <f>K58/L58</f>
        <v/>
      </c>
      <c r="N58" s="969">
        <f>N57+H58-K58</f>
        <v/>
      </c>
      <c r="O58" s="969">
        <f>O57+J58-M58</f>
        <v/>
      </c>
      <c r="P58" s="970" t="inlineStr">
        <is>
          <t>5월 송금</t>
        </is>
      </c>
      <c r="Q58" s="971" t="n"/>
      <c r="R58" s="970" t="n"/>
      <c r="S58" s="805">
        <f>S57-M58+J58</f>
        <v/>
      </c>
      <c r="T58" s="698" t="n"/>
      <c r="U58" s="830" t="n"/>
      <c r="V58" s="698" t="n"/>
      <c r="W58" s="698" t="n"/>
      <c r="X58" s="698" t="n"/>
      <c r="Y58" s="698" t="n"/>
      <c r="Z58" s="698" t="n"/>
      <c r="AA58" s="698" t="n"/>
      <c r="AB58" s="698" t="n"/>
      <c r="AC58" s="698" t="n"/>
    </row>
    <row r="59" ht="11.25" customFormat="1" customHeight="1" s="688">
      <c r="A59" s="80" t="n"/>
      <c r="B59" s="965" t="n">
        <v>45796</v>
      </c>
      <c r="C59" s="358" t="inlineStr">
        <is>
          <t>주유비</t>
        </is>
      </c>
      <c r="D59" s="966" t="inlineStr">
        <is>
          <t>Liu Ming Liang</t>
        </is>
      </c>
      <c r="E59" s="382" t="n">
        <v>38</v>
      </c>
      <c r="F59" s="389" t="inlineStr">
        <is>
          <t>여비교통비</t>
        </is>
      </c>
      <c r="G59" s="390" t="inlineStr">
        <is>
          <t>해외</t>
        </is>
      </c>
      <c r="H59" s="383" t="n"/>
      <c r="I59" s="972" t="n"/>
      <c r="J59" s="383" t="n"/>
      <c r="K59" s="967" t="n">
        <v>2361</v>
      </c>
      <c r="L59" s="968">
        <f>#REF!</f>
        <v/>
      </c>
      <c r="M59" s="938">
        <f>K59/L59</f>
        <v/>
      </c>
      <c r="N59" s="969">
        <f>N58+H59-K59</f>
        <v/>
      </c>
      <c r="O59" s="969">
        <f>O58+J59-M59</f>
        <v/>
      </c>
      <c r="P59" s="970" t="inlineStr">
        <is>
          <t>5월 송금</t>
        </is>
      </c>
      <c r="Q59" s="971" t="n"/>
      <c r="R59" s="970" t="n"/>
      <c r="S59" s="805">
        <f>S58-M59+J59</f>
        <v/>
      </c>
      <c r="T59" s="698" t="n"/>
      <c r="U59" s="830" t="n"/>
      <c r="V59" s="698" t="n"/>
      <c r="W59" s="698" t="n"/>
      <c r="X59" s="698" t="n"/>
      <c r="Y59" s="698" t="n"/>
      <c r="Z59" s="698" t="n"/>
      <c r="AA59" s="698" t="n"/>
      <c r="AB59" s="698" t="n"/>
      <c r="AC59" s="698" t="n"/>
    </row>
    <row r="60" ht="11.25" customFormat="1" customHeight="1" s="688">
      <c r="A60" s="80" t="n"/>
      <c r="B60" s="965" t="n">
        <v>45796</v>
      </c>
      <c r="C60" s="358" t="inlineStr">
        <is>
          <t>주차비</t>
        </is>
      </c>
      <c r="D60" s="966" t="inlineStr">
        <is>
          <t>Liu Ming Liang</t>
        </is>
      </c>
      <c r="E60" s="382" t="n">
        <v>39</v>
      </c>
      <c r="F60" s="389" t="inlineStr">
        <is>
          <t>여비교통비</t>
        </is>
      </c>
      <c r="G60" s="390" t="inlineStr">
        <is>
          <t>해외</t>
        </is>
      </c>
      <c r="H60" s="383" t="n"/>
      <c r="I60" s="972" t="n"/>
      <c r="J60" s="383" t="n"/>
      <c r="K60" s="967" t="n">
        <v>84</v>
      </c>
      <c r="L60" s="968">
        <f>#REF!</f>
        <v/>
      </c>
      <c r="M60" s="938">
        <f>K60/L60</f>
        <v/>
      </c>
      <c r="N60" s="969">
        <f>N59+H60-K60</f>
        <v/>
      </c>
      <c r="O60" s="969">
        <f>O59+J60-M60</f>
        <v/>
      </c>
      <c r="P60" s="970" t="inlineStr">
        <is>
          <t>5월 송금</t>
        </is>
      </c>
      <c r="Q60" s="971" t="n"/>
      <c r="R60" s="970" t="n"/>
      <c r="S60" s="805">
        <f>S59-M60+J60</f>
        <v/>
      </c>
      <c r="T60" s="698" t="n"/>
      <c r="U60" s="830" t="n"/>
      <c r="V60" s="698" t="n"/>
      <c r="W60" s="698" t="n"/>
      <c r="X60" s="698" t="n"/>
      <c r="Y60" s="698" t="n"/>
      <c r="Z60" s="698" t="n"/>
      <c r="AA60" s="698" t="n"/>
      <c r="AB60" s="698" t="n"/>
      <c r="AC60" s="698" t="n"/>
    </row>
    <row r="61" ht="11.25" customFormat="1" customHeight="1" s="688">
      <c r="A61" s="80" t="n"/>
      <c r="B61" s="965" t="n">
        <v>45796</v>
      </c>
      <c r="C61" s="358" t="inlineStr">
        <is>
          <t>수수료</t>
        </is>
      </c>
      <c r="D61" s="966" t="inlineStr">
        <is>
          <t>Liu Ming Liang</t>
        </is>
      </c>
      <c r="E61" s="382" t="n">
        <v>40</v>
      </c>
      <c r="F61" s="389" t="inlineStr">
        <is>
          <t>해외지사비</t>
        </is>
      </c>
      <c r="G61" s="390" t="n"/>
      <c r="H61" s="383" t="n"/>
      <c r="I61" s="972" t="n"/>
      <c r="J61" s="383" t="n"/>
      <c r="K61" s="967" t="n">
        <v>3.6</v>
      </c>
      <c r="L61" s="968">
        <f>#REF!</f>
        <v/>
      </c>
      <c r="M61" s="938">
        <f>K61/L61</f>
        <v/>
      </c>
      <c r="N61" s="969">
        <f>N60+H61-K61</f>
        <v/>
      </c>
      <c r="O61" s="969">
        <f>O60+J61-M61</f>
        <v/>
      </c>
      <c r="P61" s="970" t="inlineStr">
        <is>
          <t>5월 송금</t>
        </is>
      </c>
      <c r="Q61" s="971" t="n"/>
      <c r="R61" s="970" t="n"/>
      <c r="S61" s="805">
        <f>S60-M61+J61</f>
        <v/>
      </c>
      <c r="T61" s="698" t="n"/>
      <c r="U61" s="830" t="n"/>
      <c r="V61" s="698" t="n"/>
      <c r="W61" s="698" t="n"/>
      <c r="X61" s="698" t="n"/>
      <c r="Y61" s="698" t="n"/>
      <c r="Z61" s="698" t="n"/>
      <c r="AA61" s="698" t="n"/>
      <c r="AB61" s="698" t="n"/>
      <c r="AC61" s="698" t="n"/>
    </row>
    <row r="62" ht="11.25" customFormat="1" customHeight="1" s="688">
      <c r="A62" s="80" t="n"/>
      <c r="B62" s="965" t="n">
        <v>45796</v>
      </c>
      <c r="C62" s="392" t="inlineStr">
        <is>
          <t>차량 Rent비</t>
        </is>
      </c>
      <c r="D62" s="382" t="n"/>
      <c r="E62" s="382" t="n">
        <v>41</v>
      </c>
      <c r="F62" s="389" t="inlineStr">
        <is>
          <t>지급임차료</t>
        </is>
      </c>
      <c r="G62" s="390" t="inlineStr">
        <is>
          <t>차량임차료</t>
        </is>
      </c>
      <c r="H62" s="393" t="n"/>
      <c r="I62" s="394" t="n"/>
      <c r="J62" s="394" t="n"/>
      <c r="K62" s="967" t="n">
        <v>10500</v>
      </c>
      <c r="L62" s="968">
        <f>#REF!</f>
        <v/>
      </c>
      <c r="M62" s="938">
        <f>K62/L62</f>
        <v/>
      </c>
      <c r="N62" s="969">
        <f>N61+H62-K62</f>
        <v/>
      </c>
      <c r="O62" s="969">
        <f>O61+J62-M62</f>
        <v/>
      </c>
      <c r="P62" s="970" t="inlineStr">
        <is>
          <t>5월 송금</t>
        </is>
      </c>
      <c r="Q62" s="971" t="n"/>
      <c r="R62" s="970" t="n"/>
      <c r="S62" s="805">
        <f>S61-M62+J62</f>
        <v/>
      </c>
      <c r="T62" s="698" t="n"/>
      <c r="U62" s="830" t="n"/>
      <c r="V62" s="698" t="n"/>
      <c r="W62" s="698" t="n"/>
      <c r="X62" s="698" t="n"/>
      <c r="Y62" s="698" t="n"/>
      <c r="Z62" s="698" t="n"/>
      <c r="AA62" s="698" t="n"/>
      <c r="AB62" s="698" t="n"/>
      <c r="AC62" s="698" t="n"/>
    </row>
    <row r="63" ht="11.25" customFormat="1" customHeight="1" s="688">
      <c r="A63" s="80" t="n"/>
      <c r="B63" s="965" t="n">
        <v>45796</v>
      </c>
      <c r="C63" s="392" t="inlineStr">
        <is>
          <t>차량 기사비</t>
        </is>
      </c>
      <c r="D63" s="382" t="n"/>
      <c r="E63" s="382" t="n">
        <v>41</v>
      </c>
      <c r="F63" s="389" t="inlineStr">
        <is>
          <t>해외지사비</t>
        </is>
      </c>
      <c r="G63" s="390" t="n"/>
      <c r="H63" s="393" t="n"/>
      <c r="I63" s="394" t="n"/>
      <c r="J63" s="394" t="n"/>
      <c r="K63" s="967" t="n">
        <v>6000</v>
      </c>
      <c r="L63" s="968">
        <f>#REF!</f>
        <v/>
      </c>
      <c r="M63" s="938">
        <f>K63/L63</f>
        <v/>
      </c>
      <c r="N63" s="969">
        <f>N62+H63-K63</f>
        <v/>
      </c>
      <c r="O63" s="969">
        <f>O62+J63-M63</f>
        <v/>
      </c>
      <c r="P63" s="970" t="inlineStr">
        <is>
          <t>5월 송금</t>
        </is>
      </c>
      <c r="Q63" s="971" t="n"/>
      <c r="R63" s="970" t="n"/>
      <c r="S63" s="805">
        <f>S62-M63+J63</f>
        <v/>
      </c>
      <c r="T63" s="698" t="n"/>
      <c r="U63" s="830" t="n"/>
      <c r="V63" s="698" t="n"/>
      <c r="W63" s="698" t="n"/>
      <c r="X63" s="698" t="n"/>
      <c r="Y63" s="698" t="n"/>
      <c r="Z63" s="698" t="n"/>
      <c r="AA63" s="698" t="n"/>
      <c r="AB63" s="698" t="n"/>
      <c r="AC63" s="698" t="n"/>
    </row>
    <row r="64" ht="11.25" customFormat="1" customHeight="1" s="688">
      <c r="A64" s="80" t="n"/>
      <c r="B64" s="965" t="n">
        <v>45796</v>
      </c>
      <c r="C64" s="392" t="inlineStr">
        <is>
          <t>기사 야근비용</t>
        </is>
      </c>
      <c r="D64" s="382" t="n"/>
      <c r="E64" s="382" t="n">
        <v>41</v>
      </c>
      <c r="F64" s="389" t="inlineStr">
        <is>
          <t>해외지사비</t>
        </is>
      </c>
      <c r="G64" s="390" t="n"/>
      <c r="H64" s="393" t="n"/>
      <c r="I64" s="394" t="n"/>
      <c r="J64" s="394" t="n"/>
      <c r="K64" s="967" t="n">
        <v>660</v>
      </c>
      <c r="L64" s="968">
        <f>#REF!</f>
        <v/>
      </c>
      <c r="M64" s="938">
        <f>K64/L64</f>
        <v/>
      </c>
      <c r="N64" s="969">
        <f>N63+H64-K64</f>
        <v/>
      </c>
      <c r="O64" s="969">
        <f>O63+J64-M64</f>
        <v/>
      </c>
      <c r="P64" s="970" t="inlineStr">
        <is>
          <t>5월 송금</t>
        </is>
      </c>
      <c r="Q64" s="971" t="n"/>
      <c r="R64" s="970" t="n"/>
      <c r="S64" s="805">
        <f>S63-M64+J64</f>
        <v/>
      </c>
      <c r="T64" s="698" t="n"/>
      <c r="U64" s="830" t="n"/>
      <c r="V64" s="698" t="n"/>
      <c r="W64" s="698" t="n"/>
      <c r="X64" s="698" t="n"/>
      <c r="Y64" s="698" t="n"/>
      <c r="Z64" s="698" t="n"/>
      <c r="AA64" s="698" t="n"/>
      <c r="AB64" s="698" t="n"/>
      <c r="AC64" s="698" t="n"/>
    </row>
    <row r="65" ht="11.25" customFormat="1" customHeight="1" s="688">
      <c r="A65" s="80" t="n"/>
      <c r="B65" s="965" t="n">
        <v>45796</v>
      </c>
      <c r="C65" s="392" t="inlineStr">
        <is>
          <t>차량 Rent비</t>
        </is>
      </c>
      <c r="D65" s="382" t="n"/>
      <c r="E65" s="382" t="n">
        <v>41</v>
      </c>
      <c r="F65" s="389" t="inlineStr">
        <is>
          <t>지급임차료</t>
        </is>
      </c>
      <c r="G65" s="390" t="inlineStr">
        <is>
          <t>차량임차료</t>
        </is>
      </c>
      <c r="H65" s="393" t="n"/>
      <c r="I65" s="394" t="n"/>
      <c r="J65" s="394" t="n"/>
      <c r="K65" s="967" t="n">
        <v>7000</v>
      </c>
      <c r="L65" s="968">
        <f>#REF!</f>
        <v/>
      </c>
      <c r="M65" s="938">
        <f>K65/L65</f>
        <v/>
      </c>
      <c r="N65" s="969">
        <f>N64+H65-K65</f>
        <v/>
      </c>
      <c r="O65" s="969">
        <f>O64+J65-M65</f>
        <v/>
      </c>
      <c r="P65" s="970" t="inlineStr">
        <is>
          <t>5월 송금</t>
        </is>
      </c>
      <c r="Q65" s="971" t="n"/>
      <c r="R65" s="970" t="n"/>
      <c r="S65" s="805">
        <f>S64-M65+J65</f>
        <v/>
      </c>
      <c r="T65" s="698" t="n"/>
      <c r="U65" s="830" t="n"/>
      <c r="V65" s="698" t="n"/>
      <c r="W65" s="698" t="n"/>
      <c r="X65" s="698" t="n"/>
      <c r="Y65" s="698" t="n"/>
      <c r="Z65" s="698" t="n"/>
      <c r="AA65" s="698" t="n"/>
      <c r="AB65" s="698" t="n"/>
      <c r="AC65" s="698" t="n"/>
    </row>
    <row r="66" ht="11.25" customFormat="1" customHeight="1" s="688">
      <c r="A66" s="80" t="n"/>
      <c r="B66" s="965" t="n">
        <v>45796</v>
      </c>
      <c r="C66" s="392" t="inlineStr">
        <is>
          <t>차량 기사비</t>
        </is>
      </c>
      <c r="D66" s="382" t="n"/>
      <c r="E66" s="382" t="n">
        <v>41</v>
      </c>
      <c r="F66" s="389" t="inlineStr">
        <is>
          <t>해외지사비</t>
        </is>
      </c>
      <c r="G66" s="390" t="n"/>
      <c r="H66" s="393" t="n"/>
      <c r="I66" s="394" t="n"/>
      <c r="J66" s="394" t="n"/>
      <c r="K66" s="967" t="n">
        <v>6000</v>
      </c>
      <c r="L66" s="968">
        <f>#REF!</f>
        <v/>
      </c>
      <c r="M66" s="938">
        <f>K66/L66</f>
        <v/>
      </c>
      <c r="N66" s="969">
        <f>N65+H66-K66</f>
        <v/>
      </c>
      <c r="O66" s="969">
        <f>O65+J66-M66</f>
        <v/>
      </c>
      <c r="P66" s="970" t="inlineStr">
        <is>
          <t>5월 송금</t>
        </is>
      </c>
      <c r="Q66" s="971" t="n"/>
      <c r="R66" s="970" t="n"/>
      <c r="S66" s="805">
        <f>S65-M66+J66</f>
        <v/>
      </c>
      <c r="T66" s="698" t="n"/>
      <c r="U66" s="830" t="n"/>
      <c r="V66" s="698" t="n"/>
      <c r="W66" s="698" t="n"/>
      <c r="X66" s="698" t="n"/>
      <c r="Y66" s="698" t="n"/>
      <c r="Z66" s="698" t="n"/>
      <c r="AA66" s="698" t="n"/>
      <c r="AB66" s="698" t="n"/>
      <c r="AC66" s="698" t="n"/>
    </row>
    <row r="67" ht="11.25" customFormat="1" customHeight="1" s="688">
      <c r="A67" s="80" t="n"/>
      <c r="B67" s="965" t="n">
        <v>45796</v>
      </c>
      <c r="C67" s="392" t="inlineStr">
        <is>
          <t>기사 야근비용</t>
        </is>
      </c>
      <c r="D67" s="382" t="n"/>
      <c r="E67" s="382" t="n">
        <v>41</v>
      </c>
      <c r="F67" s="389" t="inlineStr">
        <is>
          <t>해외지사비</t>
        </is>
      </c>
      <c r="G67" s="390" t="n"/>
      <c r="H67" s="393" t="n"/>
      <c r="I67" s="394" t="n"/>
      <c r="J67" s="394" t="n"/>
      <c r="K67" s="967" t="n">
        <v>140</v>
      </c>
      <c r="L67" s="968">
        <f>#REF!</f>
        <v/>
      </c>
      <c r="M67" s="938">
        <f>K67/L67</f>
        <v/>
      </c>
      <c r="N67" s="969">
        <f>N66+H67-K67</f>
        <v/>
      </c>
      <c r="O67" s="969">
        <f>O66+J67-M67</f>
        <v/>
      </c>
      <c r="P67" s="970" t="inlineStr">
        <is>
          <t>5월 송금</t>
        </is>
      </c>
      <c r="Q67" s="971" t="n"/>
      <c r="R67" s="966" t="n"/>
      <c r="S67" s="805">
        <f>S66-M67+J67</f>
        <v/>
      </c>
      <c r="T67" s="698" t="n"/>
      <c r="U67" s="830" t="n"/>
      <c r="V67" s="698" t="n"/>
      <c r="W67" s="698" t="n"/>
      <c r="X67" s="698" t="n"/>
      <c r="Y67" s="698" t="n"/>
      <c r="Z67" s="698" t="n"/>
      <c r="AA67" s="698" t="n"/>
      <c r="AB67" s="698" t="n"/>
      <c r="AC67" s="698" t="n"/>
    </row>
    <row r="68" ht="11.25" customFormat="1" customHeight="1" s="688">
      <c r="A68" s="80" t="n"/>
      <c r="B68" s="965" t="n">
        <v>45796</v>
      </c>
      <c r="C68" s="392" t="inlineStr">
        <is>
          <t>차량 Rent비</t>
        </is>
      </c>
      <c r="D68" s="382" t="n"/>
      <c r="E68" s="382" t="n">
        <v>41</v>
      </c>
      <c r="F68" s="389" t="inlineStr">
        <is>
          <t>지급임차료</t>
        </is>
      </c>
      <c r="G68" s="390" t="inlineStr">
        <is>
          <t>차량임차료</t>
        </is>
      </c>
      <c r="H68" s="393" t="n"/>
      <c r="I68" s="394" t="n"/>
      <c r="J68" s="394" t="n"/>
      <c r="K68" s="973" t="n">
        <v>3096</v>
      </c>
      <c r="L68" s="968">
        <f>#REF!</f>
        <v/>
      </c>
      <c r="M68" s="938">
        <f>K68/L68</f>
        <v/>
      </c>
      <c r="N68" s="969">
        <f>N67+H68-K68</f>
        <v/>
      </c>
      <c r="O68" s="969">
        <f>O67+J68-M68</f>
        <v/>
      </c>
      <c r="P68" s="970" t="inlineStr">
        <is>
          <t>5월 송금</t>
        </is>
      </c>
      <c r="Q68" s="971" t="n"/>
      <c r="R68" s="966" t="n"/>
      <c r="S68" s="805">
        <f>S67-M68+J68</f>
        <v/>
      </c>
      <c r="T68" s="698" t="n"/>
      <c r="U68" s="830" t="n"/>
      <c r="V68" s="698" t="n"/>
      <c r="W68" s="698" t="n"/>
      <c r="X68" s="698" t="n"/>
      <c r="Y68" s="698" t="n"/>
      <c r="Z68" s="698" t="n"/>
      <c r="AA68" s="698" t="n"/>
      <c r="AB68" s="698" t="n"/>
      <c r="AC68" s="698" t="n"/>
    </row>
    <row r="69" ht="11.25" customFormat="1" customHeight="1" s="688">
      <c r="A69" s="80" t="n"/>
      <c r="B69" s="965" t="n">
        <v>45796</v>
      </c>
      <c r="C69" s="392" t="inlineStr">
        <is>
          <t>차량 기사비</t>
        </is>
      </c>
      <c r="D69" s="382" t="n"/>
      <c r="E69" s="382" t="n">
        <v>41</v>
      </c>
      <c r="F69" s="389" t="inlineStr">
        <is>
          <t>해외지사비</t>
        </is>
      </c>
      <c r="G69" s="390" t="n"/>
      <c r="H69" s="383" t="n"/>
      <c r="I69" s="972" t="n"/>
      <c r="J69" s="383" t="n"/>
      <c r="K69" s="974" t="n">
        <v>3096</v>
      </c>
      <c r="L69" s="968">
        <f>#REF!</f>
        <v/>
      </c>
      <c r="M69" s="938">
        <f>K69/L69</f>
        <v/>
      </c>
      <c r="N69" s="969">
        <f>N68+H69-K69</f>
        <v/>
      </c>
      <c r="O69" s="969">
        <f>O68+J69-M69</f>
        <v/>
      </c>
      <c r="P69" s="970" t="inlineStr">
        <is>
          <t>5월 송금</t>
        </is>
      </c>
      <c r="Q69" s="971" t="n"/>
      <c r="R69" s="966" t="n"/>
      <c r="S69" s="805">
        <f>S68-M69+J69</f>
        <v/>
      </c>
      <c r="T69" s="698" t="n"/>
      <c r="U69" s="830" t="n"/>
      <c r="V69" s="698" t="n"/>
      <c r="W69" s="698" t="n"/>
      <c r="X69" s="698" t="n"/>
      <c r="Y69" s="698" t="n"/>
      <c r="Z69" s="698" t="n"/>
      <c r="AA69" s="698" t="n"/>
      <c r="AB69" s="698" t="n"/>
      <c r="AC69" s="698" t="n"/>
    </row>
    <row r="70" ht="11.25" customFormat="1" customHeight="1" s="688">
      <c r="A70" s="80" t="n"/>
      <c r="B70" s="965" t="n">
        <v>45796</v>
      </c>
      <c r="C70" s="392" t="inlineStr">
        <is>
          <t>은행수수료</t>
        </is>
      </c>
      <c r="D70" s="382" t="n"/>
      <c r="E70" s="382" t="n">
        <v>42</v>
      </c>
      <c r="F70" s="389" t="inlineStr">
        <is>
          <t>해외지사비</t>
        </is>
      </c>
      <c r="G70" s="390" t="n"/>
      <c r="H70" s="383" t="n"/>
      <c r="I70" s="972" t="n"/>
      <c r="J70" s="383" t="n"/>
      <c r="K70" s="967" t="n">
        <v>7.2</v>
      </c>
      <c r="L70" s="968">
        <f>#REF!</f>
        <v/>
      </c>
      <c r="M70" s="938">
        <f>K70/L70</f>
        <v/>
      </c>
      <c r="N70" s="969">
        <f>N69+H70-K70</f>
        <v/>
      </c>
      <c r="O70" s="969">
        <f>O69+J70-M70</f>
        <v/>
      </c>
      <c r="P70" s="970" t="inlineStr">
        <is>
          <t>5월 송금</t>
        </is>
      </c>
      <c r="Q70" s="971" t="n"/>
      <c r="R70" s="966" t="n"/>
      <c r="S70" s="805">
        <f>S69-M70+J70</f>
        <v/>
      </c>
      <c r="T70" s="698" t="n"/>
      <c r="U70" s="830" t="n"/>
      <c r="V70" s="698" t="n"/>
      <c r="W70" s="698" t="n"/>
      <c r="X70" s="698" t="n"/>
      <c r="Y70" s="698" t="n"/>
      <c r="Z70" s="698" t="n"/>
      <c r="AA70" s="698" t="n"/>
      <c r="AB70" s="698" t="n"/>
      <c r="AC70" s="698" t="n"/>
    </row>
    <row r="71" ht="11.25" customFormat="1" customHeight="1" s="688">
      <c r="A71" s="80" t="n"/>
      <c r="B71" s="965" t="n">
        <v>45797</v>
      </c>
      <c r="C71" s="358" t="inlineStr">
        <is>
          <t>업무추진비</t>
        </is>
      </c>
      <c r="D71" s="966" t="inlineStr">
        <is>
          <t>김명관</t>
        </is>
      </c>
      <c r="E71" s="382" t="n">
        <v>43</v>
      </c>
      <c r="F71" s="389" t="inlineStr">
        <is>
          <t>업무추진비</t>
        </is>
      </c>
      <c r="G71" s="390" t="inlineStr">
        <is>
          <t>일반</t>
        </is>
      </c>
      <c r="H71" s="383" t="n"/>
      <c r="I71" s="972" t="n"/>
      <c r="J71" s="383" t="n"/>
      <c r="K71" s="967" t="n">
        <v>14265.08</v>
      </c>
      <c r="L71" s="968">
        <f>#REF!</f>
        <v/>
      </c>
      <c r="M71" s="938">
        <f>K71/L71</f>
        <v/>
      </c>
      <c r="N71" s="969">
        <f>N70+H71-K71</f>
        <v/>
      </c>
      <c r="O71" s="969">
        <f>O70+J71-M71</f>
        <v/>
      </c>
      <c r="P71" s="970" t="inlineStr">
        <is>
          <t>5월 송금</t>
        </is>
      </c>
      <c r="Q71" s="971" t="n"/>
      <c r="R71" s="966" t="n"/>
      <c r="S71" s="805">
        <f>S70-M71+J71</f>
        <v/>
      </c>
      <c r="T71" s="698" t="n"/>
      <c r="U71" s="830" t="n"/>
      <c r="V71" s="698" t="n"/>
      <c r="W71" s="698" t="n"/>
      <c r="X71" s="698" t="n"/>
      <c r="Y71" s="698" t="n"/>
      <c r="Z71" s="698" t="n"/>
      <c r="AA71" s="698" t="n"/>
      <c r="AB71" s="698" t="n"/>
      <c r="AC71" s="698" t="n"/>
    </row>
    <row r="72" ht="11.25" customFormat="1" customHeight="1" s="688">
      <c r="A72" s="80" t="n"/>
      <c r="B72" s="965" t="n">
        <v>45797</v>
      </c>
      <c r="C72" s="358" t="inlineStr">
        <is>
          <t>출장비</t>
        </is>
      </c>
      <c r="D72" s="966" t="inlineStr">
        <is>
          <t>김명관</t>
        </is>
      </c>
      <c r="E72" s="382" t="n">
        <v>44</v>
      </c>
      <c r="F72" s="389" t="inlineStr">
        <is>
          <t>여비교통비</t>
        </is>
      </c>
      <c r="G72" s="390" t="inlineStr">
        <is>
          <t>해외</t>
        </is>
      </c>
      <c r="H72" s="383" t="n"/>
      <c r="I72" s="972" t="n"/>
      <c r="J72" s="383" t="n"/>
      <c r="K72" s="967" t="n">
        <v>11800.94</v>
      </c>
      <c r="L72" s="968">
        <f>#REF!</f>
        <v/>
      </c>
      <c r="M72" s="938">
        <f>K72/L72</f>
        <v/>
      </c>
      <c r="N72" s="969">
        <f>N71+H72-K72</f>
        <v/>
      </c>
      <c r="O72" s="969">
        <f>O71+J72-M72</f>
        <v/>
      </c>
      <c r="P72" s="970" t="inlineStr">
        <is>
          <t>5월 송금</t>
        </is>
      </c>
      <c r="Q72" s="971" t="n"/>
      <c r="R72" s="966" t="n"/>
      <c r="S72" s="805">
        <f>S71-M72+J72</f>
        <v/>
      </c>
      <c r="T72" s="698" t="n"/>
      <c r="U72" s="830" t="n"/>
      <c r="V72" s="698" t="n"/>
      <c r="W72" s="698" t="n"/>
      <c r="X72" s="698" t="n"/>
      <c r="Y72" s="698" t="n"/>
      <c r="Z72" s="698" t="n"/>
      <c r="AA72" s="698" t="n"/>
      <c r="AB72" s="698" t="n"/>
      <c r="AC72" s="698" t="n"/>
    </row>
    <row r="73" ht="11.25" customFormat="1" customHeight="1" s="688">
      <c r="A73" s="80" t="n"/>
      <c r="B73" s="965" t="n">
        <v>45797</v>
      </c>
      <c r="C73" s="358" t="inlineStr">
        <is>
          <t>시내교통비</t>
        </is>
      </c>
      <c r="D73" s="966" t="inlineStr">
        <is>
          <t>김명관</t>
        </is>
      </c>
      <c r="E73" s="382" t="n">
        <v>45</v>
      </c>
      <c r="F73" s="389" t="inlineStr">
        <is>
          <t>여비교통비</t>
        </is>
      </c>
      <c r="G73" s="390" t="inlineStr">
        <is>
          <t>해외</t>
        </is>
      </c>
      <c r="H73" s="383" t="n"/>
      <c r="I73" s="972" t="n"/>
      <c r="J73" s="383" t="n"/>
      <c r="K73" s="967" t="n">
        <v>35.74</v>
      </c>
      <c r="L73" s="968">
        <f>#REF!</f>
        <v/>
      </c>
      <c r="M73" s="938">
        <f>K73/L73</f>
        <v/>
      </c>
      <c r="N73" s="969">
        <f>N72+H73-K73</f>
        <v/>
      </c>
      <c r="O73" s="969">
        <f>O72+J73-M73</f>
        <v/>
      </c>
      <c r="P73" s="970" t="inlineStr">
        <is>
          <t>5월 송금</t>
        </is>
      </c>
      <c r="Q73" s="971" t="n"/>
      <c r="R73" s="966" t="n"/>
      <c r="S73" s="805">
        <f>S72-M73+J73</f>
        <v/>
      </c>
      <c r="T73" s="698" t="n"/>
      <c r="U73" s="830" t="n"/>
      <c r="V73" s="698" t="n"/>
      <c r="W73" s="698" t="n"/>
      <c r="X73" s="698" t="n"/>
      <c r="Y73" s="698" t="n"/>
      <c r="Z73" s="698" t="n"/>
      <c r="AA73" s="698" t="n"/>
      <c r="AB73" s="698" t="n"/>
      <c r="AC73" s="698" t="n"/>
    </row>
    <row r="74" ht="11.25" customFormat="1" customHeight="1" s="688">
      <c r="A74" s="80" t="n"/>
      <c r="B74" s="965" t="n">
        <v>45797</v>
      </c>
      <c r="C74" s="358" t="inlineStr">
        <is>
          <t>통신비</t>
        </is>
      </c>
      <c r="D74" s="966" t="inlineStr">
        <is>
          <t>김명관</t>
        </is>
      </c>
      <c r="E74" s="382" t="n">
        <v>46</v>
      </c>
      <c r="F74" s="389" t="inlineStr">
        <is>
          <t>통신비</t>
        </is>
      </c>
      <c r="G74" s="390" t="inlineStr">
        <is>
          <t>기타</t>
        </is>
      </c>
      <c r="H74" s="383" t="n"/>
      <c r="I74" s="972" t="n"/>
      <c r="J74" s="383" t="n"/>
      <c r="K74" s="967" t="n">
        <v>300</v>
      </c>
      <c r="L74" s="968">
        <f>#REF!</f>
        <v/>
      </c>
      <c r="M74" s="938">
        <f>K74/L74</f>
        <v/>
      </c>
      <c r="N74" s="969">
        <f>N73+H74-K74</f>
        <v/>
      </c>
      <c r="O74" s="969">
        <f>O73+J74-M74</f>
        <v/>
      </c>
      <c r="P74" s="970" t="inlineStr">
        <is>
          <t>5월 송금</t>
        </is>
      </c>
      <c r="Q74" s="971" t="n"/>
      <c r="R74" s="966" t="n"/>
      <c r="S74" s="805">
        <f>S73-M74+J74</f>
        <v/>
      </c>
      <c r="T74" s="698" t="n"/>
      <c r="U74" s="830" t="n"/>
      <c r="V74" s="698" t="n"/>
      <c r="W74" s="698" t="n"/>
      <c r="X74" s="698" t="n"/>
      <c r="Y74" s="698" t="n"/>
      <c r="Z74" s="698" t="n"/>
      <c r="AA74" s="698" t="n"/>
      <c r="AB74" s="698" t="n"/>
      <c r="AC74" s="698" t="n"/>
    </row>
    <row r="75" ht="11.25" customFormat="1" customHeight="1" s="688">
      <c r="A75" s="80" t="n"/>
      <c r="B75" s="965" t="n">
        <v>45797</v>
      </c>
      <c r="C75" s="392" t="inlineStr">
        <is>
          <t>은행수수료</t>
        </is>
      </c>
      <c r="D75" s="966" t="inlineStr">
        <is>
          <t>김명관</t>
        </is>
      </c>
      <c r="E75" s="382" t="n">
        <v>47</v>
      </c>
      <c r="F75" s="389" t="inlineStr">
        <is>
          <t>해외지사비</t>
        </is>
      </c>
      <c r="G75" s="390" t="n"/>
      <c r="H75" s="383" t="n"/>
      <c r="I75" s="972" t="n"/>
      <c r="J75" s="383" t="n"/>
      <c r="K75" s="967" t="n">
        <v>7.2</v>
      </c>
      <c r="L75" s="968">
        <f>#REF!</f>
        <v/>
      </c>
      <c r="M75" s="938">
        <f>K75/L75</f>
        <v/>
      </c>
      <c r="N75" s="969">
        <f>N74+H75-K75</f>
        <v/>
      </c>
      <c r="O75" s="969">
        <f>O74+J75-M75</f>
        <v/>
      </c>
      <c r="P75" s="970" t="inlineStr">
        <is>
          <t>5월 송금</t>
        </is>
      </c>
      <c r="Q75" s="971" t="n"/>
      <c r="R75" s="966" t="n"/>
      <c r="S75" s="805">
        <f>S74-M75+J75</f>
        <v/>
      </c>
      <c r="T75" s="698" t="n"/>
      <c r="U75" s="830" t="n"/>
      <c r="V75" s="698" t="n"/>
      <c r="W75" s="698" t="n"/>
      <c r="X75" s="698" t="n"/>
      <c r="Y75" s="698" t="n"/>
      <c r="Z75" s="698" t="n"/>
      <c r="AA75" s="698" t="n"/>
      <c r="AB75" s="698" t="n"/>
      <c r="AC75" s="698" t="n"/>
    </row>
    <row r="76" ht="11.25" customFormat="1" customHeight="1" s="688">
      <c r="A76" s="80" t="n"/>
      <c r="B76" s="965" t="n">
        <v>45797</v>
      </c>
      <c r="C76" s="358" t="inlineStr">
        <is>
          <t>사무실 운영비(24년 회계심사비)</t>
        </is>
      </c>
      <c r="D76" s="382" t="n"/>
      <c r="E76" s="398" t="n">
        <v>48</v>
      </c>
      <c r="F76" s="389" t="inlineStr">
        <is>
          <t>해외지사비</t>
        </is>
      </c>
      <c r="G76" s="390" t="n"/>
      <c r="H76" s="383" t="n"/>
      <c r="I76" s="972" t="n"/>
      <c r="J76" s="383" t="n"/>
      <c r="K76" s="973" t="n">
        <v>9010</v>
      </c>
      <c r="L76" s="968">
        <f>#REF!</f>
        <v/>
      </c>
      <c r="M76" s="938">
        <f>K76/L76</f>
        <v/>
      </c>
      <c r="N76" s="969">
        <f>N75+H76-K76</f>
        <v/>
      </c>
      <c r="O76" s="969">
        <f>O75+J76-M76</f>
        <v/>
      </c>
      <c r="P76" s="970" t="inlineStr">
        <is>
          <t>5월 송금</t>
        </is>
      </c>
      <c r="Q76" s="971" t="n"/>
      <c r="R76" s="358" t="inlineStr">
        <is>
          <t>24년 회계심사비</t>
        </is>
      </c>
      <c r="S76" s="805">
        <f>S75-M76+J76</f>
        <v/>
      </c>
      <c r="T76" s="698" t="n"/>
      <c r="U76" s="830" t="n"/>
      <c r="V76" s="698" t="n"/>
      <c r="W76" s="698" t="n"/>
      <c r="X76" s="698" t="n"/>
      <c r="Y76" s="698" t="n"/>
      <c r="Z76" s="698" t="n"/>
      <c r="AA76" s="698" t="n"/>
      <c r="AB76" s="698" t="n"/>
      <c r="AC76" s="698" t="n"/>
    </row>
    <row r="77" ht="11.25" customFormat="1" customHeight="1" s="688">
      <c r="A77" s="80" t="n"/>
      <c r="B77" s="965" t="n">
        <v>45797</v>
      </c>
      <c r="C77" s="392" t="inlineStr">
        <is>
          <t>은행수수료</t>
        </is>
      </c>
      <c r="D77" s="382" t="n"/>
      <c r="E77" s="398" t="n">
        <v>49</v>
      </c>
      <c r="F77" s="389" t="inlineStr">
        <is>
          <t>해외지사비</t>
        </is>
      </c>
      <c r="G77" s="390" t="n"/>
      <c r="H77" s="383" t="n"/>
      <c r="I77" s="972" t="n"/>
      <c r="J77" s="383" t="n"/>
      <c r="K77" s="973" t="n">
        <v>3.6</v>
      </c>
      <c r="L77" s="968">
        <f>#REF!</f>
        <v/>
      </c>
      <c r="M77" s="938">
        <f>K77/L77</f>
        <v/>
      </c>
      <c r="N77" s="969">
        <f>N76+H77-K77</f>
        <v/>
      </c>
      <c r="O77" s="969">
        <f>O76+J77-M77</f>
        <v/>
      </c>
      <c r="P77" s="970" t="inlineStr">
        <is>
          <t>5월 송금</t>
        </is>
      </c>
      <c r="Q77" s="971" t="n"/>
      <c r="R77" s="358" t="n"/>
      <c r="S77" s="805">
        <f>S76-M77+J77</f>
        <v/>
      </c>
      <c r="T77" s="698" t="n"/>
      <c r="U77" s="830" t="n"/>
      <c r="V77" s="698" t="n"/>
      <c r="W77" s="698" t="n"/>
      <c r="X77" s="698" t="n"/>
      <c r="Y77" s="698" t="n"/>
      <c r="Z77" s="698" t="n"/>
      <c r="AA77" s="698" t="n"/>
      <c r="AB77" s="698" t="n"/>
      <c r="AC77" s="698" t="n"/>
    </row>
    <row r="78" ht="11.25" customFormat="1" customHeight="1" s="688">
      <c r="A78" s="80" t="n"/>
      <c r="B78" s="965" t="n">
        <v>45800</v>
      </c>
      <c r="C78" s="358" t="inlineStr">
        <is>
          <t>사무실 운영비(신한은행 이체 프로그램 비용)</t>
        </is>
      </c>
      <c r="D78" s="382" t="n"/>
      <c r="E78" s="398" t="n">
        <v>50</v>
      </c>
      <c r="F78" s="389" t="inlineStr">
        <is>
          <t>해외지사비</t>
        </is>
      </c>
      <c r="G78" s="390" t="n"/>
      <c r="H78" s="383" t="n"/>
      <c r="I78" s="972" t="n"/>
      <c r="J78" s="383" t="n"/>
      <c r="K78" s="973" t="n">
        <v>80</v>
      </c>
      <c r="L78" s="968">
        <f>#REF!</f>
        <v/>
      </c>
      <c r="M78" s="938">
        <f>K78/L78</f>
        <v/>
      </c>
      <c r="N78" s="969">
        <f>N77+H78-K78</f>
        <v/>
      </c>
      <c r="O78" s="969">
        <f>O77+J78-M78</f>
        <v/>
      </c>
      <c r="P78" s="970" t="inlineStr">
        <is>
          <t>5월 송금</t>
        </is>
      </c>
      <c r="Q78" s="971" t="n"/>
      <c r="R78" s="358" t="inlineStr">
        <is>
          <t>신한은행 이체 프로그램 비용</t>
        </is>
      </c>
      <c r="S78" s="805">
        <f>S77-M78+J78</f>
        <v/>
      </c>
      <c r="T78" s="698" t="n"/>
      <c r="U78" s="830" t="n"/>
      <c r="V78" s="698" t="n"/>
      <c r="W78" s="698" t="n"/>
      <c r="X78" s="698" t="n"/>
      <c r="Y78" s="698" t="n"/>
      <c r="Z78" s="698" t="n"/>
      <c r="AA78" s="698" t="n"/>
      <c r="AB78" s="698" t="n"/>
      <c r="AC78" s="698" t="n"/>
    </row>
    <row r="79" ht="11.25" customFormat="1" customHeight="1" s="688">
      <c r="A79" s="80" t="n"/>
      <c r="B79" s="965" t="n">
        <v>45800</v>
      </c>
      <c r="C79" s="358" t="inlineStr">
        <is>
          <t>주재원 주재수당</t>
        </is>
      </c>
      <c r="D79" s="382" t="n"/>
      <c r="E79" s="382" t="n">
        <v>51</v>
      </c>
      <c r="F79" s="389" t="inlineStr">
        <is>
          <t>해외지사비</t>
        </is>
      </c>
      <c r="G79" s="390" t="n"/>
      <c r="H79" s="383" t="n"/>
      <c r="I79" s="972" t="n"/>
      <c r="J79" s="383" t="n"/>
      <c r="K79" s="975" t="n">
        <v>16000</v>
      </c>
      <c r="L79" s="968">
        <f>#REF!</f>
        <v/>
      </c>
      <c r="M79" s="938">
        <f>K79/L79</f>
        <v/>
      </c>
      <c r="N79" s="969">
        <f>N78+H79-K79</f>
        <v/>
      </c>
      <c r="O79" s="969">
        <f>O78+J79-M79</f>
        <v/>
      </c>
      <c r="P79" s="970" t="inlineStr">
        <is>
          <t>5월 송금</t>
        </is>
      </c>
      <c r="Q79" s="971" t="n"/>
      <c r="R79" s="637" t="inlineStr">
        <is>
          <t>김명관
수석</t>
        </is>
      </c>
      <c r="S79" s="805">
        <f>S78-M79+J79</f>
        <v/>
      </c>
      <c r="T79" s="698" t="n"/>
      <c r="U79" s="830" t="n"/>
      <c r="V79" s="698" t="n"/>
      <c r="W79" s="698" t="n"/>
      <c r="X79" s="698" t="n"/>
      <c r="Y79" s="698" t="n"/>
      <c r="Z79" s="698" t="n"/>
      <c r="AA79" s="698" t="n"/>
      <c r="AB79" s="698" t="n"/>
      <c r="AC79" s="698" t="n"/>
    </row>
    <row r="80" ht="11.25" customFormat="1" customHeight="1" s="688">
      <c r="A80" s="80" t="n"/>
      <c r="B80" s="965" t="n">
        <v>45800</v>
      </c>
      <c r="C80" s="358" t="inlineStr">
        <is>
          <t>주재원 주택수당</t>
        </is>
      </c>
      <c r="D80" s="382" t="n"/>
      <c r="E80" s="382" t="n">
        <v>51</v>
      </c>
      <c r="F80" s="389" t="inlineStr">
        <is>
          <t>해외지사비</t>
        </is>
      </c>
      <c r="G80" s="390" t="n"/>
      <c r="H80" s="383" t="n"/>
      <c r="I80" s="972" t="n"/>
      <c r="J80" s="383" t="n"/>
      <c r="K80" s="975" t="n">
        <v>24000</v>
      </c>
      <c r="L80" s="968">
        <f>#REF!</f>
        <v/>
      </c>
      <c r="M80" s="938">
        <f>K80/L80</f>
        <v/>
      </c>
      <c r="N80" s="969">
        <f>N79+H80-K80</f>
        <v/>
      </c>
      <c r="O80" s="969">
        <f>O79+J80-M80</f>
        <v/>
      </c>
      <c r="P80" s="970" t="inlineStr">
        <is>
          <t>5월 송금</t>
        </is>
      </c>
      <c r="Q80" s="971" t="n"/>
      <c r="R80" s="976" t="n"/>
      <c r="S80" s="805">
        <f>S79-M80+J80</f>
        <v/>
      </c>
      <c r="T80" s="698" t="n"/>
      <c r="U80" s="830" t="n"/>
      <c r="V80" s="698" t="n"/>
      <c r="W80" s="698" t="n"/>
      <c r="X80" s="698" t="n"/>
      <c r="Y80" s="698" t="n"/>
      <c r="Z80" s="698" t="n"/>
      <c r="AA80" s="698" t="n"/>
      <c r="AB80" s="698" t="n"/>
      <c r="AC80" s="698" t="n"/>
    </row>
    <row r="81" ht="11.25" customFormat="1" customHeight="1" s="688">
      <c r="A81" s="80" t="n"/>
      <c r="B81" s="965" t="n">
        <v>45800</v>
      </c>
      <c r="C81" s="358" t="inlineStr">
        <is>
          <t>보험(주재원/현채인)</t>
        </is>
      </c>
      <c r="D81" s="382" t="n"/>
      <c r="E81" s="382" t="n">
        <v>51</v>
      </c>
      <c r="F81" s="389" t="inlineStr">
        <is>
          <t>해외지사비</t>
        </is>
      </c>
      <c r="G81" s="390" t="n"/>
      <c r="H81" s="383" t="n"/>
      <c r="I81" s="972" t="n"/>
      <c r="J81" s="383" t="n"/>
      <c r="K81" s="975" t="n">
        <v>9305.189999999999</v>
      </c>
      <c r="L81" s="968">
        <f>#REF!</f>
        <v/>
      </c>
      <c r="M81" s="938">
        <f>K81/L81</f>
        <v/>
      </c>
      <c r="N81" s="969">
        <f>N80+H81-K81</f>
        <v/>
      </c>
      <c r="O81" s="969">
        <f>O80+J81-M81</f>
        <v/>
      </c>
      <c r="P81" s="970" t="inlineStr">
        <is>
          <t>5월 송금</t>
        </is>
      </c>
      <c r="Q81" s="971" t="n"/>
      <c r="R81" s="976" t="n"/>
      <c r="S81" s="805">
        <f>S80-M81+J81</f>
        <v/>
      </c>
      <c r="T81" s="698" t="n"/>
      <c r="U81" s="830" t="n"/>
      <c r="V81" s="698" t="n"/>
      <c r="W81" s="698" t="n"/>
      <c r="X81" s="698" t="n"/>
      <c r="Y81" s="698" t="n"/>
      <c r="Z81" s="698" t="n"/>
      <c r="AA81" s="698" t="n"/>
      <c r="AB81" s="698" t="n"/>
      <c r="AC81" s="698" t="n"/>
    </row>
    <row r="82" ht="11.25" customFormat="1" customHeight="1" s="688">
      <c r="A82" s="80" t="n"/>
      <c r="B82" s="965" t="n">
        <v>45800</v>
      </c>
      <c r="C82" s="358" t="inlineStr">
        <is>
          <t>세금(주재원/현채인)</t>
        </is>
      </c>
      <c r="D82" s="382" t="n"/>
      <c r="E82" s="382" t="n">
        <v>51</v>
      </c>
      <c r="F82" s="389" t="inlineStr">
        <is>
          <t>해외지사비</t>
        </is>
      </c>
      <c r="G82" s="390" t="n"/>
      <c r="H82" s="383" t="n"/>
      <c r="I82" s="972" t="n"/>
      <c r="J82" s="383" t="n"/>
      <c r="K82" s="975" t="n">
        <v>4468.799999999999</v>
      </c>
      <c r="L82" s="968">
        <f>#REF!</f>
        <v/>
      </c>
      <c r="M82" s="938">
        <f>K82/L82</f>
        <v/>
      </c>
      <c r="N82" s="969">
        <f>N81+H82-K82</f>
        <v/>
      </c>
      <c r="O82" s="969">
        <f>O81+J82-M82</f>
        <v/>
      </c>
      <c r="P82" s="970" t="inlineStr">
        <is>
          <t>5월 송금</t>
        </is>
      </c>
      <c r="Q82" s="971" t="n"/>
      <c r="R82" s="976" t="n"/>
      <c r="S82" s="805">
        <f>S81-M82+J82</f>
        <v/>
      </c>
      <c r="T82" s="698" t="n"/>
      <c r="U82" s="830" t="n"/>
      <c r="V82" s="698" t="n"/>
      <c r="W82" s="698" t="n"/>
      <c r="X82" s="698" t="n"/>
      <c r="Y82" s="698" t="n"/>
      <c r="Z82" s="698" t="n"/>
      <c r="AA82" s="698" t="n"/>
      <c r="AB82" s="698" t="n"/>
      <c r="AC82" s="698" t="n"/>
    </row>
    <row r="83" ht="11.25" customFormat="1" customHeight="1" s="688">
      <c r="A83" s="80" t="n"/>
      <c r="B83" s="965" t="n">
        <v>45800</v>
      </c>
      <c r="C83" s="358" t="inlineStr">
        <is>
          <t>대행수수료</t>
        </is>
      </c>
      <c r="D83" s="382" t="n"/>
      <c r="E83" s="382" t="n">
        <v>51</v>
      </c>
      <c r="F83" s="389" t="inlineStr">
        <is>
          <t>해외지사비</t>
        </is>
      </c>
      <c r="G83" s="390" t="n"/>
      <c r="H83" s="383" t="n"/>
      <c r="I83" s="972" t="n"/>
      <c r="J83" s="383" t="n"/>
      <c r="K83" s="975" t="n">
        <v>300</v>
      </c>
      <c r="L83" s="968">
        <f>#REF!</f>
        <v/>
      </c>
      <c r="M83" s="938">
        <f>K83/L83</f>
        <v/>
      </c>
      <c r="N83" s="969">
        <f>N82+H83-K83</f>
        <v/>
      </c>
      <c r="O83" s="969">
        <f>O82+J83-M83</f>
        <v/>
      </c>
      <c r="P83" s="970" t="inlineStr">
        <is>
          <t>5월 송금</t>
        </is>
      </c>
      <c r="Q83" s="971" t="n"/>
      <c r="R83" s="977" t="n"/>
      <c r="S83" s="805">
        <f>S82-M83+J83</f>
        <v/>
      </c>
      <c r="T83" s="698" t="n"/>
      <c r="U83" s="830" t="n"/>
      <c r="V83" s="698" t="n"/>
      <c r="W83" s="698" t="n"/>
      <c r="X83" s="698" t="n"/>
      <c r="Y83" s="698" t="n"/>
      <c r="Z83" s="698" t="n"/>
      <c r="AA83" s="698" t="n"/>
      <c r="AB83" s="698" t="n"/>
      <c r="AC83" s="698" t="n"/>
    </row>
    <row r="84" ht="11.25" customFormat="1" customHeight="1" s="688">
      <c r="A84" s="80" t="n"/>
      <c r="B84" s="965" t="n">
        <v>45800</v>
      </c>
      <c r="C84" s="358" t="inlineStr">
        <is>
          <t>주재원 주재수당</t>
        </is>
      </c>
      <c r="D84" s="382" t="n"/>
      <c r="E84" s="382" t="n">
        <v>51</v>
      </c>
      <c r="F84" s="389" t="inlineStr">
        <is>
          <t>해외지사비</t>
        </is>
      </c>
      <c r="G84" s="390" t="n"/>
      <c r="H84" s="383" t="n"/>
      <c r="I84" s="972" t="n"/>
      <c r="J84" s="383" t="n"/>
      <c r="K84" s="975" t="n">
        <v>16000</v>
      </c>
      <c r="L84" s="968">
        <f>#REF!</f>
        <v/>
      </c>
      <c r="M84" s="938">
        <f>K84/L84</f>
        <v/>
      </c>
      <c r="N84" s="969">
        <f>N83+H84-K84</f>
        <v/>
      </c>
      <c r="O84" s="969">
        <f>O83+J84-M84</f>
        <v/>
      </c>
      <c r="P84" s="970" t="inlineStr">
        <is>
          <t>5월 송금</t>
        </is>
      </c>
      <c r="Q84" s="971" t="n"/>
      <c r="R84" s="637" t="inlineStr">
        <is>
          <t>신순연
책임</t>
        </is>
      </c>
      <c r="S84" s="805">
        <f>S83-M84+J84</f>
        <v/>
      </c>
      <c r="T84" s="698" t="n"/>
      <c r="U84" s="830" t="n"/>
      <c r="V84" s="698" t="n"/>
      <c r="W84" s="698" t="n"/>
      <c r="X84" s="698" t="n"/>
      <c r="Y84" s="698" t="n"/>
      <c r="Z84" s="698" t="n"/>
      <c r="AA84" s="698" t="n"/>
      <c r="AB84" s="698" t="n"/>
      <c r="AC84" s="698" t="n"/>
    </row>
    <row r="85" ht="11.25" customFormat="1" customHeight="1" s="688">
      <c r="A85" s="80" t="n"/>
      <c r="B85" s="965" t="n">
        <v>45800</v>
      </c>
      <c r="C85" s="358" t="inlineStr">
        <is>
          <t>주재원 주택수당</t>
        </is>
      </c>
      <c r="D85" s="382" t="n"/>
      <c r="E85" s="382" t="n">
        <v>51</v>
      </c>
      <c r="F85" s="389" t="inlineStr">
        <is>
          <t>해외지사비</t>
        </is>
      </c>
      <c r="G85" s="390" t="n"/>
      <c r="H85" s="383" t="n"/>
      <c r="I85" s="972" t="n"/>
      <c r="J85" s="383" t="n"/>
      <c r="K85" s="975" t="n">
        <v>24000</v>
      </c>
      <c r="L85" s="968">
        <f>#REF!</f>
        <v/>
      </c>
      <c r="M85" s="938">
        <f>K85/L85</f>
        <v/>
      </c>
      <c r="N85" s="969">
        <f>N84+H85-K85</f>
        <v/>
      </c>
      <c r="O85" s="969">
        <f>O84+J85-M85</f>
        <v/>
      </c>
      <c r="P85" s="970" t="inlineStr">
        <is>
          <t>5월 송금</t>
        </is>
      </c>
      <c r="Q85" s="971" t="n"/>
      <c r="R85" s="976" t="n"/>
      <c r="S85" s="805">
        <f>S84-M85+J85</f>
        <v/>
      </c>
      <c r="T85" s="698" t="n"/>
      <c r="U85" s="830" t="n"/>
      <c r="V85" s="698" t="n"/>
      <c r="W85" s="698" t="n"/>
      <c r="X85" s="698" t="n"/>
      <c r="Y85" s="698" t="n"/>
      <c r="Z85" s="698" t="n"/>
      <c r="AA85" s="698" t="n"/>
      <c r="AB85" s="698" t="n"/>
      <c r="AC85" s="698" t="n"/>
    </row>
    <row r="86" ht="11.25" customFormat="1" customHeight="1" s="688">
      <c r="A86" s="80" t="n"/>
      <c r="B86" s="965" t="n">
        <v>45800</v>
      </c>
      <c r="C86" s="358" t="inlineStr">
        <is>
          <t>보험(주재원/현채인)</t>
        </is>
      </c>
      <c r="D86" s="382" t="n"/>
      <c r="E86" s="382" t="n">
        <v>51</v>
      </c>
      <c r="F86" s="389" t="inlineStr">
        <is>
          <t>해외지사비</t>
        </is>
      </c>
      <c r="G86" s="390" t="n"/>
      <c r="H86" s="383" t="n"/>
      <c r="I86" s="972" t="n"/>
      <c r="J86" s="383" t="n"/>
      <c r="K86" s="978" t="n">
        <v>5305.190000000001</v>
      </c>
      <c r="L86" s="968">
        <f>#REF!</f>
        <v/>
      </c>
      <c r="M86" s="938">
        <f>K86/L86</f>
        <v/>
      </c>
      <c r="N86" s="969">
        <f>N85+H86-K86</f>
        <v/>
      </c>
      <c r="O86" s="969">
        <f>O85+J86-M86</f>
        <v/>
      </c>
      <c r="P86" s="970" t="inlineStr">
        <is>
          <t>5월 송금</t>
        </is>
      </c>
      <c r="Q86" s="971" t="n"/>
      <c r="R86" s="976" t="n"/>
      <c r="S86" s="805">
        <f>S85-M86+J86</f>
        <v/>
      </c>
      <c r="T86" s="698" t="n"/>
      <c r="U86" s="830" t="n"/>
      <c r="V86" s="698" t="n"/>
      <c r="W86" s="698" t="n"/>
      <c r="X86" s="698" t="n"/>
      <c r="Y86" s="698" t="n"/>
      <c r="Z86" s="698" t="n"/>
      <c r="AA86" s="698" t="n"/>
      <c r="AB86" s="698" t="n"/>
      <c r="AC86" s="698" t="n"/>
    </row>
    <row r="87" ht="11.25" customFormat="1" customHeight="1" s="688">
      <c r="A87" s="80" t="n"/>
      <c r="B87" s="965" t="n">
        <v>45800</v>
      </c>
      <c r="C87" s="358" t="inlineStr">
        <is>
          <t>세금(주재원/현채인)</t>
        </is>
      </c>
      <c r="D87" s="382" t="n"/>
      <c r="E87" s="382" t="n">
        <v>51</v>
      </c>
      <c r="F87" s="389" t="inlineStr">
        <is>
          <t>해외지사비</t>
        </is>
      </c>
      <c r="G87" s="390" t="n"/>
      <c r="H87" s="383" t="n"/>
      <c r="I87" s="972" t="n"/>
      <c r="J87" s="383" t="n"/>
      <c r="K87" s="978" t="n">
        <v>5620.799999999999</v>
      </c>
      <c r="L87" s="968">
        <f>#REF!</f>
        <v/>
      </c>
      <c r="M87" s="938">
        <f>K87/L87</f>
        <v/>
      </c>
      <c r="N87" s="969">
        <f>N86+H87-K87</f>
        <v/>
      </c>
      <c r="O87" s="969">
        <f>O86+J87-M87</f>
        <v/>
      </c>
      <c r="P87" s="970" t="inlineStr">
        <is>
          <t>5월 송금</t>
        </is>
      </c>
      <c r="Q87" s="971" t="n"/>
      <c r="R87" s="976" t="n"/>
      <c r="S87" s="805">
        <f>S86-M87+J87</f>
        <v/>
      </c>
      <c r="T87" s="698" t="n"/>
      <c r="U87" s="830" t="n"/>
      <c r="V87" s="698" t="n"/>
      <c r="W87" s="698" t="n"/>
      <c r="X87" s="698" t="n"/>
      <c r="Y87" s="698" t="n"/>
      <c r="Z87" s="698" t="n"/>
      <c r="AA87" s="698" t="n"/>
      <c r="AB87" s="698" t="n"/>
      <c r="AC87" s="698" t="n"/>
    </row>
    <row r="88" ht="11.25" customFormat="1" customHeight="1" s="688">
      <c r="A88" s="80" t="n"/>
      <c r="B88" s="965" t="n">
        <v>45800</v>
      </c>
      <c r="C88" s="358" t="inlineStr">
        <is>
          <t>대행수수료</t>
        </is>
      </c>
      <c r="D88" s="382" t="n"/>
      <c r="E88" s="382" t="n">
        <v>51</v>
      </c>
      <c r="F88" s="389" t="inlineStr">
        <is>
          <t>해외지사비</t>
        </is>
      </c>
      <c r="G88" s="390" t="n"/>
      <c r="H88" s="383" t="n"/>
      <c r="I88" s="972" t="n"/>
      <c r="J88" s="383" t="n"/>
      <c r="K88" s="978" t="n">
        <v>300</v>
      </c>
      <c r="L88" s="968">
        <f>#REF!</f>
        <v/>
      </c>
      <c r="M88" s="938">
        <f>K88/L88</f>
        <v/>
      </c>
      <c r="N88" s="969">
        <f>N87+H88-K88</f>
        <v/>
      </c>
      <c r="O88" s="969">
        <f>O87+J88-M88</f>
        <v/>
      </c>
      <c r="P88" s="970" t="inlineStr">
        <is>
          <t>5월 송금</t>
        </is>
      </c>
      <c r="Q88" s="971" t="n"/>
      <c r="R88" s="977" t="n"/>
      <c r="S88" s="805">
        <f>S87-M88+J88</f>
        <v/>
      </c>
      <c r="T88" s="698" t="n"/>
      <c r="U88" s="830" t="n"/>
      <c r="V88" s="698" t="n"/>
      <c r="W88" s="698" t="n"/>
      <c r="X88" s="698" t="n"/>
      <c r="Y88" s="698" t="n"/>
      <c r="Z88" s="698" t="n"/>
      <c r="AA88" s="698" t="n"/>
      <c r="AB88" s="698" t="n"/>
      <c r="AC88" s="698" t="n"/>
    </row>
    <row r="89" ht="11.25" customFormat="1" customHeight="1" s="688">
      <c r="A89" s="80" t="n"/>
      <c r="B89" s="965" t="n">
        <v>45800</v>
      </c>
      <c r="C89" s="358" t="inlineStr">
        <is>
          <t>현채인 월급</t>
        </is>
      </c>
      <c r="D89" s="382" t="n"/>
      <c r="E89" s="382" t="n">
        <v>51</v>
      </c>
      <c r="F89" s="389" t="inlineStr">
        <is>
          <t>해외지사비</t>
        </is>
      </c>
      <c r="G89" s="390" t="n"/>
      <c r="H89" s="383" t="n"/>
      <c r="I89" s="972" t="n"/>
      <c r="J89" s="383" t="n"/>
      <c r="K89" s="979" t="n">
        <v>25750</v>
      </c>
      <c r="L89" s="968">
        <f>#REF!</f>
        <v/>
      </c>
      <c r="M89" s="938">
        <f>K89/L89</f>
        <v/>
      </c>
      <c r="N89" s="969">
        <f>N88+H89-K89</f>
        <v/>
      </c>
      <c r="O89" s="969">
        <f>O88+J89-M89</f>
        <v/>
      </c>
      <c r="P89" s="970" t="inlineStr">
        <is>
          <t>5월 송금</t>
        </is>
      </c>
      <c r="Q89" s="971" t="n"/>
      <c r="R89" s="637" t="inlineStr">
        <is>
          <t>FAE (Pan Shi Qiang)
7/1 입사
潘世强</t>
        </is>
      </c>
      <c r="S89" s="805">
        <f>S88-M89+J89</f>
        <v/>
      </c>
      <c r="T89" s="698" t="n"/>
      <c r="U89" s="830" t="n"/>
      <c r="V89" s="698" t="n"/>
      <c r="W89" s="698" t="n"/>
      <c r="X89" s="698" t="n"/>
      <c r="Y89" s="698" t="n"/>
      <c r="Z89" s="698" t="n"/>
      <c r="AA89" s="698" t="n"/>
      <c r="AB89" s="698" t="n"/>
      <c r="AC89" s="698" t="n"/>
    </row>
    <row r="90" ht="11.25" customHeight="1" s="654">
      <c r="B90" s="965" t="n">
        <v>45800</v>
      </c>
      <c r="C90" s="358" t="inlineStr">
        <is>
          <t>보너스</t>
        </is>
      </c>
      <c r="D90" s="382" t="n"/>
      <c r="E90" s="382" t="n">
        <v>51</v>
      </c>
      <c r="F90" s="389" t="inlineStr">
        <is>
          <t>해외지사비</t>
        </is>
      </c>
      <c r="G90" s="390" t="n"/>
      <c r="H90" s="383" t="n"/>
      <c r="I90" s="972" t="n"/>
      <c r="J90" s="383" t="n"/>
      <c r="K90" s="979" t="n">
        <v>1000</v>
      </c>
      <c r="L90" s="968">
        <f>#REF!</f>
        <v/>
      </c>
      <c r="M90" s="938">
        <f>K90/L90</f>
        <v/>
      </c>
      <c r="N90" s="969">
        <f>N89+H90-K90</f>
        <v/>
      </c>
      <c r="O90" s="969">
        <f>O89+J90-M90</f>
        <v/>
      </c>
      <c r="P90" s="970" t="inlineStr">
        <is>
          <t>5월 송금</t>
        </is>
      </c>
      <c r="Q90" s="971" t="n"/>
      <c r="R90" s="976" t="n"/>
      <c r="S90" s="805">
        <f>S89-M90+J90</f>
        <v/>
      </c>
    </row>
    <row r="91" ht="11.25" customHeight="1" s="654">
      <c r="B91" s="965" t="n">
        <v>45800</v>
      </c>
      <c r="C91" s="358" t="inlineStr">
        <is>
          <t>보험비(회사납부)
公司缴纳部分合计</t>
        </is>
      </c>
      <c r="D91" s="382" t="n"/>
      <c r="E91" s="382" t="n">
        <v>51</v>
      </c>
      <c r="F91" s="389" t="inlineStr">
        <is>
          <t>해외지사비</t>
        </is>
      </c>
      <c r="G91" s="390" t="n"/>
      <c r="H91" s="383" t="n"/>
      <c r="I91" s="972" t="n"/>
      <c r="J91" s="383" t="n"/>
      <c r="K91" s="978" t="n">
        <v>7431.44</v>
      </c>
      <c r="L91" s="968">
        <f>#REF!</f>
        <v/>
      </c>
      <c r="M91" s="938">
        <f>K91/L91</f>
        <v/>
      </c>
      <c r="N91" s="969">
        <f>N90+H91-K91</f>
        <v/>
      </c>
      <c r="O91" s="969">
        <f>O90+J91-M91</f>
        <v/>
      </c>
      <c r="P91" s="970" t="inlineStr">
        <is>
          <t>5월 송금</t>
        </is>
      </c>
      <c r="Q91" s="971" t="n"/>
      <c r="R91" s="976" t="n"/>
      <c r="S91" s="805">
        <f>S90-M91+J91</f>
        <v/>
      </c>
    </row>
    <row r="92" ht="11.25" customHeight="1" s="654">
      <c r="B92" s="965" t="n">
        <v>45800</v>
      </c>
      <c r="C92" s="358" t="inlineStr">
        <is>
          <t>대행수수료</t>
        </is>
      </c>
      <c r="D92" s="382" t="n"/>
      <c r="E92" s="382" t="n">
        <v>51</v>
      </c>
      <c r="F92" s="389" t="inlineStr">
        <is>
          <t>해외지사비</t>
        </is>
      </c>
      <c r="G92" s="390" t="n"/>
      <c r="H92" s="383" t="n"/>
      <c r="I92" s="972" t="n"/>
      <c r="J92" s="383" t="n"/>
      <c r="K92" s="978" t="n">
        <v>300</v>
      </c>
      <c r="L92" s="968">
        <f>#REF!</f>
        <v/>
      </c>
      <c r="M92" s="938">
        <f>K92/L92</f>
        <v/>
      </c>
      <c r="N92" s="969">
        <f>N91+H92-K92</f>
        <v/>
      </c>
      <c r="O92" s="969">
        <f>O91+J92-M92</f>
        <v/>
      </c>
      <c r="P92" s="970" t="inlineStr">
        <is>
          <t>5월 송금</t>
        </is>
      </c>
      <c r="Q92" s="971" t="n"/>
      <c r="R92" s="976" t="n"/>
      <c r="S92" s="805">
        <f>S91-M92+J92</f>
        <v/>
      </c>
    </row>
    <row r="93" ht="11.25" customHeight="1" s="654">
      <c r="B93" s="965" t="n">
        <v>45800</v>
      </c>
      <c r="C93" s="358" t="inlineStr">
        <is>
          <t>일비</t>
        </is>
      </c>
      <c r="D93" s="382" t="n"/>
      <c r="E93" s="382" t="n">
        <v>51</v>
      </c>
      <c r="F93" s="389" t="inlineStr">
        <is>
          <t>해외지사비</t>
        </is>
      </c>
      <c r="G93" s="390" t="n"/>
      <c r="H93" s="383" t="n"/>
      <c r="I93" s="972" t="n"/>
      <c r="J93" s="383" t="n"/>
      <c r="K93" s="979" t="n">
        <v>200</v>
      </c>
      <c r="L93" s="968">
        <f>#REF!</f>
        <v/>
      </c>
      <c r="M93" s="938">
        <f>K93/L93</f>
        <v/>
      </c>
      <c r="N93" s="969">
        <f>N92+H93-K93</f>
        <v/>
      </c>
      <c r="O93" s="969">
        <f>O92+J93-M93</f>
        <v/>
      </c>
      <c r="P93" s="970" t="inlineStr">
        <is>
          <t>5월 송금</t>
        </is>
      </c>
      <c r="Q93" s="971" t="n"/>
      <c r="R93" s="977" t="n"/>
      <c r="S93" s="805">
        <f>S92-M93+J93</f>
        <v/>
      </c>
    </row>
    <row r="94" ht="11.25" customHeight="1" s="654">
      <c r="B94" s="965" t="n">
        <v>45800</v>
      </c>
      <c r="C94" s="358" t="inlineStr">
        <is>
          <t>현채인 월급</t>
        </is>
      </c>
      <c r="D94" s="382" t="n"/>
      <c r="E94" s="382" t="n">
        <v>51</v>
      </c>
      <c r="F94" s="389" t="inlineStr">
        <is>
          <t>해외지사비</t>
        </is>
      </c>
      <c r="G94" s="390" t="n"/>
      <c r="H94" s="383" t="n"/>
      <c r="I94" s="972" t="n"/>
      <c r="J94" s="383" t="n"/>
      <c r="K94" s="979" t="n">
        <v>13390</v>
      </c>
      <c r="L94" s="968">
        <f>#REF!</f>
        <v/>
      </c>
      <c r="M94" s="938">
        <f>K94/L94</f>
        <v/>
      </c>
      <c r="N94" s="969">
        <f>N93+H94-K94</f>
        <v/>
      </c>
      <c r="O94" s="969">
        <f>O93+J94-M94</f>
        <v/>
      </c>
      <c r="P94" s="970" t="inlineStr">
        <is>
          <t>5월 송금</t>
        </is>
      </c>
      <c r="Q94" s="971" t="n"/>
      <c r="R94" s="639" t="inlineStr">
        <is>
          <t>张亮(Zhang Liang)
23/8/1 입사</t>
        </is>
      </c>
      <c r="S94" s="805">
        <f>S93-M94+J94</f>
        <v/>
      </c>
    </row>
    <row r="95" ht="11.25" customHeight="1" s="654">
      <c r="B95" s="965" t="n">
        <v>45800</v>
      </c>
      <c r="C95" s="358" t="inlineStr">
        <is>
          <t>보너스</t>
        </is>
      </c>
      <c r="D95" s="382" t="n"/>
      <c r="E95" s="382" t="n">
        <v>51</v>
      </c>
      <c r="F95" s="389" t="inlineStr">
        <is>
          <t>해외지사비</t>
        </is>
      </c>
      <c r="G95" s="390" t="n"/>
      <c r="H95" s="383" t="n"/>
      <c r="I95" s="972" t="n"/>
      <c r="J95" s="383" t="n"/>
      <c r="K95" s="979" t="n">
        <v>1000</v>
      </c>
      <c r="L95" s="968">
        <f>#REF!</f>
        <v/>
      </c>
      <c r="M95" s="938">
        <f>K95/L95</f>
        <v/>
      </c>
      <c r="N95" s="969">
        <f>N94+H95-K95</f>
        <v/>
      </c>
      <c r="O95" s="969">
        <f>O94+J95-M95</f>
        <v/>
      </c>
      <c r="P95" s="970" t="inlineStr">
        <is>
          <t>5월 송금</t>
        </is>
      </c>
      <c r="Q95" s="971" t="n"/>
      <c r="R95" s="976" t="n"/>
      <c r="S95" s="805">
        <f>S94-M95+J95</f>
        <v/>
      </c>
    </row>
    <row r="96" ht="11.25" customHeight="1" s="654">
      <c r="B96" s="965" t="n">
        <v>45800</v>
      </c>
      <c r="C96" s="358" t="inlineStr">
        <is>
          <t>보험비(회사납부)
公司缴纳部分合计</t>
        </is>
      </c>
      <c r="D96" s="382" t="n"/>
      <c r="E96" s="382" t="n">
        <v>51</v>
      </c>
      <c r="F96" s="389" t="inlineStr">
        <is>
          <t>해외지사비</t>
        </is>
      </c>
      <c r="G96" s="390" t="n"/>
      <c r="H96" s="383" t="n"/>
      <c r="I96" s="972" t="n"/>
      <c r="J96" s="383" t="n"/>
      <c r="K96" s="980" t="n">
        <v>3281.57</v>
      </c>
      <c r="L96" s="968">
        <f>#REF!</f>
        <v/>
      </c>
      <c r="M96" s="938">
        <f>K96/L96</f>
        <v/>
      </c>
      <c r="N96" s="969">
        <f>N95+H96-K96</f>
        <v/>
      </c>
      <c r="O96" s="969">
        <f>O95+J96-M96</f>
        <v/>
      </c>
      <c r="P96" s="970" t="inlineStr">
        <is>
          <t>5월 송금</t>
        </is>
      </c>
      <c r="Q96" s="971" t="n"/>
      <c r="R96" s="976" t="n"/>
      <c r="S96" s="805">
        <f>S95-M96+J96</f>
        <v/>
      </c>
    </row>
    <row r="97" ht="11.25" customHeight="1" s="654">
      <c r="B97" s="965" t="n">
        <v>45800</v>
      </c>
      <c r="C97" s="358" t="inlineStr">
        <is>
          <t>대행수수료</t>
        </is>
      </c>
      <c r="D97" s="382" t="n"/>
      <c r="E97" s="382" t="n">
        <v>51</v>
      </c>
      <c r="F97" s="389" t="inlineStr">
        <is>
          <t>해외지사비</t>
        </is>
      </c>
      <c r="G97" s="390" t="n"/>
      <c r="H97" s="383" t="n"/>
      <c r="I97" s="972" t="n"/>
      <c r="J97" s="383" t="n"/>
      <c r="K97" s="980" t="n">
        <v>300</v>
      </c>
      <c r="L97" s="968">
        <f>#REF!</f>
        <v/>
      </c>
      <c r="M97" s="938">
        <f>K97/L97</f>
        <v/>
      </c>
      <c r="N97" s="969">
        <f>N96+H97-K97</f>
        <v/>
      </c>
      <c r="O97" s="969">
        <f>O96+J97-M97</f>
        <v/>
      </c>
      <c r="P97" s="970" t="inlineStr">
        <is>
          <t>5월 송금</t>
        </is>
      </c>
      <c r="Q97" s="971" t="n"/>
      <c r="R97" s="976" t="n"/>
      <c r="S97" s="805">
        <f>S96-M97+J97</f>
        <v/>
      </c>
    </row>
    <row r="98" ht="11.25" customHeight="1" s="654">
      <c r="B98" s="965" t="n">
        <v>45800</v>
      </c>
      <c r="C98" s="358" t="inlineStr">
        <is>
          <t>일비</t>
        </is>
      </c>
      <c r="D98" s="382" t="n"/>
      <c r="E98" s="382" t="n">
        <v>51</v>
      </c>
      <c r="F98" s="389" t="inlineStr">
        <is>
          <t>해외지사비</t>
        </is>
      </c>
      <c r="G98" s="390" t="n"/>
      <c r="H98" s="383" t="n"/>
      <c r="I98" s="972" t="n"/>
      <c r="J98" s="383" t="n"/>
      <c r="K98" s="979" t="n">
        <v>1100</v>
      </c>
      <c r="L98" s="968">
        <f>#REF!</f>
        <v/>
      </c>
      <c r="M98" s="938">
        <f>K98/L98</f>
        <v/>
      </c>
      <c r="N98" s="969">
        <f>N97+H98-K98</f>
        <v/>
      </c>
      <c r="O98" s="969">
        <f>O97+J98-M98</f>
        <v/>
      </c>
      <c r="P98" s="970" t="inlineStr">
        <is>
          <t>5월 송금</t>
        </is>
      </c>
      <c r="Q98" s="971" t="n"/>
      <c r="R98" s="977" t="n"/>
      <c r="S98" s="805">
        <f>S97-M98+J98</f>
        <v/>
      </c>
    </row>
    <row r="99" ht="11.25" customHeight="1" s="654">
      <c r="B99" s="965" t="n">
        <v>45800</v>
      </c>
      <c r="C99" s="358" t="inlineStr">
        <is>
          <t>현채인 월급</t>
        </is>
      </c>
      <c r="D99" s="382" t="n"/>
      <c r="E99" s="382" t="n">
        <v>51</v>
      </c>
      <c r="F99" s="389" t="inlineStr">
        <is>
          <t>해외지사비</t>
        </is>
      </c>
      <c r="G99" s="390" t="n"/>
      <c r="H99" s="383" t="n"/>
      <c r="I99" s="972" t="n"/>
      <c r="J99" s="383" t="n"/>
      <c r="K99" s="979" t="n">
        <v>25750</v>
      </c>
      <c r="L99" s="968">
        <f>#REF!</f>
        <v/>
      </c>
      <c r="M99" s="938">
        <f>K99/L99</f>
        <v/>
      </c>
      <c r="N99" s="969">
        <f>N98+H99-K99</f>
        <v/>
      </c>
      <c r="O99" s="969">
        <f>O98+J99-M99</f>
        <v/>
      </c>
      <c r="P99" s="970" t="inlineStr">
        <is>
          <t>5월 송금</t>
        </is>
      </c>
      <c r="Q99" s="971" t="n"/>
      <c r="R99" s="637" t="inlineStr">
        <is>
          <t>林洁婷 임결정
23/9/18 입사</t>
        </is>
      </c>
      <c r="S99" s="805">
        <f>S98-M99+J99</f>
        <v/>
      </c>
    </row>
    <row r="100" ht="11.25" customHeight="1" s="654">
      <c r="B100" s="965" t="n">
        <v>45800</v>
      </c>
      <c r="C100" s="358" t="inlineStr">
        <is>
          <t>보너스</t>
        </is>
      </c>
      <c r="D100" s="382" t="n"/>
      <c r="E100" s="382" t="n">
        <v>51</v>
      </c>
      <c r="F100" s="389" t="inlineStr">
        <is>
          <t>해외지사비</t>
        </is>
      </c>
      <c r="G100" s="390" t="n"/>
      <c r="H100" s="383" t="n"/>
      <c r="I100" s="972" t="n"/>
      <c r="J100" s="383" t="n"/>
      <c r="K100" s="979" t="n">
        <v>1000</v>
      </c>
      <c r="L100" s="968">
        <f>#REF!</f>
        <v/>
      </c>
      <c r="M100" s="938">
        <f>K100/L100</f>
        <v/>
      </c>
      <c r="N100" s="969">
        <f>N99+H100-K100</f>
        <v/>
      </c>
      <c r="O100" s="969">
        <f>O99+J100-M100</f>
        <v/>
      </c>
      <c r="P100" s="970" t="inlineStr">
        <is>
          <t>5월 송금</t>
        </is>
      </c>
      <c r="Q100" s="971" t="n"/>
      <c r="R100" s="976" t="n"/>
      <c r="S100" s="805">
        <f>S99-M100+J100</f>
        <v/>
      </c>
    </row>
    <row r="101" ht="11.25" customHeight="1" s="654">
      <c r="B101" s="965" t="n">
        <v>45800</v>
      </c>
      <c r="C101" s="358" t="inlineStr">
        <is>
          <t>보험비(회사납부)
公司缴纳部分合计</t>
        </is>
      </c>
      <c r="D101" s="382" t="n"/>
      <c r="E101" s="382" t="n">
        <v>51</v>
      </c>
      <c r="F101" s="389" t="inlineStr">
        <is>
          <t>해외지사비</t>
        </is>
      </c>
      <c r="G101" s="390" t="n"/>
      <c r="H101" s="383" t="n"/>
      <c r="I101" s="972" t="n"/>
      <c r="J101" s="383" t="n"/>
      <c r="K101" s="980" t="n">
        <v>7431.44</v>
      </c>
      <c r="L101" s="968">
        <f>#REF!</f>
        <v/>
      </c>
      <c r="M101" s="938">
        <f>K101/L101</f>
        <v/>
      </c>
      <c r="N101" s="969">
        <f>N100+H101-K101</f>
        <v/>
      </c>
      <c r="O101" s="969">
        <f>O100+J101-M101</f>
        <v/>
      </c>
      <c r="P101" s="970" t="inlineStr">
        <is>
          <t>5월 송금</t>
        </is>
      </c>
      <c r="Q101" s="971" t="n"/>
      <c r="R101" s="976" t="n"/>
      <c r="S101" s="805">
        <f>S100-M101+J101</f>
        <v/>
      </c>
    </row>
    <row r="102" ht="11.25" customHeight="1" s="654">
      <c r="B102" s="965" t="n">
        <v>45800</v>
      </c>
      <c r="C102" s="358" t="inlineStr">
        <is>
          <t>대행수수료</t>
        </is>
      </c>
      <c r="D102" s="382" t="n"/>
      <c r="E102" s="382" t="n">
        <v>51</v>
      </c>
      <c r="F102" s="389" t="inlineStr">
        <is>
          <t>해외지사비</t>
        </is>
      </c>
      <c r="G102" s="390" t="n"/>
      <c r="H102" s="383" t="n"/>
      <c r="I102" s="972" t="n"/>
      <c r="J102" s="383" t="n"/>
      <c r="K102" s="980" t="n">
        <v>300</v>
      </c>
      <c r="L102" s="968">
        <f>#REF!</f>
        <v/>
      </c>
      <c r="M102" s="938">
        <f>K102/L102</f>
        <v/>
      </c>
      <c r="N102" s="969">
        <f>N101+H102-K102</f>
        <v/>
      </c>
      <c r="O102" s="969">
        <f>O101+J102-M102</f>
        <v/>
      </c>
      <c r="P102" s="970" t="inlineStr">
        <is>
          <t>5월 송금</t>
        </is>
      </c>
      <c r="Q102" s="971" t="n"/>
      <c r="R102" s="977" t="n"/>
      <c r="S102" s="805">
        <f>S101-M102+J102</f>
        <v/>
      </c>
    </row>
    <row r="103" ht="11.25" customHeight="1" s="654">
      <c r="B103" s="965" t="n">
        <v>45800</v>
      </c>
      <c r="C103" s="358" t="inlineStr">
        <is>
          <t>현채인 월급</t>
        </is>
      </c>
      <c r="D103" s="382" t="n"/>
      <c r="E103" s="382" t="n">
        <v>51</v>
      </c>
      <c r="F103" s="389" t="inlineStr">
        <is>
          <t>해외지사비</t>
        </is>
      </c>
      <c r="G103" s="390" t="n"/>
      <c r="H103" s="383" t="n"/>
      <c r="I103" s="972" t="n"/>
      <c r="J103" s="383" t="n"/>
      <c r="K103" s="981" t="n">
        <v>21300</v>
      </c>
      <c r="L103" s="968">
        <f>#REF!</f>
        <v/>
      </c>
      <c r="M103" s="938">
        <f>K103/L103</f>
        <v/>
      </c>
      <c r="N103" s="969">
        <f>N102+H103-K103</f>
        <v/>
      </c>
      <c r="O103" s="969">
        <f>O102+J103-M103</f>
        <v/>
      </c>
      <c r="P103" s="970" t="inlineStr">
        <is>
          <t>5월 송금</t>
        </is>
      </c>
      <c r="Q103" s="971" t="n"/>
      <c r="R103" s="637" t="inlineStr">
        <is>
          <t>朴美玲 박미령
23/9/18 입사</t>
        </is>
      </c>
      <c r="S103" s="805">
        <f>S102-M103+J103</f>
        <v/>
      </c>
    </row>
    <row r="104" ht="11.25" customHeight="1" s="654">
      <c r="B104" s="965" t="n">
        <v>45800</v>
      </c>
      <c r="C104" s="358" t="inlineStr">
        <is>
          <t>보너스</t>
        </is>
      </c>
      <c r="D104" s="382" t="n"/>
      <c r="E104" s="382" t="n">
        <v>51</v>
      </c>
      <c r="F104" s="389" t="inlineStr">
        <is>
          <t>해외지사비</t>
        </is>
      </c>
      <c r="G104" s="390" t="n"/>
      <c r="H104" s="383" t="n"/>
      <c r="I104" s="972" t="n"/>
      <c r="J104" s="383" t="n"/>
      <c r="K104" s="981" t="n">
        <v>1000</v>
      </c>
      <c r="L104" s="968">
        <f>#REF!</f>
        <v/>
      </c>
      <c r="M104" s="938">
        <f>K104/L104</f>
        <v/>
      </c>
      <c r="N104" s="969">
        <f>N103+H104-K104</f>
        <v/>
      </c>
      <c r="O104" s="969">
        <f>O103+J104-M104</f>
        <v/>
      </c>
      <c r="P104" s="970" t="inlineStr">
        <is>
          <t>5월 송금</t>
        </is>
      </c>
      <c r="Q104" s="971" t="n"/>
      <c r="R104" s="976" t="n"/>
      <c r="S104" s="805">
        <f>S103-M104+J104</f>
        <v/>
      </c>
    </row>
    <row r="105" ht="11.25" customFormat="1" customHeight="1" s="688">
      <c r="A105" s="80" t="n"/>
      <c r="B105" s="965" t="n">
        <v>45800</v>
      </c>
      <c r="C105" s="358" t="inlineStr">
        <is>
          <t>보험비(회사납부)
公司缴纳部分合计</t>
        </is>
      </c>
      <c r="D105" s="382" t="n"/>
      <c r="E105" s="382" t="n">
        <v>51</v>
      </c>
      <c r="F105" s="389" t="inlineStr">
        <is>
          <t>해외지사비</t>
        </is>
      </c>
      <c r="G105" s="390" t="n"/>
      <c r="H105" s="383" t="n"/>
      <c r="I105" s="972" t="n"/>
      <c r="J105" s="383" t="n"/>
      <c r="K105" s="982" t="n">
        <v>5941.29</v>
      </c>
      <c r="L105" s="968">
        <f>#REF!</f>
        <v/>
      </c>
      <c r="M105" s="938" t="n">
        <v>827.444</v>
      </c>
      <c r="N105" s="969">
        <f>N104+H105-K105</f>
        <v/>
      </c>
      <c r="O105" s="969">
        <f>O104+J105-M105</f>
        <v/>
      </c>
      <c r="P105" s="970" t="inlineStr">
        <is>
          <t>5월 송금</t>
        </is>
      </c>
      <c r="Q105" s="971" t="n"/>
      <c r="R105" s="976" t="n"/>
      <c r="S105" s="805">
        <f>S104-M105+J105</f>
        <v/>
      </c>
      <c r="T105" s="698" t="n"/>
      <c r="U105" s="830" t="n"/>
      <c r="V105" s="698" t="n"/>
      <c r="W105" s="698" t="n"/>
      <c r="X105" s="698" t="n"/>
      <c r="Y105" s="698" t="n"/>
      <c r="Z105" s="698" t="n"/>
      <c r="AA105" s="698" t="n"/>
      <c r="AB105" s="698" t="n"/>
      <c r="AC105" s="698" t="n"/>
    </row>
    <row r="106" ht="11.25" customFormat="1" customHeight="1" s="688">
      <c r="A106" s="80" t="n"/>
      <c r="B106" s="965" t="n">
        <v>45800</v>
      </c>
      <c r="C106" s="358" t="inlineStr">
        <is>
          <t>대행수수료</t>
        </is>
      </c>
      <c r="D106" s="382" t="n"/>
      <c r="E106" s="382" t="n">
        <v>51</v>
      </c>
      <c r="F106" s="389" t="inlineStr">
        <is>
          <t>해외지사비</t>
        </is>
      </c>
      <c r="G106" s="390" t="n"/>
      <c r="H106" s="383" t="n"/>
      <c r="I106" s="972" t="n"/>
      <c r="J106" s="383" t="n"/>
      <c r="K106" s="982" t="n">
        <v>300</v>
      </c>
      <c r="L106" s="968">
        <f>#REF!</f>
        <v/>
      </c>
      <c r="M106" s="938">
        <f>K106/L106</f>
        <v/>
      </c>
      <c r="N106" s="969">
        <f>N105+H106-K106</f>
        <v/>
      </c>
      <c r="O106" s="969">
        <f>O105+J106-M106</f>
        <v/>
      </c>
      <c r="P106" s="970" t="inlineStr">
        <is>
          <t>5월 송금</t>
        </is>
      </c>
      <c r="Q106" s="971" t="n"/>
      <c r="R106" s="976" t="n"/>
      <c r="S106" s="805">
        <f>S105-M106+J106</f>
        <v/>
      </c>
      <c r="T106" s="698" t="n"/>
      <c r="U106" s="830" t="n"/>
      <c r="V106" s="698" t="n"/>
      <c r="W106" s="698" t="n"/>
      <c r="X106" s="698" t="n"/>
      <c r="Y106" s="698" t="n"/>
      <c r="Z106" s="698" t="n"/>
      <c r="AA106" s="698" t="n"/>
      <c r="AB106" s="698" t="n"/>
      <c r="AC106" s="698" t="n"/>
    </row>
    <row r="107" ht="11.25" customFormat="1" customHeight="1" s="688">
      <c r="A107" s="80" t="n"/>
      <c r="B107" s="965" t="n">
        <v>45800</v>
      </c>
      <c r="C107" s="358" t="inlineStr">
        <is>
          <t>일비</t>
        </is>
      </c>
      <c r="D107" s="382" t="n"/>
      <c r="E107" s="382" t="n">
        <v>51</v>
      </c>
      <c r="F107" s="389" t="inlineStr">
        <is>
          <t>해외지사비</t>
        </is>
      </c>
      <c r="G107" s="390" t="n"/>
      <c r="H107" s="383" t="n"/>
      <c r="I107" s="972" t="n"/>
      <c r="J107" s="383" t="n"/>
      <c r="K107" s="982" t="n">
        <v>200</v>
      </c>
      <c r="L107" s="968">
        <f>#REF!</f>
        <v/>
      </c>
      <c r="M107" s="938">
        <f>K107/L107</f>
        <v/>
      </c>
      <c r="N107" s="969">
        <f>N106+H107-K107</f>
        <v/>
      </c>
      <c r="O107" s="969">
        <f>O106+J107-M107</f>
        <v/>
      </c>
      <c r="P107" s="970" t="inlineStr">
        <is>
          <t>5월 송금</t>
        </is>
      </c>
      <c r="Q107" s="971" t="n"/>
      <c r="R107" s="977" t="n"/>
      <c r="S107" s="805">
        <f>S106-M107+J107</f>
        <v/>
      </c>
      <c r="T107" s="698" t="n"/>
      <c r="U107" s="830" t="n"/>
      <c r="V107" s="698" t="n"/>
      <c r="W107" s="698" t="n"/>
      <c r="X107" s="698" t="n"/>
      <c r="Y107" s="698" t="n"/>
      <c r="Z107" s="698" t="n"/>
      <c r="AA107" s="698" t="n"/>
      <c r="AB107" s="698" t="n"/>
      <c r="AC107" s="698" t="n"/>
    </row>
    <row r="108" ht="11.25" customFormat="1" customHeight="1" s="688">
      <c r="A108" s="80" t="n"/>
      <c r="B108" s="965" t="n">
        <v>45800</v>
      </c>
      <c r="C108" s="358" t="inlineStr">
        <is>
          <t>은행수수료</t>
        </is>
      </c>
      <c r="D108" s="382" t="n"/>
      <c r="E108" s="402" t="n">
        <v>52</v>
      </c>
      <c r="F108" s="389" t="inlineStr">
        <is>
          <t>해외지사비</t>
        </is>
      </c>
      <c r="G108" s="390" t="n"/>
      <c r="H108" s="383" t="n"/>
      <c r="I108" s="972" t="n"/>
      <c r="J108" s="383" t="n"/>
      <c r="K108" s="983" t="n">
        <v>12</v>
      </c>
      <c r="L108" s="968">
        <f>#REF!</f>
        <v/>
      </c>
      <c r="M108" s="984">
        <f>K108/L108</f>
        <v/>
      </c>
      <c r="N108" s="969">
        <f>N107+H108-K108</f>
        <v/>
      </c>
      <c r="O108" s="969">
        <f>O107+J108-M108</f>
        <v/>
      </c>
      <c r="P108" s="970" t="inlineStr">
        <is>
          <t>5월 송금</t>
        </is>
      </c>
      <c r="Q108" s="971" t="n"/>
      <c r="R108" s="358" t="n"/>
      <c r="S108" s="805">
        <f>S107-M108+J108</f>
        <v/>
      </c>
      <c r="T108" s="698" t="n"/>
      <c r="U108" s="830" t="n"/>
      <c r="V108" s="698" t="n"/>
      <c r="W108" s="698" t="n"/>
      <c r="X108" s="698" t="n"/>
      <c r="Y108" s="698" t="n"/>
      <c r="Z108" s="698" t="n"/>
      <c r="AA108" s="698" t="n"/>
      <c r="AB108" s="698" t="n"/>
      <c r="AC108" s="698" t="n"/>
    </row>
    <row r="109" ht="11.25" customFormat="1" customHeight="1" s="688">
      <c r="A109" s="80" t="n"/>
      <c r="B109" s="965" t="n">
        <v>45800</v>
      </c>
      <c r="C109" s="358" t="inlineStr">
        <is>
          <t>새차 6월 주차비</t>
        </is>
      </c>
      <c r="D109" s="382" t="n"/>
      <c r="E109" s="382" t="n">
        <v>53</v>
      </c>
      <c r="F109" s="389" t="inlineStr">
        <is>
          <t>여비교통비</t>
        </is>
      </c>
      <c r="G109" s="390" t="inlineStr">
        <is>
          <t>해외</t>
        </is>
      </c>
      <c r="H109" s="383" t="n"/>
      <c r="I109" s="972" t="n"/>
      <c r="J109" s="383" t="n"/>
      <c r="K109" s="983" t="n">
        <v>800</v>
      </c>
      <c r="L109" s="968">
        <f>#REF!</f>
        <v/>
      </c>
      <c r="M109" s="938" t="n">
        <v>111.418</v>
      </c>
      <c r="N109" s="969">
        <f>N108+H109-K109</f>
        <v/>
      </c>
      <c r="O109" s="969">
        <f>O108+J109-M109</f>
        <v/>
      </c>
      <c r="P109" s="970" t="inlineStr">
        <is>
          <t>5월 송금</t>
        </is>
      </c>
      <c r="Q109" s="971" t="n"/>
      <c r="R109" s="358" t="inlineStr">
        <is>
          <t>새차 6월 주차비</t>
        </is>
      </c>
      <c r="S109" s="805">
        <f>S108-M109+J109</f>
        <v/>
      </c>
      <c r="T109" s="698" t="n"/>
      <c r="U109" s="830" t="n"/>
      <c r="V109" s="698" t="n"/>
      <c r="W109" s="698" t="n"/>
      <c r="X109" s="698" t="n"/>
      <c r="Y109" s="698" t="n"/>
      <c r="Z109" s="698" t="n"/>
      <c r="AA109" s="698" t="n"/>
      <c r="AB109" s="698" t="n"/>
      <c r="AC109" s="698" t="n"/>
    </row>
    <row r="110" ht="11.25" customFormat="1" customHeight="1" s="688">
      <c r="A110" s="80" t="n"/>
      <c r="B110" s="965" t="n">
        <v>45800</v>
      </c>
      <c r="C110" s="392" t="inlineStr">
        <is>
          <t>은행수수료</t>
        </is>
      </c>
      <c r="D110" s="382" t="n"/>
      <c r="E110" s="382" t="n">
        <v>54</v>
      </c>
      <c r="F110" s="389" t="inlineStr">
        <is>
          <t>해외지사비</t>
        </is>
      </c>
      <c r="G110" s="390" t="n"/>
      <c r="H110" s="383" t="n"/>
      <c r="I110" s="972" t="n"/>
      <c r="J110" s="383" t="n"/>
      <c r="K110" s="975" t="n">
        <v>3.6</v>
      </c>
      <c r="L110" s="968">
        <f>#REF!</f>
        <v/>
      </c>
      <c r="M110" s="938">
        <f>K110/L110</f>
        <v/>
      </c>
      <c r="N110" s="985">
        <f>N109+H110-K110</f>
        <v/>
      </c>
      <c r="O110" s="985">
        <f>O109+J110-M110</f>
        <v/>
      </c>
      <c r="P110" s="970" t="inlineStr">
        <is>
          <t>5월 송금</t>
        </is>
      </c>
      <c r="Q110" s="971" t="n"/>
      <c r="R110" s="966" t="n"/>
      <c r="S110" s="796">
        <f>S109-M110+J110</f>
        <v/>
      </c>
      <c r="T110" s="698" t="n"/>
      <c r="U110" s="830" t="n"/>
      <c r="V110" s="698" t="n"/>
      <c r="W110" s="698" t="n"/>
      <c r="X110" s="698" t="n"/>
      <c r="Y110" s="698" t="n"/>
      <c r="Z110" s="698" t="n"/>
      <c r="AA110" s="698" t="n"/>
      <c r="AB110" s="698" t="n"/>
      <c r="AC110" s="698" t="n"/>
    </row>
    <row r="111" ht="11.25" customHeight="1" s="654">
      <c r="C111" s="698" t="n"/>
      <c r="M111" s="909" t="n"/>
    </row>
    <row r="112" ht="11.25" customHeight="1" s="654">
      <c r="M112" s="909" t="n"/>
    </row>
  </sheetData>
  <autoFilter ref="B18:R110">
    <filterColumn colId="14" hiddenButton="0" showButton="0"/>
    <sortState ref="B19:R110">
      <sortCondition sortBy="cellColor" ref="M18:M110" dxfId="0"/>
    </sortState>
  </autoFilter>
  <mergeCells count="11">
    <mergeCell ref="N17:O17"/>
    <mergeCell ref="P18:Q18"/>
    <mergeCell ref="R94:R98"/>
    <mergeCell ref="P17:Q17"/>
    <mergeCell ref="R79:R83"/>
    <mergeCell ref="R84:R88"/>
    <mergeCell ref="R89:R93"/>
    <mergeCell ref="K17:M17"/>
    <mergeCell ref="H17:J17"/>
    <mergeCell ref="R103:R107"/>
    <mergeCell ref="R99:R102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X499"/>
  <sheetViews>
    <sheetView showGridLines="0" tabSelected="1" zoomScaleNormal="100" workbookViewId="0">
      <pane ySplit="21" topLeftCell="A37" activePane="bottomLeft" state="frozen"/>
      <selection activeCell="G119" sqref="G119"/>
      <selection pane="bottomLeft" activeCell="O38" sqref="O38"/>
    </sheetView>
  </sheetViews>
  <sheetFormatPr baseColWidth="8" defaultColWidth="9" defaultRowHeight="11.25" customHeight="1"/>
  <cols>
    <col width="1.75" customWidth="1" style="537" min="1" max="1"/>
    <col width="10.625" customWidth="1" style="986" min="2" max="2"/>
    <col width="10.625" customWidth="1" style="987" min="3" max="3"/>
    <col width="15.75" customWidth="1" style="988" min="4" max="4"/>
    <col width="10" bestFit="1" customWidth="1" style="988" min="5" max="5"/>
    <col width="15.125" customWidth="1" style="988" min="6" max="6"/>
    <col width="9.875" customWidth="1" style="989" min="7" max="7"/>
    <col width="9.75" customWidth="1" style="988" min="8" max="8"/>
    <col width="9.875" customWidth="1" style="988" min="9" max="9"/>
    <col width="10.5" customWidth="1" style="989" min="10" max="10"/>
    <col width="11" customWidth="1" style="990" min="11" max="11"/>
    <col width="11.125" customWidth="1" style="988" min="12" max="12"/>
    <col width="9.75" customWidth="1" style="988" min="13" max="13"/>
    <col width="12.375" customWidth="1" style="988" min="14" max="14"/>
    <col width="9.875" customWidth="1" style="988" min="15" max="15"/>
    <col width="10.75" customWidth="1" style="988" min="16" max="16"/>
    <col width="9.625" customWidth="1" style="988" min="17" max="17"/>
    <col width="15.625" customWidth="1" style="989" min="18" max="18"/>
    <col width="15.625" customWidth="1" style="594" min="19" max="19"/>
    <col width="9" customWidth="1" style="988" min="20" max="16384"/>
  </cols>
  <sheetData>
    <row r="1" ht="12" customHeight="1" s="654">
      <c r="A1" s="427" t="n"/>
      <c r="B1" s="991" t="n"/>
      <c r="C1" s="992" t="n"/>
      <c r="D1" s="993" t="n"/>
      <c r="E1" s="994" t="n"/>
      <c r="F1" s="994" t="n"/>
      <c r="G1" s="995" t="n"/>
      <c r="H1" s="994" t="n"/>
      <c r="I1" s="994" t="n"/>
      <c r="J1" s="996" t="n"/>
      <c r="K1" s="997" t="n"/>
      <c r="L1" s="994" t="n"/>
      <c r="M1" s="998" t="n"/>
      <c r="N1" s="998" t="n"/>
      <c r="O1" s="993" t="n"/>
      <c r="P1" s="999" t="n"/>
      <c r="Q1" s="999" t="n"/>
      <c r="R1" s="1000" t="n"/>
      <c r="S1" s="649" t="n"/>
    </row>
    <row r="2" ht="15" customHeight="1" s="654">
      <c r="B2" s="1001" t="inlineStr">
        <is>
          <t>▶ 00년 00월 전도금 정산 내역 (심천지사)_4000061 (B2F590)</t>
        </is>
      </c>
      <c r="D2" s="987" t="n"/>
      <c r="F2" s="1002" t="n"/>
      <c r="G2" s="989" t="inlineStr">
        <is>
          <t> </t>
        </is>
      </c>
      <c r="H2" s="445" t="inlineStr">
        <is>
          <t>보증금 입금 내역_1,234.5 (#1900000828 / #1200000234 / #100013313)</t>
        </is>
      </c>
      <c r="I2" s="1003" t="n"/>
      <c r="J2" s="1003" t="n"/>
      <c r="K2" s="1004" t="n"/>
      <c r="L2" s="1003" t="n"/>
      <c r="M2" s="1003" t="n"/>
      <c r="N2" s="1005" t="n"/>
      <c r="O2" s="1006" t="n"/>
      <c r="Q2" s="1003" t="n"/>
    </row>
    <row r="3" ht="11.25" customFormat="1" customHeight="1" s="1007">
      <c r="A3" s="452" t="n"/>
      <c r="B3" s="1008" t="inlineStr">
        <is>
          <t>00년 00월 송금_1405.60 (#)</t>
        </is>
      </c>
      <c r="C3" s="1009" t="n"/>
      <c r="D3" s="1009" t="n"/>
      <c r="E3" s="1010" t="n"/>
      <c r="F3" s="455" t="n">
        <v>1405.6</v>
      </c>
      <c r="G3" s="1011" t="n"/>
      <c r="H3" s="1008" t="inlineStr">
        <is>
          <t>00년 00월 송금_1358.90 (#)</t>
        </is>
      </c>
      <c r="I3" s="1009" t="n"/>
      <c r="K3" s="1012" t="n"/>
      <c r="L3" s="455" t="n">
        <v>1358.9</v>
      </c>
      <c r="Q3" s="1008" t="n"/>
      <c r="R3" s="1008" t="n"/>
      <c r="S3" s="1013" t="n"/>
    </row>
    <row r="4" ht="11.25" customHeight="1" s="654">
      <c r="A4" s="427" t="n"/>
      <c r="B4" s="1014" t="inlineStr">
        <is>
          <t>대계정</t>
        </is>
      </c>
      <c r="C4" s="1015" t="inlineStr">
        <is>
          <t>소계정</t>
        </is>
      </c>
      <c r="D4" s="1016" t="inlineStr">
        <is>
          <t>금액 (CNY)</t>
        </is>
      </c>
      <c r="E4" s="1017" t="inlineStr">
        <is>
          <t>금액 (USD)</t>
        </is>
      </c>
      <c r="F4" s="1018" t="inlineStr">
        <is>
          <t>금액 (KRW)</t>
        </is>
      </c>
      <c r="H4" s="1014" t="inlineStr">
        <is>
          <t>대계정</t>
        </is>
      </c>
      <c r="I4" s="1016" t="inlineStr">
        <is>
          <t>소계정</t>
        </is>
      </c>
      <c r="J4" s="1019" t="inlineStr">
        <is>
          <t>금액 (CNY)</t>
        </is>
      </c>
      <c r="K4" s="1020" t="inlineStr">
        <is>
          <t>금액 (USD)</t>
        </is>
      </c>
      <c r="L4" s="1018" t="inlineStr">
        <is>
          <t>금액 (KRW)</t>
        </is>
      </c>
      <c r="M4" s="1007" t="n"/>
      <c r="N4" s="1007" t="n"/>
      <c r="O4" s="1007" t="n"/>
      <c r="P4" s="1007" t="n"/>
      <c r="Q4" s="1008" t="n"/>
      <c r="R4" s="1008" t="n"/>
    </row>
    <row r="5" ht="11.25" customHeight="1" s="654">
      <c r="A5" s="451" t="n">
        <v>51131050</v>
      </c>
      <c r="B5" s="1021" t="inlineStr">
        <is>
          <t>업무추진비</t>
        </is>
      </c>
      <c r="C5" s="1022" t="inlineStr">
        <is>
          <t>일반</t>
        </is>
      </c>
      <c r="D5" s="1023" t="n"/>
      <c r="E5" s="1024" t="n"/>
      <c r="F5" s="1025">
        <f>ROUND(E5*$F$3,0)</f>
        <v/>
      </c>
      <c r="G5" s="1026" t="n"/>
      <c r="H5" s="1027" t="inlineStr">
        <is>
          <t>업무추진비</t>
        </is>
      </c>
      <c r="I5" s="1027" t="inlineStr">
        <is>
          <t>일반</t>
        </is>
      </c>
      <c r="J5" s="1028" t="n"/>
      <c r="K5" s="1029" t="n"/>
      <c r="L5" s="1025">
        <f>ROUND(K5*$L$3,0)</f>
        <v/>
      </c>
      <c r="M5" s="1007" t="n"/>
      <c r="N5" s="1007" t="n"/>
      <c r="O5" s="1007" t="n"/>
      <c r="P5" s="1007" t="n"/>
      <c r="Q5" s="1008" t="n"/>
      <c r="R5" s="1008" t="n"/>
      <c r="S5" s="1030">
        <f>F5+L5+R5</f>
        <v/>
      </c>
    </row>
    <row r="6" ht="11.25" customHeight="1" s="654">
      <c r="A6" s="451" t="n">
        <v>51061030</v>
      </c>
      <c r="B6" s="1021" t="inlineStr">
        <is>
          <t>여비교통비</t>
        </is>
      </c>
      <c r="C6" s="1022" t="inlineStr">
        <is>
          <t>해외</t>
        </is>
      </c>
      <c r="D6" s="1023" t="n"/>
      <c r="E6" s="1023" t="n"/>
      <c r="F6" s="1025">
        <f>ROUND(E6*$F$3,0)</f>
        <v/>
      </c>
      <c r="G6" s="1031" t="n"/>
      <c r="H6" s="1027" t="inlineStr">
        <is>
          <t>여비교통비</t>
        </is>
      </c>
      <c r="I6" s="1027" t="inlineStr">
        <is>
          <t>해외</t>
        </is>
      </c>
      <c r="J6" s="1028" t="n"/>
      <c r="K6" s="1029" t="n"/>
      <c r="L6" s="1025">
        <f>ROUND(K6*$L$3,0)</f>
        <v/>
      </c>
      <c r="M6" s="1007" t="n"/>
      <c r="N6" s="1007" t="n"/>
      <c r="O6" s="1007" t="n"/>
      <c r="P6" s="1007" t="n"/>
      <c r="Q6" s="1008" t="n"/>
      <c r="R6" s="1008" t="n"/>
      <c r="S6" s="1030">
        <f>F6+L6+R6</f>
        <v/>
      </c>
      <c r="U6" s="1003" t="n"/>
      <c r="V6" s="989" t="n"/>
    </row>
    <row r="7" ht="11.25" customHeight="1" s="654">
      <c r="A7" s="451" t="n">
        <v>51201020</v>
      </c>
      <c r="B7" s="1021" t="inlineStr">
        <is>
          <t>지급임차료</t>
        </is>
      </c>
      <c r="C7" s="1022" t="inlineStr">
        <is>
          <t>사무실임차료</t>
        </is>
      </c>
      <c r="D7" s="1023" t="n"/>
      <c r="E7" s="1023" t="n"/>
      <c r="F7" s="1025">
        <f>ROUND(E7*$F$3,0)</f>
        <v/>
      </c>
      <c r="G7" s="1032" t="n"/>
      <c r="H7" s="1027" t="inlineStr">
        <is>
          <t>지급임차료</t>
        </is>
      </c>
      <c r="I7" s="1027" t="inlineStr">
        <is>
          <t>사무실임차료</t>
        </is>
      </c>
      <c r="J7" s="1028" t="n"/>
      <c r="K7" s="1029" t="n"/>
      <c r="L7" s="1025">
        <f>ROUND(K7*$L$3,0)</f>
        <v/>
      </c>
      <c r="M7" s="1007" t="n"/>
      <c r="N7" s="1007" t="n"/>
      <c r="O7" s="1007" t="n"/>
      <c r="P7" s="1007" t="n"/>
      <c r="Q7" s="1008" t="n"/>
      <c r="R7" s="1008" t="n"/>
      <c r="S7" s="1030">
        <f>F7+L7+R7</f>
        <v/>
      </c>
    </row>
    <row r="8" ht="12.95" customHeight="1" s="654">
      <c r="A8" s="451" t="n">
        <v>51201030</v>
      </c>
      <c r="B8" s="1021" t="inlineStr">
        <is>
          <t>지급임차료</t>
        </is>
      </c>
      <c r="C8" s="1022" t="inlineStr">
        <is>
          <t>차량임차료</t>
        </is>
      </c>
      <c r="D8" s="1023" t="n"/>
      <c r="E8" s="1023" t="n"/>
      <c r="F8" s="1025">
        <f>ROUND(E8*$F$3,0)</f>
        <v/>
      </c>
      <c r="G8" s="1032" t="n"/>
      <c r="H8" s="1027" t="inlineStr">
        <is>
          <t>지급임차료</t>
        </is>
      </c>
      <c r="I8" s="1022" t="inlineStr">
        <is>
          <t>차량임차료</t>
        </is>
      </c>
      <c r="J8" s="1028" t="n"/>
      <c r="K8" s="1029" t="n"/>
      <c r="L8" s="1025">
        <f>ROUND(K8*$L$3,0)</f>
        <v/>
      </c>
      <c r="M8" s="1007" t="n"/>
      <c r="N8" s="1007" t="n"/>
      <c r="O8" s="1007" t="n"/>
      <c r="P8" s="1007" t="n"/>
      <c r="Q8" s="1008" t="n"/>
      <c r="R8" s="1008" t="n"/>
      <c r="S8" s="1030">
        <f>F8+L8+R8</f>
        <v/>
      </c>
    </row>
    <row r="9" ht="11.25" customHeight="1" s="654">
      <c r="A9" s="451" t="n">
        <v>51071700</v>
      </c>
      <c r="B9" s="1021" t="inlineStr">
        <is>
          <t>통신비</t>
        </is>
      </c>
      <c r="C9" s="1022" t="inlineStr">
        <is>
          <t>기타</t>
        </is>
      </c>
      <c r="D9" s="1023" t="n"/>
      <c r="E9" s="1023" t="n"/>
      <c r="F9" s="1025">
        <f>ROUND(E9*$F$3,0)</f>
        <v/>
      </c>
      <c r="G9" s="1033" t="n"/>
      <c r="H9" s="1027" t="inlineStr">
        <is>
          <t>통신비</t>
        </is>
      </c>
      <c r="I9" s="1022" t="inlineStr">
        <is>
          <t>기타</t>
        </is>
      </c>
      <c r="J9" s="1028" t="n"/>
      <c r="K9" s="1029" t="n"/>
      <c r="L9" s="1025">
        <f>ROUND(K9*$L$3,0)</f>
        <v/>
      </c>
      <c r="M9" s="1007" t="n"/>
      <c r="N9" s="1007" t="n"/>
      <c r="O9" s="1007" t="n"/>
      <c r="P9" s="1007" t="n"/>
      <c r="Q9" s="1008" t="n"/>
      <c r="R9" s="1008" t="n"/>
      <c r="S9" s="1030" t="n"/>
    </row>
    <row r="10" ht="11.25" customHeight="1" s="654">
      <c r="A10" s="451" t="n">
        <v>51321010</v>
      </c>
      <c r="B10" s="1021" t="inlineStr">
        <is>
          <t>해외지사비</t>
        </is>
      </c>
      <c r="C10" s="1022" t="n"/>
      <c r="D10" s="1023" t="n"/>
      <c r="E10" s="1023" t="n"/>
      <c r="F10" s="1025">
        <f>ROUND(E10*$F$3,0)</f>
        <v/>
      </c>
      <c r="G10" s="1034" t="n"/>
      <c r="H10" s="1027" t="inlineStr">
        <is>
          <t>해외지사비</t>
        </is>
      </c>
      <c r="I10" s="1027" t="n"/>
      <c r="J10" s="1028" t="n"/>
      <c r="K10" s="1029" t="n"/>
      <c r="L10" s="1025">
        <f>ROUND(K10*$L$3,0)</f>
        <v/>
      </c>
      <c r="M10" s="1007" t="n"/>
      <c r="N10" s="1007" t="n"/>
      <c r="O10" s="1007" t="n"/>
      <c r="P10" s="1007" t="n"/>
      <c r="Q10" s="1008" t="n"/>
      <c r="R10" s="1008" t="n"/>
      <c r="S10" s="1030" t="n"/>
      <c r="U10" s="1003" t="n"/>
      <c r="V10" s="989" t="n"/>
    </row>
    <row r="11" ht="11.25" customFormat="1" customHeight="1" s="1035">
      <c r="A11" s="582" t="n"/>
      <c r="B11" s="1036" t="inlineStr">
        <is>
          <t>세금과공과</t>
        </is>
      </c>
      <c r="C11" s="1036" t="inlineStr">
        <is>
          <t>기타</t>
        </is>
      </c>
      <c r="D11" s="1037" t="n"/>
      <c r="E11" s="1038" t="n"/>
      <c r="F11" s="1039">
        <f>ROUND(E11*$F$3,0)</f>
        <v/>
      </c>
      <c r="H11" s="1036" t="inlineStr">
        <is>
          <t>세금과공과</t>
        </is>
      </c>
      <c r="I11" s="1036" t="inlineStr">
        <is>
          <t>기타</t>
        </is>
      </c>
      <c r="J11" s="1028" t="n"/>
      <c r="K11" s="1029" t="n"/>
      <c r="L11" s="1025">
        <f>ROUND(K11*$L$3,0)</f>
        <v/>
      </c>
      <c r="S11" s="1040" t="n"/>
    </row>
    <row r="12" ht="11.25" customHeight="1" s="654">
      <c r="A12" s="451" t="n">
        <v>51031020</v>
      </c>
      <c r="B12" s="1041" t="inlineStr">
        <is>
          <t>급여(incentive)</t>
        </is>
      </c>
      <c r="C12" s="1042" t="inlineStr">
        <is>
          <t>성과급여조정</t>
        </is>
      </c>
      <c r="D12" s="1041" t="n"/>
      <c r="E12" s="1041" t="n"/>
      <c r="F12" s="1043" t="n"/>
      <c r="G12" s="1044">
        <f>G14/G13</f>
        <v/>
      </c>
      <c r="H12" s="1041" t="inlineStr">
        <is>
          <t>급여(incentive)</t>
        </is>
      </c>
      <c r="I12" s="1041" t="inlineStr">
        <is>
          <t>포상금</t>
        </is>
      </c>
      <c r="J12" s="1045" t="n"/>
      <c r="K12" s="1046" t="n"/>
      <c r="L12" s="1047">
        <f>ROUND(K12*$L$3,0)</f>
        <v/>
      </c>
      <c r="M12" s="1007" t="n"/>
      <c r="N12" s="1007" t="n"/>
      <c r="O12" s="1007" t="n"/>
      <c r="P12" s="1007" t="n"/>
      <c r="Q12" s="1048" t="n"/>
      <c r="R12" s="1008" t="n"/>
      <c r="S12" s="1030" t="n"/>
      <c r="U12" s="1003" t="n"/>
      <c r="V12" s="989" t="n"/>
    </row>
    <row r="13" ht="11.25" customHeight="1" s="654">
      <c r="A13" s="451" t="n">
        <v>52981010</v>
      </c>
      <c r="B13" s="1027" t="inlineStr">
        <is>
          <t>(-)잡이익(50)</t>
        </is>
      </c>
      <c r="C13" s="1022" t="inlineStr">
        <is>
          <t>(-)잡이익</t>
        </is>
      </c>
      <c r="D13" s="488" t="n"/>
      <c r="E13" s="1023" t="n"/>
      <c r="F13" s="1025">
        <f>ROUND(E13*$F$3,0)</f>
        <v/>
      </c>
      <c r="G13" s="1049">
        <f>E14+R14+U14</f>
        <v/>
      </c>
      <c r="H13" s="1027" t="inlineStr">
        <is>
          <t>(-)잡이익(50)</t>
        </is>
      </c>
      <c r="I13" s="1027" t="inlineStr">
        <is>
          <t>(-)잡이익</t>
        </is>
      </c>
      <c r="J13" s="1050" t="n"/>
      <c r="K13" s="1051" t="n"/>
      <c r="L13" s="1025">
        <f>ROUND(K13*$L$3,0)</f>
        <v/>
      </c>
      <c r="M13" s="1007" t="n"/>
      <c r="N13" s="1007" t="n"/>
      <c r="O13" s="1007" t="n"/>
      <c r="P13" s="1007" t="n"/>
      <c r="Q13" s="1048" t="n"/>
      <c r="R13" s="1008" t="n"/>
      <c r="S13" s="1030" t="n"/>
      <c r="U13" s="1003" t="n"/>
      <c r="V13" s="989" t="n"/>
    </row>
    <row r="14" ht="12" customFormat="1" customHeight="1" s="989">
      <c r="A14" s="492" t="n"/>
      <c r="B14" s="1052" t="inlineStr">
        <is>
          <t>Total</t>
        </is>
      </c>
      <c r="C14" s="1053" t="n"/>
      <c r="D14" s="1054">
        <f>SUM(D5:D12)-D13</f>
        <v/>
      </c>
      <c r="E14" s="1055">
        <f>SUM(E5:E12)-E13</f>
        <v/>
      </c>
      <c r="F14" s="1056">
        <f>SUM(F5:F12)-F13</f>
        <v/>
      </c>
      <c r="G14" s="1057">
        <f>F14+#REF!+V14</f>
        <v/>
      </c>
      <c r="H14" s="1052" t="inlineStr">
        <is>
          <t>Total</t>
        </is>
      </c>
      <c r="I14" s="1058" t="n"/>
      <c r="J14" s="1054">
        <f>SUM(J5:J12)-J13</f>
        <v/>
      </c>
      <c r="K14" s="1020">
        <f>SUM(K5:K12)-K13</f>
        <v/>
      </c>
      <c r="L14" s="1056">
        <f>SUM(L5:L12)-L13</f>
        <v/>
      </c>
      <c r="M14" s="1007" t="n"/>
      <c r="N14" s="1007" t="n"/>
      <c r="O14" s="1007" t="n"/>
      <c r="P14" s="1007" t="n"/>
      <c r="R14" s="1007" t="n"/>
      <c r="S14" s="1030" t="n"/>
      <c r="U14" s="1059" t="n"/>
    </row>
    <row r="15" ht="13.5" customHeight="1" s="654">
      <c r="A15" s="427" t="n"/>
      <c r="D15" s="1060" t="n"/>
      <c r="E15" s="1061" t="n"/>
      <c r="F15" s="1062" t="n"/>
      <c r="G15" s="1063" t="n"/>
      <c r="J15" s="1064">
        <f>J14-J13</f>
        <v/>
      </c>
      <c r="K15" s="1064">
        <f>K14-K13</f>
        <v/>
      </c>
      <c r="L15" s="1064">
        <f>L14-L13</f>
        <v/>
      </c>
      <c r="M15" s="1007" t="n"/>
      <c r="N15" s="1007" t="n"/>
      <c r="O15" s="1007" t="n"/>
      <c r="P15" s="1007" t="n"/>
      <c r="Q15" s="1048" t="n"/>
      <c r="R15" s="1008" t="n"/>
      <c r="U15" s="1003" t="n"/>
      <c r="V15" s="989" t="n"/>
    </row>
    <row r="16" ht="13.5" customHeight="1" s="654">
      <c r="A16" s="427" t="n"/>
      <c r="D16" s="1060" t="n"/>
      <c r="E16" s="1061" t="n"/>
      <c r="F16" s="1062" t="n"/>
      <c r="G16" s="1063" t="n"/>
      <c r="J16" s="1064" t="n"/>
      <c r="K16" s="1064" t="n"/>
      <c r="L16" s="1064" t="n"/>
      <c r="M16" s="1007" t="n"/>
      <c r="N16" s="1007" t="n"/>
      <c r="O16" s="1007" t="n"/>
      <c r="P16" s="1007" t="n"/>
      <c r="Q16" s="1048" t="n"/>
      <c r="R16" s="1008" t="n"/>
      <c r="U16" s="1003" t="n"/>
      <c r="V16" s="989" t="n"/>
    </row>
    <row r="17" ht="12" customHeight="1" s="654">
      <c r="A17" s="427" t="n"/>
      <c r="D17" s="1060" t="n"/>
      <c r="E17" s="1061" t="n"/>
      <c r="F17" s="1060" t="n"/>
      <c r="G17" s="1063" t="n"/>
      <c r="J17" s="1065" t="n"/>
      <c r="K17" s="1066" t="n"/>
      <c r="L17" s="1065" t="n"/>
      <c r="M17" s="1066" t="n"/>
      <c r="O17" s="1048" t="n"/>
      <c r="P17" s="1048" t="n"/>
      <c r="Q17" s="1048" t="n"/>
      <c r="R17" s="1067" t="n"/>
      <c r="U17" s="1003" t="n"/>
      <c r="V17" s="989" t="n"/>
    </row>
    <row r="18" ht="11.1" customHeight="1" s="654">
      <c r="A18" s="427" t="n"/>
      <c r="D18" s="987" t="n"/>
      <c r="E18" s="1068" t="n"/>
      <c r="F18" s="1069" t="n"/>
      <c r="G18" s="1063" t="n"/>
      <c r="I18" s="1070">
        <f>SUBTOTAL(9,J21:J96)</f>
        <v/>
      </c>
      <c r="J18" s="1059" t="n"/>
      <c r="K18" s="1070">
        <f>SUBTOTAL(9,L21:L96)</f>
        <v/>
      </c>
      <c r="L18" s="1070">
        <f>SUBTOTAL(9,M21:M96)</f>
        <v/>
      </c>
      <c r="M18" s="1071">
        <f>SUBTOTAL(9,O21:O109)</f>
        <v/>
      </c>
      <c r="N18" s="1070">
        <f>SUBTOTAL(9,O21:O96)</f>
        <v/>
      </c>
      <c r="Q18" s="1003" t="n"/>
    </row>
    <row r="19" ht="11.45" customHeight="1" s="654">
      <c r="A19" s="427" t="n"/>
      <c r="B19" s="1072" t="inlineStr">
        <is>
          <t>날짜</t>
        </is>
      </c>
      <c r="C19" s="1072" t="n"/>
      <c r="D19" s="1072" t="n"/>
      <c r="E19" s="1073" t="inlineStr">
        <is>
          <t>내역</t>
        </is>
      </c>
      <c r="F19" s="1074" t="inlineStr">
        <is>
          <t>담당자</t>
        </is>
      </c>
      <c r="G19" s="1075" t="inlineStr">
        <is>
          <t>증빙번호</t>
        </is>
      </c>
      <c r="H19" s="1074" t="inlineStr">
        <is>
          <t>대계정</t>
        </is>
      </c>
      <c r="I19" s="1076" t="inlineStr">
        <is>
          <t>소계정</t>
        </is>
      </c>
      <c r="J19" s="1077" t="inlineStr">
        <is>
          <t>입금</t>
        </is>
      </c>
      <c r="K19" s="852" t="n"/>
      <c r="L19" s="853" t="n"/>
      <c r="M19" s="1077" t="inlineStr">
        <is>
          <t>출금</t>
        </is>
      </c>
      <c r="N19" s="852" t="n"/>
      <c r="O19" s="853" t="n"/>
      <c r="P19" s="1078" t="inlineStr">
        <is>
          <t>잔액</t>
        </is>
      </c>
      <c r="Q19" s="853" t="n"/>
      <c r="R19" s="1079" t="inlineStr">
        <is>
          <t>비고</t>
        </is>
      </c>
      <c r="S19" s="1080" t="inlineStr">
        <is>
          <t>시스템 판독</t>
        </is>
      </c>
      <c r="T19" s="451" t="n"/>
    </row>
    <row r="20" ht="13.5" customFormat="1" customHeight="1" s="1006">
      <c r="A20" s="592" t="n"/>
      <c r="B20" s="1081" t="inlineStr">
        <is>
          <t>출금일자</t>
        </is>
      </c>
      <c r="C20" s="1081" t="inlineStr">
        <is>
          <t>증빙일자</t>
        </is>
      </c>
      <c r="D20" s="1081" t="inlineStr">
        <is>
          <t>증빙번호(FULL)</t>
        </is>
      </c>
      <c r="E20" s="1082" t="inlineStr">
        <is>
          <t>내역</t>
        </is>
      </c>
      <c r="F20" s="1082" t="inlineStr">
        <is>
          <t>담당자</t>
        </is>
      </c>
      <c r="G20" s="1083" t="inlineStr">
        <is>
          <t>증빙번호</t>
        </is>
      </c>
      <c r="H20" s="1084" t="inlineStr">
        <is>
          <t>대계정</t>
        </is>
      </c>
      <c r="I20" s="1085" t="inlineStr">
        <is>
          <t>소계정</t>
        </is>
      </c>
      <c r="J20" s="1086" t="inlineStr">
        <is>
          <t>CNY</t>
        </is>
      </c>
      <c r="K20" s="1086" t="inlineStr">
        <is>
          <t>환산요율</t>
        </is>
      </c>
      <c r="L20" s="1087" t="inlineStr">
        <is>
          <t>USD</t>
        </is>
      </c>
      <c r="M20" s="1087" t="inlineStr">
        <is>
          <t>CNY</t>
        </is>
      </c>
      <c r="N20" s="1086" t="inlineStr">
        <is>
          <t>환산요율</t>
        </is>
      </c>
      <c r="O20" s="1088" t="inlineStr">
        <is>
          <t>USD</t>
        </is>
      </c>
      <c r="P20" s="1077" t="inlineStr">
        <is>
          <t>CNY</t>
        </is>
      </c>
      <c r="Q20" s="1077" t="inlineStr">
        <is>
          <t>USD</t>
        </is>
      </c>
      <c r="R20" s="1082" t="inlineStr">
        <is>
          <t>비고</t>
        </is>
      </c>
      <c r="S20" s="1082" t="inlineStr">
        <is>
          <t>시스템 판독</t>
        </is>
      </c>
      <c r="T20" s="594" t="n"/>
    </row>
    <row r="21" ht="11.1" customFormat="1" customHeight="1" s="1089">
      <c r="A21" s="537" t="n"/>
      <c r="B21" s="1090" t="n"/>
      <c r="C21" s="1090" t="n"/>
      <c r="D21" s="1090" t="n"/>
      <c r="E21" s="608" t="n"/>
      <c r="F21" s="609" t="n"/>
      <c r="G21" s="610" t="n"/>
      <c r="H21" s="611" t="n"/>
      <c r="I21" s="610" t="n"/>
      <c r="J21" s="612" t="n"/>
      <c r="K21" s="612" t="n"/>
      <c r="L21" s="612" t="n"/>
      <c r="M21" s="1091" t="n"/>
      <c r="N21" s="1092" t="n"/>
      <c r="O21" s="1093" t="n"/>
      <c r="P21" s="1094" t="n"/>
      <c r="Q21" s="1094" t="n">
        <v>0</v>
      </c>
      <c r="R21" s="1095" t="n"/>
      <c r="S21" s="1096" t="n"/>
      <c r="T21" s="1097" t="n"/>
      <c r="U21" s="988" t="n"/>
      <c r="V21" s="988" t="n"/>
      <c r="W21" s="988" t="n"/>
      <c r="X21" s="988" t="n"/>
    </row>
    <row r="22" ht="11.1" customFormat="1" customHeight="1" s="1089">
      <c r="A22" s="537" t="n"/>
      <c r="B22" s="1098" t="inlineStr">
        <is>
          <t>2026-06-18</t>
        </is>
      </c>
      <c r="C22" s="1098" t="inlineStr">
        <is>
          <t>2026-06-15</t>
        </is>
      </c>
      <c r="D22" s="1098" t="inlineStr">
        <is>
          <t>26512000002507455621</t>
        </is>
      </c>
      <c r="E22" s="306" t="inlineStr">
        <is>
          <t>교통비/톨비</t>
        </is>
      </c>
      <c r="F22" s="598" t="inlineStr">
        <is>
          <t>Lin Wei Jian</t>
        </is>
      </c>
      <c r="G22" s="599" t="n">
        <v>1</v>
      </c>
      <c r="H22" s="600" t="inlineStr">
        <is>
          <t>여비교통비</t>
        </is>
      </c>
      <c r="I22" s="599" t="inlineStr">
        <is>
          <t>교통비</t>
        </is>
      </c>
      <c r="J22" s="601" t="n"/>
      <c r="K22" s="601" t="n"/>
      <c r="L22" s="601" t="n"/>
      <c r="M22" s="1099" t="n">
        <v>1804</v>
      </c>
      <c r="N22" s="1100">
        <f>'통장내역(환율표)'!$D$88</f>
        <v/>
      </c>
      <c r="O22" s="1101">
        <f>M22/N22</f>
        <v/>
      </c>
      <c r="P22" s="1102">
        <f>P21+J22-M22</f>
        <v/>
      </c>
      <c r="Q22" s="1102">
        <f>Q21+L22-O22</f>
        <v/>
      </c>
      <c r="R22" s="1103" t="n"/>
      <c r="S22" s="1104" t="inlineStr">
        <is>
          <t>파표 회사코드 일치</t>
        </is>
      </c>
      <c r="T22" s="1097" t="n"/>
      <c r="U22" s="988" t="n"/>
      <c r="V22" s="988" t="n"/>
      <c r="W22" s="988" t="n"/>
      <c r="X22" s="988" t="n"/>
    </row>
    <row r="23" ht="11.25" customFormat="1" customHeight="1" s="1089">
      <c r="A23" s="537" t="n"/>
      <c r="B23" s="1098" t="inlineStr">
        <is>
          <t>2026-06-18</t>
        </is>
      </c>
      <c r="C23" s="1098" t="inlineStr">
        <is>
          <t>2026-06-15</t>
        </is>
      </c>
      <c r="D23" s="1098" t="inlineStr">
        <is>
          <t>26442000006669013351</t>
        </is>
      </c>
      <c r="E23" s="306" t="inlineStr">
        <is>
          <t>교통비/톨비</t>
        </is>
      </c>
      <c r="F23" s="598" t="inlineStr">
        <is>
          <t>Lin Wei Jian</t>
        </is>
      </c>
      <c r="G23" s="599" t="n">
        <v>2</v>
      </c>
      <c r="H23" s="600" t="inlineStr">
        <is>
          <t>여비교통비</t>
        </is>
      </c>
      <c r="I23" s="599" t="inlineStr">
        <is>
          <t>교통비</t>
        </is>
      </c>
      <c r="J23" s="601" t="n"/>
      <c r="K23" s="601" t="n"/>
      <c r="L23" s="601" t="n"/>
      <c r="M23" s="1099" t="n">
        <v>1824</v>
      </c>
      <c r="N23" s="1100">
        <f>'통장내역(환율표)'!$D$88</f>
        <v/>
      </c>
      <c r="O23" s="1101">
        <f>M23/N23</f>
        <v/>
      </c>
      <c r="P23" s="1102">
        <f>P22+J23-M23</f>
        <v/>
      </c>
      <c r="Q23" s="1102">
        <f>Q22+L23-O23</f>
        <v/>
      </c>
      <c r="R23" s="1103" t="n"/>
      <c r="S23" s="1104" t="inlineStr">
        <is>
          <t>파표 회사코드 일치</t>
        </is>
      </c>
      <c r="T23" s="1097" t="n"/>
      <c r="U23" s="988" t="n"/>
      <c r="V23" s="988" t="n"/>
      <c r="W23" s="988" t="n"/>
      <c r="X23" s="988" t="n"/>
    </row>
    <row r="24" ht="11.25" customFormat="1" customHeight="1" s="1089">
      <c r="A24" s="537" t="n"/>
      <c r="B24" s="1098" t="inlineStr">
        <is>
          <t>2026-06-18</t>
        </is>
      </c>
      <c r="C24" s="1098" t="inlineStr">
        <is>
          <t>2026-06-15</t>
        </is>
      </c>
      <c r="D24" s="1098" t="inlineStr">
        <is>
          <t>26442000006669091216</t>
        </is>
      </c>
      <c r="E24" s="306" t="inlineStr">
        <is>
          <t>교통비/톨비</t>
        </is>
      </c>
      <c r="F24" s="598" t="inlineStr">
        <is>
          <t>Lin Wei Jian</t>
        </is>
      </c>
      <c r="G24" s="599" t="n">
        <v>3</v>
      </c>
      <c r="H24" s="600" t="inlineStr">
        <is>
          <t>여비교통비</t>
        </is>
      </c>
      <c r="I24" s="599" t="inlineStr">
        <is>
          <t>교통비</t>
        </is>
      </c>
      <c r="J24" s="601" t="n"/>
      <c r="K24" s="601" t="n"/>
      <c r="L24" s="601" t="n"/>
      <c r="M24" s="1099" t="n">
        <v>1359</v>
      </c>
      <c r="N24" s="1100">
        <f>'통장내역(환율표)'!$D$88</f>
        <v/>
      </c>
      <c r="O24" s="1101">
        <f>M24/N24</f>
        <v/>
      </c>
      <c r="P24" s="1102">
        <f>P23+J24-M24</f>
        <v/>
      </c>
      <c r="Q24" s="1102">
        <f>Q23+L24-O24</f>
        <v/>
      </c>
      <c r="R24" s="1103" t="n"/>
      <c r="S24" s="1104" t="inlineStr">
        <is>
          <t>파표 회사코드 일치</t>
        </is>
      </c>
      <c r="T24" s="1097" t="n"/>
      <c r="U24" s="988" t="n"/>
      <c r="V24" s="988" t="n"/>
      <c r="W24" s="988" t="n"/>
      <c r="X24" s="988" t="n"/>
    </row>
    <row r="25" ht="11.25" customFormat="1" customHeight="1" s="1089">
      <c r="A25" s="537" t="n"/>
      <c r="B25" s="1098" t="inlineStr">
        <is>
          <t>2026-06-18</t>
        </is>
      </c>
      <c r="C25" s="1098" t="inlineStr">
        <is>
          <t>2026-06-15</t>
        </is>
      </c>
      <c r="D25" s="1098" t="inlineStr">
        <is>
          <t>26442000006668490571</t>
        </is>
      </c>
      <c r="E25" s="306" t="inlineStr">
        <is>
          <t>교통비/톨비</t>
        </is>
      </c>
      <c r="F25" s="598" t="inlineStr">
        <is>
          <t>Lin Wei Jian</t>
        </is>
      </c>
      <c r="G25" s="599" t="n">
        <v>4</v>
      </c>
      <c r="H25" s="600" t="inlineStr">
        <is>
          <t>여비교통비</t>
        </is>
      </c>
      <c r="I25" s="599" t="inlineStr">
        <is>
          <t>교통비</t>
        </is>
      </c>
      <c r="J25" s="601" t="n"/>
      <c r="K25" s="601" t="n"/>
      <c r="L25" s="601" t="n"/>
      <c r="M25" s="1099" t="n">
        <v>1374</v>
      </c>
      <c r="N25" s="1100">
        <f>'통장내역(환율표)'!$D$88</f>
        <v/>
      </c>
      <c r="O25" s="1101">
        <f>M25/N25</f>
        <v/>
      </c>
      <c r="P25" s="1102">
        <f>P24+J25-M25</f>
        <v/>
      </c>
      <c r="Q25" s="1102">
        <f>Q24+L25-O25</f>
        <v/>
      </c>
      <c r="R25" s="1103" t="n"/>
      <c r="S25" s="1104" t="inlineStr">
        <is>
          <t>파표 회사코드 일치</t>
        </is>
      </c>
      <c r="T25" s="1097" t="n"/>
      <c r="U25" s="988" t="n"/>
      <c r="V25" s="988" t="n"/>
      <c r="W25" s="988" t="n"/>
      <c r="X25" s="988" t="n"/>
    </row>
    <row r="26" ht="11.25" customFormat="1" customHeight="1" s="1089">
      <c r="A26" s="537" t="n"/>
      <c r="B26" s="1098" t="inlineStr">
        <is>
          <t>2026-06-18</t>
        </is>
      </c>
      <c r="C26" s="1098" t="n"/>
      <c r="D26" s="1098" t="inlineStr"/>
      <c r="E26" s="306" t="inlineStr">
        <is>
          <t>톨비</t>
        </is>
      </c>
      <c r="F26" s="598" t="inlineStr">
        <is>
          <t>Lin Wei Jian</t>
        </is>
      </c>
      <c r="G26" s="599" t="n">
        <v>5</v>
      </c>
      <c r="H26" s="600" t="inlineStr">
        <is>
          <t>여비교통비</t>
        </is>
      </c>
      <c r="I26" s="599" t="inlineStr">
        <is>
          <t>교통비</t>
        </is>
      </c>
      <c r="J26" s="601" t="n"/>
      <c r="K26" s="601" t="n"/>
      <c r="L26" s="601" t="n"/>
      <c r="M26" s="1099" t="n">
        <v>543.5</v>
      </c>
      <c r="N26" s="1100">
        <f>'통장내역(환율표)'!$D$88</f>
        <v/>
      </c>
      <c r="O26" s="1101">
        <f>M26/N26</f>
        <v/>
      </c>
      <c r="P26" s="1102">
        <f>P25+J26-M26</f>
        <v/>
      </c>
      <c r="Q26" s="1102">
        <f>Q25+L26-O26</f>
        <v/>
      </c>
      <c r="R26" s="1103" t="n"/>
      <c r="S26" s="1104" t="n"/>
      <c r="T26" s="1097" t="n"/>
      <c r="U26" s="988" t="n"/>
      <c r="V26" s="988" t="n"/>
      <c r="W26" s="988" t="n"/>
      <c r="X26" s="988" t="n"/>
    </row>
    <row r="27" ht="11.25" customFormat="1" customHeight="1" s="1089">
      <c r="A27" s="537" t="n"/>
      <c r="B27" s="1098" t="inlineStr">
        <is>
          <t>2026-06-18</t>
        </is>
      </c>
      <c r="C27" s="1098" t="inlineStr">
        <is>
          <t>2026-06-12</t>
        </is>
      </c>
      <c r="D27" s="1098" t="inlineStr">
        <is>
          <t>151002565028</t>
        </is>
      </c>
      <c r="E27" s="306" t="inlineStr">
        <is>
          <t>톨비</t>
        </is>
      </c>
      <c r="F27" s="598" t="inlineStr">
        <is>
          <t>Lin Wei Jian</t>
        </is>
      </c>
      <c r="G27" s="599" t="n">
        <v>6</v>
      </c>
      <c r="H27" s="600" t="inlineStr">
        <is>
          <t>여비교통비</t>
        </is>
      </c>
      <c r="I27" s="599" t="inlineStr">
        <is>
          <t>교통비</t>
        </is>
      </c>
      <c r="J27" s="601" t="n"/>
      <c r="K27" s="601" t="n"/>
      <c r="L27" s="601" t="n"/>
      <c r="M27" s="1099" t="n">
        <v>124</v>
      </c>
      <c r="N27" s="1100">
        <f>'통장내역(환율표)'!$D$88</f>
        <v/>
      </c>
      <c r="O27" s="1101">
        <f>M27/N27</f>
        <v/>
      </c>
      <c r="P27" s="1102">
        <f>P26+J27-M27</f>
        <v/>
      </c>
      <c r="Q27" s="1102">
        <f>Q26+L27-O27</f>
        <v/>
      </c>
      <c r="R27" s="1103" t="n"/>
      <c r="S27" s="1105" t="inlineStr">
        <is>
          <t>파표 회사코드 불일치/누락</t>
        </is>
      </c>
      <c r="T27" s="1097" t="n"/>
      <c r="U27" s="988" t="n"/>
      <c r="V27" s="988" t="n"/>
      <c r="W27" s="988" t="n"/>
      <c r="X27" s="988" t="n"/>
    </row>
    <row r="28" ht="11.25" customFormat="1" customHeight="1" s="1089">
      <c r="A28" s="537" t="n"/>
      <c r="B28" s="1098" t="inlineStr">
        <is>
          <t>2026-06-18</t>
        </is>
      </c>
      <c r="C28" s="1098" t="inlineStr">
        <is>
          <t>2026-06-11</t>
        </is>
      </c>
      <c r="D28" s="1098" t="inlineStr">
        <is>
          <t>26952000002433520066</t>
        </is>
      </c>
      <c r="E28" s="306" t="inlineStr">
        <is>
          <t>교통비/톨비</t>
        </is>
      </c>
      <c r="F28" s="598" t="inlineStr">
        <is>
          <t>Lin Wei Jian</t>
        </is>
      </c>
      <c r="G28" s="599" t="n">
        <v>7</v>
      </c>
      <c r="H28" s="600" t="inlineStr">
        <is>
          <t>여비교통비</t>
        </is>
      </c>
      <c r="I28" s="599" t="inlineStr">
        <is>
          <t>교통비</t>
        </is>
      </c>
      <c r="J28" s="601" t="n"/>
      <c r="K28" s="601" t="n"/>
      <c r="L28" s="601" t="n"/>
      <c r="M28" s="1099" t="n">
        <v>880</v>
      </c>
      <c r="N28" s="1100">
        <f>'통장내역(환율표)'!$D$88</f>
        <v/>
      </c>
      <c r="O28" s="1101">
        <f>M28/N28</f>
        <v/>
      </c>
      <c r="P28" s="1102">
        <f>P27+J28-M28</f>
        <v/>
      </c>
      <c r="Q28" s="1102">
        <f>Q27+L28-O28</f>
        <v/>
      </c>
      <c r="R28" s="1103" t="n"/>
      <c r="S28" s="1104" t="inlineStr">
        <is>
          <t>파표 회사코드 일치</t>
        </is>
      </c>
      <c r="T28" s="1097" t="n"/>
      <c r="U28" s="988" t="n"/>
      <c r="V28" s="988" t="n"/>
      <c r="W28" s="988" t="n"/>
      <c r="X28" s="988" t="n"/>
    </row>
    <row r="29" ht="12" customFormat="1" customHeight="1" s="1089">
      <c r="A29" s="537" t="n"/>
      <c r="B29" s="1098" t="inlineStr">
        <is>
          <t>2026-06-18</t>
        </is>
      </c>
      <c r="C29" s="1098" t="inlineStr">
        <is>
          <t>2026-06-15</t>
        </is>
      </c>
      <c r="D29" s="1098" t="inlineStr">
        <is>
          <t>26517000000466701406</t>
        </is>
      </c>
      <c r="E29" s="306" t="inlineStr">
        <is>
          <t>교통비</t>
        </is>
      </c>
      <c r="F29" s="598" t="inlineStr">
        <is>
          <t>Lin Wei Jian</t>
        </is>
      </c>
      <c r="G29" s="599" t="n">
        <v>8</v>
      </c>
      <c r="H29" s="600" t="inlineStr">
        <is>
          <t>여비교통비</t>
        </is>
      </c>
      <c r="I29" s="599" t="inlineStr">
        <is>
          <t>교통비</t>
        </is>
      </c>
      <c r="J29" s="601" t="n"/>
      <c r="K29" s="601" t="n"/>
      <c r="L29" s="601" t="n"/>
      <c r="M29" s="1099" t="n">
        <v>394.5</v>
      </c>
      <c r="N29" s="1100">
        <f>'통장내역(환율표)'!$D$88</f>
        <v/>
      </c>
      <c r="O29" s="1101">
        <f>M29/N29</f>
        <v/>
      </c>
      <c r="P29" s="1102">
        <f>P28+J29-M29</f>
        <v/>
      </c>
      <c r="Q29" s="1102">
        <f>Q28+L29-O29</f>
        <v/>
      </c>
      <c r="R29" s="1103" t="n"/>
      <c r="S29" s="1104" t="inlineStr">
        <is>
          <t>파표 회사코드 일치</t>
        </is>
      </c>
      <c r="T29" s="1097" t="n"/>
      <c r="U29" s="988" t="n"/>
      <c r="V29" s="988" t="n"/>
      <c r="W29" s="988" t="n"/>
      <c r="X29" s="988" t="n"/>
    </row>
    <row r="30" ht="12" customFormat="1" customHeight="1" s="1089">
      <c r="A30" s="537" t="n"/>
      <c r="B30" s="1098" t="inlineStr">
        <is>
          <t>2026-06-18</t>
        </is>
      </c>
      <c r="C30" s="1098" t="inlineStr">
        <is>
          <t>2026-06-15</t>
        </is>
      </c>
      <c r="D30" s="1098" t="inlineStr">
        <is>
          <t>26957000000165619116</t>
        </is>
      </c>
      <c r="E30" s="306" t="inlineStr">
        <is>
          <t>교통비</t>
        </is>
      </c>
      <c r="F30" s="598" t="inlineStr">
        <is>
          <t>Lin Wei Jian</t>
        </is>
      </c>
      <c r="G30" s="599" t="n">
        <v>9</v>
      </c>
      <c r="H30" s="600" t="inlineStr">
        <is>
          <t>여비교통비</t>
        </is>
      </c>
      <c r="I30" s="599" t="inlineStr">
        <is>
          <t>교통비</t>
        </is>
      </c>
      <c r="J30" s="601" t="n"/>
      <c r="K30" s="601" t="n"/>
      <c r="L30" s="601" t="n"/>
      <c r="M30" s="1099" t="n">
        <v>589.9</v>
      </c>
      <c r="N30" s="1100">
        <f>'통장내역(환율표)'!$D$88</f>
        <v/>
      </c>
      <c r="O30" s="1101">
        <f>M30/N30</f>
        <v/>
      </c>
      <c r="P30" s="1102">
        <f>P29+J30-M30</f>
        <v/>
      </c>
      <c r="Q30" s="1102">
        <f>Q29+L30-O30</f>
        <v/>
      </c>
      <c r="R30" s="1103" t="n"/>
      <c r="S30" s="1104" t="inlineStr">
        <is>
          <t>파표 회사코드 일치</t>
        </is>
      </c>
      <c r="T30" s="1097" t="n"/>
      <c r="U30" s="988" t="n"/>
      <c r="V30" s="988" t="n"/>
      <c r="W30" s="988" t="n"/>
      <c r="X30" s="988" t="n"/>
    </row>
    <row r="31" ht="12" customFormat="1" customHeight="1" s="1089">
      <c r="A31" s="537" t="n"/>
      <c r="B31" s="1098" t="inlineStr">
        <is>
          <t>2026-06-18</t>
        </is>
      </c>
      <c r="C31" s="1098" t="inlineStr">
        <is>
          <t>2026-06-15</t>
        </is>
      </c>
      <c r="D31" s="1098" t="inlineStr">
        <is>
          <t>26447000001222315056</t>
        </is>
      </c>
      <c r="E31" s="306" t="inlineStr">
        <is>
          <t>교통비</t>
        </is>
      </c>
      <c r="F31" s="598" t="inlineStr">
        <is>
          <t>Lin Wei Jian</t>
        </is>
      </c>
      <c r="G31" s="599" t="n">
        <v>10</v>
      </c>
      <c r="H31" s="600" t="inlineStr">
        <is>
          <t>여비교통비</t>
        </is>
      </c>
      <c r="I31" s="599" t="inlineStr">
        <is>
          <t>교통비</t>
        </is>
      </c>
      <c r="J31" s="601" t="n"/>
      <c r="K31" s="601" t="n"/>
      <c r="L31" s="601" t="n"/>
      <c r="M31" s="1099" t="n">
        <v>887.8</v>
      </c>
      <c r="N31" s="1100">
        <f>'통장내역(환율표)'!$D$88</f>
        <v/>
      </c>
      <c r="O31" s="1101">
        <f>M31/N31</f>
        <v/>
      </c>
      <c r="P31" s="1102">
        <f>P30+J31-M31</f>
        <v/>
      </c>
      <c r="Q31" s="1102">
        <f>Q30+L31-O31</f>
        <v/>
      </c>
      <c r="R31" s="1103" t="n"/>
      <c r="S31" s="1104" t="inlineStr">
        <is>
          <t>파표 회사코드 일치</t>
        </is>
      </c>
      <c r="T31" s="1097" t="n"/>
      <c r="U31" s="988" t="n"/>
      <c r="V31" s="988" t="n"/>
      <c r="W31" s="988" t="n"/>
      <c r="X31" s="988" t="n"/>
    </row>
    <row r="32" ht="12" customFormat="1" customHeight="1" s="1089">
      <c r="A32" s="537" t="n"/>
      <c r="B32" s="1098" t="inlineStr">
        <is>
          <t>2026-06-18</t>
        </is>
      </c>
      <c r="C32" s="1098" t="inlineStr">
        <is>
          <t>2026-06-15</t>
        </is>
      </c>
      <c r="D32" s="1098" t="inlineStr">
        <is>
          <t>26127000000304975197</t>
        </is>
      </c>
      <c r="E32" s="306" t="inlineStr">
        <is>
          <t>교통비</t>
        </is>
      </c>
      <c r="F32" s="598" t="inlineStr">
        <is>
          <t>Lin Wei Jian</t>
        </is>
      </c>
      <c r="G32" s="599" t="n">
        <v>11</v>
      </c>
      <c r="H32" s="600" t="inlineStr">
        <is>
          <t>여비교통비</t>
        </is>
      </c>
      <c r="I32" s="599" t="inlineStr">
        <is>
          <t>교통비</t>
        </is>
      </c>
      <c r="J32" s="601" t="n"/>
      <c r="K32" s="601" t="n"/>
      <c r="L32" s="601" t="n"/>
      <c r="M32" s="1099" t="n">
        <v>81.2</v>
      </c>
      <c r="N32" s="1100">
        <f>'통장내역(환율표)'!$D$88</f>
        <v/>
      </c>
      <c r="O32" s="1101">
        <f>M32/N32</f>
        <v/>
      </c>
      <c r="P32" s="1102">
        <f>P31+J32-M32</f>
        <v/>
      </c>
      <c r="Q32" s="1102">
        <f>Q31+L32-O32</f>
        <v/>
      </c>
      <c r="R32" s="1103" t="n"/>
      <c r="S32" s="1104" t="inlineStr">
        <is>
          <t>파표 회사코드 일치</t>
        </is>
      </c>
      <c r="T32" s="1097" t="n"/>
      <c r="U32" s="988" t="n"/>
      <c r="V32" s="988" t="n"/>
      <c r="W32" s="988" t="n"/>
      <c r="X32" s="988" t="n"/>
    </row>
    <row r="33" ht="12" customFormat="1" customHeight="1" s="1089">
      <c r="A33" s="537" t="n"/>
      <c r="B33" s="1098" t="inlineStr">
        <is>
          <t>2026-06-18</t>
        </is>
      </c>
      <c r="C33" s="1098" t="inlineStr">
        <is>
          <t>2026-06-15</t>
        </is>
      </c>
      <c r="D33" s="1098" t="inlineStr">
        <is>
          <t>45212619</t>
        </is>
      </c>
      <c r="E33" s="306" t="inlineStr">
        <is>
          <t>화물운송료</t>
        </is>
      </c>
      <c r="F33" s="598" t="inlineStr">
        <is>
          <t>Lin Wei Jian</t>
        </is>
      </c>
      <c r="G33" s="599" t="n">
        <v>12</v>
      </c>
      <c r="H33" s="600" t="inlineStr">
        <is>
          <t>해외지사비</t>
        </is>
      </c>
      <c r="I33" s="599" t="inlineStr">
        <is>
          <t>운반비</t>
        </is>
      </c>
      <c r="J33" s="601" t="n"/>
      <c r="K33" s="601" t="n"/>
      <c r="L33" s="601" t="n"/>
      <c r="M33" s="1099" t="n">
        <v>132.36</v>
      </c>
      <c r="N33" s="1100">
        <f>'통장내역(환율표)'!$D$88</f>
        <v/>
      </c>
      <c r="O33" s="1101">
        <f>M33/N33</f>
        <v/>
      </c>
      <c r="P33" s="1102">
        <f>P32+J33-M33</f>
        <v/>
      </c>
      <c r="Q33" s="1102">
        <f>Q32+L33-O33</f>
        <v/>
      </c>
      <c r="R33" s="1103" t="n"/>
      <c r="S33" s="1104" t="inlineStr">
        <is>
          <t>파표 회사코드 일치</t>
        </is>
      </c>
      <c r="T33" s="1097" t="n"/>
      <c r="U33" s="988" t="n"/>
      <c r="V33" s="988" t="n"/>
      <c r="W33" s="988" t="n"/>
      <c r="X33" s="988" t="n"/>
    </row>
    <row r="34" ht="12" customFormat="1" customHeight="1" s="1089">
      <c r="A34" s="537" t="n"/>
      <c r="B34" s="1098" t="inlineStr">
        <is>
          <t>2026-06-18</t>
        </is>
      </c>
      <c r="C34" s="1098" t="inlineStr">
        <is>
          <t>2026-06-15</t>
        </is>
      </c>
      <c r="D34" s="1098" t="inlineStr">
        <is>
          <t>26957000000162960397</t>
        </is>
      </c>
      <c r="E34" s="306" t="inlineStr">
        <is>
          <t>교통비/톨비</t>
        </is>
      </c>
      <c r="F34" s="598" t="inlineStr">
        <is>
          <t>Lin Wei Jian</t>
        </is>
      </c>
      <c r="G34" s="599" t="n">
        <v>13</v>
      </c>
      <c r="H34" s="600" t="inlineStr">
        <is>
          <t>여비교통비</t>
        </is>
      </c>
      <c r="I34" s="599" t="inlineStr">
        <is>
          <t>교통비</t>
        </is>
      </c>
      <c r="J34" s="601" t="n"/>
      <c r="K34" s="601" t="n"/>
      <c r="L34" s="601" t="n"/>
      <c r="M34" s="1099" t="n">
        <v>300</v>
      </c>
      <c r="N34" s="1100">
        <f>'통장내역(환율표)'!$D$88</f>
        <v/>
      </c>
      <c r="O34" s="1101">
        <f>M34/N34</f>
        <v/>
      </c>
      <c r="P34" s="1102">
        <f>P33+J34-M34</f>
        <v/>
      </c>
      <c r="Q34" s="1102">
        <f>Q33+L34-O34</f>
        <v/>
      </c>
      <c r="R34" s="1103" t="n"/>
      <c r="S34" s="1105" t="inlineStr">
        <is>
          <t>파표 회사코드 불일치/누락</t>
        </is>
      </c>
      <c r="T34" s="1097" t="n"/>
      <c r="U34" s="988" t="n"/>
      <c r="V34" s="988" t="n"/>
      <c r="W34" s="988" t="n"/>
      <c r="X34" s="988" t="n"/>
    </row>
    <row r="35" ht="12" customFormat="1" customHeight="1" s="1089">
      <c r="A35" s="537" t="n"/>
      <c r="B35" s="1098" t="inlineStr">
        <is>
          <t>2026-06-18</t>
        </is>
      </c>
      <c r="C35" s="1098" t="inlineStr">
        <is>
          <t>2026-06-15</t>
        </is>
      </c>
      <c r="D35" s="1098" t="inlineStr">
        <is>
          <t>26327000001122217547</t>
        </is>
      </c>
      <c r="E35" s="306" t="inlineStr">
        <is>
          <t>교통비/톨비</t>
        </is>
      </c>
      <c r="F35" s="598" t="inlineStr">
        <is>
          <t>Lin Wei Jian</t>
        </is>
      </c>
      <c r="G35" s="599" t="n">
        <v>14</v>
      </c>
      <c r="H35" s="600" t="inlineStr">
        <is>
          <t>여비교통비</t>
        </is>
      </c>
      <c r="I35" s="599" t="inlineStr">
        <is>
          <t>교통비</t>
        </is>
      </c>
      <c r="J35" s="601" t="n"/>
      <c r="K35" s="601" t="n"/>
      <c r="L35" s="601" t="n"/>
      <c r="M35" s="1099" t="n">
        <v>1073</v>
      </c>
      <c r="N35" s="1100">
        <f>'통장내역(환율표)'!$D$88</f>
        <v/>
      </c>
      <c r="O35" s="1101">
        <f>M35/N35</f>
        <v/>
      </c>
      <c r="P35" s="1102">
        <f>P34+J35-M35</f>
        <v/>
      </c>
      <c r="Q35" s="1102">
        <f>Q34+L35-O35</f>
        <v/>
      </c>
      <c r="R35" s="1103" t="n"/>
      <c r="S35" s="1104" t="inlineStr">
        <is>
          <t>파표 회사코드 일치</t>
        </is>
      </c>
      <c r="T35" s="1097" t="n"/>
      <c r="U35" s="988" t="n"/>
      <c r="V35" s="988" t="n"/>
      <c r="W35" s="988" t="n"/>
      <c r="X35" s="988" t="n"/>
    </row>
    <row r="36" ht="12" customFormat="1" customHeight="1" s="1089">
      <c r="A36" s="537" t="n"/>
      <c r="B36" s="1098" t="inlineStr">
        <is>
          <t>2026-06-18</t>
        </is>
      </c>
      <c r="C36" s="1098" t="inlineStr">
        <is>
          <t>2026-06-15</t>
        </is>
      </c>
      <c r="D36" s="1098" t="inlineStr">
        <is>
          <t>26327000001119045774</t>
        </is>
      </c>
      <c r="E36" s="306" t="inlineStr">
        <is>
          <t>교통비/톨비</t>
        </is>
      </c>
      <c r="F36" s="598" t="inlineStr">
        <is>
          <t>Lin Wei Jian</t>
        </is>
      </c>
      <c r="G36" s="599" t="n">
        <v>15</v>
      </c>
      <c r="H36" s="600" t="inlineStr">
        <is>
          <t>여비교통비</t>
        </is>
      </c>
      <c r="I36" s="599" t="inlineStr">
        <is>
          <t>교통비</t>
        </is>
      </c>
      <c r="J36" s="601" t="n"/>
      <c r="K36" s="601" t="n"/>
      <c r="L36" s="601" t="n"/>
      <c r="M36" s="1099" t="n">
        <v>40</v>
      </c>
      <c r="N36" s="1100">
        <f>'통장내역(환율표)'!$D$88</f>
        <v/>
      </c>
      <c r="O36" s="1101">
        <f>M36/N36</f>
        <v/>
      </c>
      <c r="P36" s="1102">
        <f>P35+J36-M36</f>
        <v/>
      </c>
      <c r="Q36" s="1102">
        <f>Q35+L36-O36</f>
        <v/>
      </c>
      <c r="R36" s="1103" t="n"/>
      <c r="S36" s="1104" t="inlineStr">
        <is>
          <t>파표 회사코드 일치</t>
        </is>
      </c>
      <c r="T36" s="1097" t="n"/>
      <c r="U36" s="988" t="n"/>
      <c r="V36" s="988" t="n"/>
      <c r="W36" s="988" t="n"/>
      <c r="X36" s="988" t="n"/>
    </row>
    <row r="37" ht="12" customFormat="1" customHeight="1" s="1089">
      <c r="A37" s="537" t="n"/>
      <c r="B37" s="1098" t="inlineStr">
        <is>
          <t>2026-06-18</t>
        </is>
      </c>
      <c r="C37" s="1098" t="inlineStr">
        <is>
          <t>2026-06-15</t>
        </is>
      </c>
      <c r="D37" s="1098" t="inlineStr">
        <is>
          <t>26327000001122217548</t>
        </is>
      </c>
      <c r="E37" s="306" t="inlineStr">
        <is>
          <t>교통비/톨비</t>
        </is>
      </c>
      <c r="F37" s="598" t="inlineStr">
        <is>
          <t>Lin Wei Jian</t>
        </is>
      </c>
      <c r="G37" s="599" t="n">
        <v>16</v>
      </c>
      <c r="H37" s="600" t="inlineStr">
        <is>
          <t>여비교통비</t>
        </is>
      </c>
      <c r="I37" s="599" t="inlineStr">
        <is>
          <t>교통비</t>
        </is>
      </c>
      <c r="J37" s="601" t="n"/>
      <c r="K37" s="601" t="n"/>
      <c r="L37" s="601" t="n"/>
      <c r="M37" s="1099" t="n">
        <v>63</v>
      </c>
      <c r="N37" s="1100">
        <f>'통장내역(환율표)'!$D$88</f>
        <v/>
      </c>
      <c r="O37" s="1101">
        <f>M37/N37</f>
        <v/>
      </c>
      <c r="P37" s="1102">
        <f>P36+J37-M37</f>
        <v/>
      </c>
      <c r="Q37" s="1102">
        <f>Q36+L37-O37</f>
        <v/>
      </c>
      <c r="R37" s="1103" t="n"/>
      <c r="S37" s="1104" t="inlineStr">
        <is>
          <t>파표 회사코드 일치</t>
        </is>
      </c>
      <c r="T37" s="1097" t="n"/>
      <c r="U37" s="988" t="n"/>
      <c r="V37" s="988" t="n"/>
      <c r="W37" s="988" t="n"/>
      <c r="X37" s="988" t="n"/>
    </row>
    <row r="38" ht="12" customFormat="1" customHeight="1" s="1089">
      <c r="A38" s="537" t="n"/>
      <c r="B38" s="1098" t="inlineStr">
        <is>
          <t>2026-06-18</t>
        </is>
      </c>
      <c r="C38" s="1098" t="inlineStr">
        <is>
          <t>2026-06-05</t>
        </is>
      </c>
      <c r="D38" s="1098" t="inlineStr">
        <is>
          <t>26957000000141421480</t>
        </is>
      </c>
      <c r="E38" s="306" t="inlineStr">
        <is>
          <t>교통비/톨비</t>
        </is>
      </c>
      <c r="F38" s="598" t="inlineStr">
        <is>
          <t>Lin Wei Jian</t>
        </is>
      </c>
      <c r="G38" s="599" t="n">
        <v>17</v>
      </c>
      <c r="H38" s="600" t="inlineStr">
        <is>
          <t>여비교통비</t>
        </is>
      </c>
      <c r="I38" s="599" t="inlineStr">
        <is>
          <t>교통비</t>
        </is>
      </c>
      <c r="J38" s="601" t="n"/>
      <c r="K38" s="601" t="n"/>
      <c r="L38" s="601" t="n"/>
      <c r="M38" s="1099" t="n">
        <v>176</v>
      </c>
      <c r="N38" s="1100">
        <f>'통장내역(환율표)'!$D$88</f>
        <v/>
      </c>
      <c r="O38" s="1101">
        <f>M38/N38</f>
        <v/>
      </c>
      <c r="P38" s="1102">
        <f>P37+J38-M38</f>
        <v/>
      </c>
      <c r="Q38" s="1102">
        <f>Q37+L38-O38</f>
        <v/>
      </c>
      <c r="R38" s="1103" t="n"/>
      <c r="S38" s="1104" t="inlineStr">
        <is>
          <t>파표 회사코드 일치</t>
        </is>
      </c>
      <c r="T38" s="1097" t="n"/>
      <c r="U38" s="988" t="n"/>
      <c r="V38" s="988" t="n"/>
      <c r="W38" s="988" t="n"/>
      <c r="X38" s="988" t="n"/>
    </row>
    <row r="39" ht="11.1" customFormat="1" customHeight="1" s="1089">
      <c r="A39" s="537" t="n"/>
      <c r="B39" s="1098" t="inlineStr">
        <is>
          <t>2026-06-18</t>
        </is>
      </c>
      <c r="C39" s="1098" t="inlineStr">
        <is>
          <t>2026-06-05</t>
        </is>
      </c>
      <c r="D39" s="1098" t="inlineStr">
        <is>
          <t>26957000000141421481</t>
        </is>
      </c>
      <c r="E39" s="306" t="inlineStr">
        <is>
          <t>교통비/톨비</t>
        </is>
      </c>
      <c r="F39" s="598" t="inlineStr">
        <is>
          <t>Lin Wei Jian</t>
        </is>
      </c>
      <c r="G39" s="599" t="n">
        <v>18</v>
      </c>
      <c r="H39" s="600" t="inlineStr">
        <is>
          <t>여비교통비</t>
        </is>
      </c>
      <c r="I39" s="599" t="inlineStr">
        <is>
          <t>교통비</t>
        </is>
      </c>
      <c r="J39" s="601" t="n"/>
      <c r="K39" s="601" t="n"/>
      <c r="L39" s="601" t="n"/>
      <c r="M39" s="1099" t="n">
        <v>176</v>
      </c>
      <c r="N39" s="1100">
        <f>'통장내역(환율표)'!$D$88</f>
        <v/>
      </c>
      <c r="O39" s="1101">
        <f>M39/N39</f>
        <v/>
      </c>
      <c r="P39" s="1102">
        <f>P38+J39-M39</f>
        <v/>
      </c>
      <c r="Q39" s="1102">
        <f>Q38+L39-O39</f>
        <v/>
      </c>
      <c r="R39" s="1103" t="n"/>
      <c r="S39" s="1104" t="inlineStr">
        <is>
          <t>파표 회사코드 일치</t>
        </is>
      </c>
      <c r="T39" s="1097" t="n"/>
      <c r="U39" s="988" t="n"/>
      <c r="V39" s="988" t="n"/>
      <c r="W39" s="988" t="n"/>
      <c r="X39" s="988" t="n"/>
    </row>
    <row r="40" ht="11.25" customFormat="1" customHeight="1" s="1089">
      <c r="A40" s="537" t="n"/>
      <c r="B40" s="1098" t="inlineStr">
        <is>
          <t>2026-06-18</t>
        </is>
      </c>
      <c r="C40" s="1098" t="inlineStr">
        <is>
          <t>2026-06-05</t>
        </is>
      </c>
      <c r="D40" s="1098" t="inlineStr">
        <is>
          <t>26957000000141421482</t>
        </is>
      </c>
      <c r="E40" s="306" t="inlineStr">
        <is>
          <t>교통비/톨비</t>
        </is>
      </c>
      <c r="F40" s="598" t="inlineStr">
        <is>
          <t>Lin Wei Jian</t>
        </is>
      </c>
      <c r="G40" s="599" t="n">
        <v>19</v>
      </c>
      <c r="H40" s="600" t="inlineStr">
        <is>
          <t>여비교통비</t>
        </is>
      </c>
      <c r="I40" s="599" t="inlineStr">
        <is>
          <t>교통비</t>
        </is>
      </c>
      <c r="J40" s="601" t="n"/>
      <c r="K40" s="601" t="n"/>
      <c r="L40" s="601" t="n"/>
      <c r="M40" s="1099" t="n">
        <v>198.9</v>
      </c>
      <c r="N40" s="1100">
        <f>'통장내역(환율표)'!$D$88</f>
        <v/>
      </c>
      <c r="O40" s="1101">
        <f>M40/N40</f>
        <v/>
      </c>
      <c r="P40" s="1102">
        <f>P39+J40-M40</f>
        <v/>
      </c>
      <c r="Q40" s="1102">
        <f>Q39+L40-O40</f>
        <v/>
      </c>
      <c r="R40" s="1103" t="n"/>
      <c r="S40" s="1104" t="inlineStr">
        <is>
          <t>파표 회사코드 일치</t>
        </is>
      </c>
      <c r="T40" s="1097" t="n"/>
      <c r="U40" s="988" t="n"/>
      <c r="V40" s="988" t="n"/>
      <c r="W40" s="988" t="n"/>
      <c r="X40" s="988" t="n"/>
    </row>
    <row r="41" ht="11.25" customFormat="1" customHeight="1" s="1089">
      <c r="A41" s="537" t="n"/>
      <c r="B41" s="1098" t="inlineStr">
        <is>
          <t>2026-06-18</t>
        </is>
      </c>
      <c r="C41" s="1098" t="inlineStr">
        <is>
          <t>2026-06-05</t>
        </is>
      </c>
      <c r="D41" s="1098" t="inlineStr">
        <is>
          <t>26957000000141421483</t>
        </is>
      </c>
      <c r="E41" s="306" t="inlineStr">
        <is>
          <t>교통비/톨비</t>
        </is>
      </c>
      <c r="F41" s="598" t="inlineStr">
        <is>
          <t>Lin Wei Jian</t>
        </is>
      </c>
      <c r="G41" s="599" t="n">
        <v>20</v>
      </c>
      <c r="H41" s="600" t="inlineStr">
        <is>
          <t>여비교통비</t>
        </is>
      </c>
      <c r="I41" s="599" t="inlineStr">
        <is>
          <t>교통비</t>
        </is>
      </c>
      <c r="J41" s="601" t="n"/>
      <c r="K41" s="601" t="n"/>
      <c r="L41" s="601" t="n"/>
      <c r="M41" s="1099" t="n">
        <v>197.1</v>
      </c>
      <c r="N41" s="1100">
        <f>'통장내역(환율표)'!$D$88</f>
        <v/>
      </c>
      <c r="O41" s="1101">
        <f>M41/N41</f>
        <v/>
      </c>
      <c r="P41" s="1102">
        <f>P40+J41-M41</f>
        <v/>
      </c>
      <c r="Q41" s="1102">
        <f>Q40+L41-O41</f>
        <v/>
      </c>
      <c r="R41" s="1103" t="n"/>
      <c r="S41" s="1104" t="inlineStr">
        <is>
          <t>파표 회사코드 일치</t>
        </is>
      </c>
      <c r="T41" s="1097" t="n"/>
      <c r="U41" s="988" t="n"/>
      <c r="V41" s="988" t="n"/>
      <c r="W41" s="988" t="n"/>
      <c r="X41" s="988" t="n"/>
    </row>
    <row r="42" ht="11.25" customFormat="1" customHeight="1" s="1089">
      <c r="A42" s="537" t="n"/>
      <c r="B42" s="1098" t="inlineStr">
        <is>
          <t>2026-06-18</t>
        </is>
      </c>
      <c r="C42" s="1098" t="inlineStr">
        <is>
          <t>2026-06-15</t>
        </is>
      </c>
      <c r="D42" s="1098" t="inlineStr">
        <is>
          <t>26957000000150278611</t>
        </is>
      </c>
      <c r="E42" s="306" t="inlineStr">
        <is>
          <t>교통비/톨비</t>
        </is>
      </c>
      <c r="F42" s="598" t="inlineStr">
        <is>
          <t>Lin Wei Jian</t>
        </is>
      </c>
      <c r="G42" s="599" t="n">
        <v>21</v>
      </c>
      <c r="H42" s="600" t="inlineStr">
        <is>
          <t>여비교통비</t>
        </is>
      </c>
      <c r="I42" s="599" t="inlineStr">
        <is>
          <t>교통비</t>
        </is>
      </c>
      <c r="J42" s="601" t="n"/>
      <c r="K42" s="601" t="n"/>
      <c r="L42" s="601" t="n"/>
      <c r="M42" s="1099" t="n">
        <v>378</v>
      </c>
      <c r="N42" s="1100">
        <f>'통장내역(환율표)'!$D$88</f>
        <v/>
      </c>
      <c r="O42" s="1101">
        <f>M42/N42</f>
        <v/>
      </c>
      <c r="P42" s="1102">
        <f>P41+J42-M42</f>
        <v/>
      </c>
      <c r="Q42" s="1102">
        <f>Q41+L42-O42</f>
        <v/>
      </c>
      <c r="R42" s="1103" t="n"/>
      <c r="S42" s="1104" t="inlineStr">
        <is>
          <t>파표 회사코드 일치</t>
        </is>
      </c>
      <c r="T42" s="1097" t="n"/>
      <c r="U42" s="988" t="n"/>
      <c r="V42" s="988" t="n"/>
      <c r="W42" s="988" t="n"/>
      <c r="X42" s="988" t="n"/>
    </row>
    <row r="43" ht="11.25" customFormat="1" customHeight="1" s="1089">
      <c r="A43" s="537" t="n"/>
      <c r="B43" s="1098" t="inlineStr">
        <is>
          <t>2026-06-18</t>
        </is>
      </c>
      <c r="C43" s="1098" t="inlineStr">
        <is>
          <t>2026-06-08</t>
        </is>
      </c>
      <c r="D43" s="1098" t="inlineStr"/>
      <c r="E43" s="306" t="inlineStr">
        <is>
          <t>교통비</t>
        </is>
      </c>
      <c r="F43" s="598" t="inlineStr">
        <is>
          <t>Lin Wei Jian</t>
        </is>
      </c>
      <c r="G43" s="599" t="n">
        <v>22</v>
      </c>
      <c r="H43" s="600" t="inlineStr">
        <is>
          <t>여비교통비</t>
        </is>
      </c>
      <c r="I43" s="599" t="inlineStr">
        <is>
          <t>교통비</t>
        </is>
      </c>
      <c r="J43" s="601" t="n"/>
      <c r="K43" s="601" t="n"/>
      <c r="L43" s="601" t="n"/>
      <c r="M43" s="1099" t="n">
        <v>386.4</v>
      </c>
      <c r="N43" s="1100">
        <f>'통장내역(환율표)'!$D$88</f>
        <v/>
      </c>
      <c r="O43" s="1101">
        <f>M43/N43</f>
        <v/>
      </c>
      <c r="P43" s="1102">
        <f>P42+J43-M43</f>
        <v/>
      </c>
      <c r="Q43" s="1102">
        <f>Q42+L43-O43</f>
        <v/>
      </c>
      <c r="R43" s="1103" t="n"/>
      <c r="S43" s="1104" t="n"/>
      <c r="T43" s="1097" t="n"/>
      <c r="U43" s="988" t="n"/>
      <c r="V43" s="988" t="n"/>
      <c r="W43" s="988" t="n"/>
      <c r="X43" s="988" t="n"/>
    </row>
    <row r="44" ht="11.25" customFormat="1" customHeight="1" s="1089">
      <c r="A44" s="537" t="n"/>
      <c r="B44" s="1098" t="inlineStr">
        <is>
          <t>2026-06-18</t>
        </is>
      </c>
      <c r="C44" s="1098" t="inlineStr">
        <is>
          <t>2026-05-22</t>
        </is>
      </c>
      <c r="D44" s="1098" t="inlineStr"/>
      <c r="E44" s="306" t="inlineStr">
        <is>
          <t>교통비</t>
        </is>
      </c>
      <c r="F44" s="598" t="inlineStr">
        <is>
          <t>Lin Wei Jian</t>
        </is>
      </c>
      <c r="G44" s="599" t="n">
        <v>23</v>
      </c>
      <c r="H44" s="600" t="inlineStr">
        <is>
          <t>여비교통비</t>
        </is>
      </c>
      <c r="I44" s="599" t="inlineStr">
        <is>
          <t>교통비</t>
        </is>
      </c>
      <c r="J44" s="601" t="n"/>
      <c r="K44" s="601" t="n"/>
      <c r="L44" s="601" t="n"/>
      <c r="M44" s="1099" t="n">
        <v>303.3</v>
      </c>
      <c r="N44" s="1100">
        <f>'통장내역(환율표)'!$D$88</f>
        <v/>
      </c>
      <c r="O44" s="1101">
        <f>M44/N44</f>
        <v/>
      </c>
      <c r="P44" s="1102">
        <f>P43+J44-M44</f>
        <v/>
      </c>
      <c r="Q44" s="1102">
        <f>Q43+L44-O44</f>
        <v/>
      </c>
      <c r="R44" s="1103" t="n"/>
      <c r="S44" s="1104" t="n"/>
      <c r="T44" s="1097" t="n"/>
      <c r="U44" s="988" t="n"/>
      <c r="V44" s="988" t="n"/>
      <c r="W44" s="988" t="n"/>
      <c r="X44" s="988" t="n"/>
    </row>
    <row r="45" ht="11.25" customFormat="1" customHeight="1" s="1089">
      <c r="A45" s="537" t="n"/>
      <c r="B45" s="1098" t="inlineStr">
        <is>
          <t>2026-06-18</t>
        </is>
      </c>
      <c r="C45" s="1098" t="inlineStr">
        <is>
          <t>2026-06-07</t>
        </is>
      </c>
      <c r="D45" s="1098" t="inlineStr"/>
      <c r="E45" s="306" t="inlineStr">
        <is>
          <t>교통비</t>
        </is>
      </c>
      <c r="F45" s="598" t="inlineStr">
        <is>
          <t>Lin Wei Jian</t>
        </is>
      </c>
      <c r="G45" s="599" t="n">
        <v>24</v>
      </c>
      <c r="H45" s="600" t="inlineStr">
        <is>
          <t>여비교통비</t>
        </is>
      </c>
      <c r="I45" s="599" t="inlineStr">
        <is>
          <t>교통비</t>
        </is>
      </c>
      <c r="J45" s="601" t="n"/>
      <c r="K45" s="601" t="n"/>
      <c r="L45" s="601" t="n"/>
      <c r="M45" s="1099" t="n">
        <v>390.4</v>
      </c>
      <c r="N45" s="1100">
        <f>'통장내역(환율표)'!$D$88</f>
        <v/>
      </c>
      <c r="O45" s="1101">
        <f>M45/N45</f>
        <v/>
      </c>
      <c r="P45" s="1102">
        <f>P44+J45-M45</f>
        <v/>
      </c>
      <c r="Q45" s="1102">
        <f>Q44+L45-O45</f>
        <v/>
      </c>
      <c r="R45" s="1103" t="n"/>
      <c r="S45" s="1104" t="n"/>
      <c r="T45" s="1097" t="n"/>
      <c r="U45" s="988" t="n"/>
      <c r="V45" s="988" t="n"/>
      <c r="W45" s="988" t="n"/>
      <c r="X45" s="988" t="n"/>
    </row>
    <row r="46" ht="12" customFormat="1" customHeight="1" s="1089">
      <c r="A46" s="537" t="n"/>
      <c r="B46" s="1098" t="inlineStr">
        <is>
          <t>2026-06-18</t>
        </is>
      </c>
      <c r="C46" s="1098" t="inlineStr">
        <is>
          <t>2026-06-18</t>
        </is>
      </c>
      <c r="D46" s="1098" t="inlineStr"/>
      <c r="E46" s="306" t="inlineStr">
        <is>
          <t>은행수수료</t>
        </is>
      </c>
      <c r="F46" s="598" t="inlineStr">
        <is>
          <t>Lin Wei Jian</t>
        </is>
      </c>
      <c r="G46" s="599" t="n">
        <v>25</v>
      </c>
      <c r="H46" s="600" t="inlineStr">
        <is>
          <t>해외지사비</t>
        </is>
      </c>
      <c r="I46" s="599" t="n"/>
      <c r="J46" s="601" t="n"/>
      <c r="K46" s="601" t="n"/>
      <c r="L46" s="601" t="n"/>
      <c r="M46" s="1099" t="n">
        <v>7.2</v>
      </c>
      <c r="N46" s="1100">
        <f>'통장내역(환율표)'!$D$88</f>
        <v/>
      </c>
      <c r="O46" s="1101">
        <f>M46/N46</f>
        <v/>
      </c>
      <c r="P46" s="1102">
        <f>P45+J46-M46</f>
        <v/>
      </c>
      <c r="Q46" s="1102">
        <f>Q45+L46-O46</f>
        <v/>
      </c>
      <c r="R46" s="1103" t="n"/>
      <c r="S46" s="1105" t="inlineStr">
        <is>
          <t>[불일치 (이체:12405.76 vs 영수증:13676.359999999999)]</t>
        </is>
      </c>
      <c r="T46" s="1097" t="n"/>
      <c r="U46" s="988" t="n"/>
      <c r="V46" s="988" t="n"/>
      <c r="W46" s="988" t="n"/>
      <c r="X46" s="988" t="n"/>
    </row>
    <row r="47" ht="12" customFormat="1" customHeight="1" s="1089">
      <c r="A47" s="537" t="n"/>
      <c r="B47" s="1098" t="n"/>
      <c r="C47" s="1098" t="n"/>
      <c r="D47" s="1098" t="n"/>
      <c r="E47" s="306" t="n"/>
      <c r="F47" s="598" t="n"/>
      <c r="G47" s="599" t="n"/>
      <c r="H47" s="600" t="n"/>
      <c r="I47" s="599" t="n"/>
      <c r="J47" s="601" t="n"/>
      <c r="K47" s="601" t="n"/>
      <c r="L47" s="601" t="n"/>
      <c r="M47" s="1099" t="n"/>
      <c r="N47" s="1100" t="n"/>
      <c r="O47" s="1101" t="n"/>
      <c r="P47" s="1102" t="n"/>
      <c r="Q47" s="1102" t="n"/>
      <c r="R47" s="1103" t="n"/>
      <c r="S47" s="1104" t="n"/>
      <c r="T47" s="1097" t="n"/>
      <c r="U47" s="988" t="n"/>
      <c r="V47" s="988" t="n"/>
      <c r="W47" s="988" t="n"/>
      <c r="X47" s="988" t="n"/>
    </row>
    <row r="48" ht="12" customFormat="1" customHeight="1" s="1089">
      <c r="A48" s="537" t="n"/>
      <c r="B48" s="1098" t="n"/>
      <c r="C48" s="1098" t="n"/>
      <c r="D48" s="1098" t="n"/>
      <c r="E48" s="306" t="n"/>
      <c r="F48" s="598" t="n"/>
      <c r="G48" s="599" t="n"/>
      <c r="H48" s="600" t="n"/>
      <c r="I48" s="599" t="n"/>
      <c r="J48" s="601" t="n"/>
      <c r="K48" s="601" t="n"/>
      <c r="L48" s="601" t="n"/>
      <c r="M48" s="1099" t="n"/>
      <c r="N48" s="1100" t="n"/>
      <c r="O48" s="1101" t="n"/>
      <c r="P48" s="1102" t="n"/>
      <c r="Q48" s="1102" t="n"/>
      <c r="R48" s="1103" t="n"/>
      <c r="S48" s="1104" t="n"/>
      <c r="T48" s="1097" t="n"/>
      <c r="U48" s="988" t="n"/>
      <c r="V48" s="988" t="n"/>
      <c r="W48" s="988" t="n"/>
      <c r="X48" s="988" t="n"/>
    </row>
    <row r="49" ht="12" customFormat="1" customHeight="1" s="1089">
      <c r="A49" s="537" t="n"/>
      <c r="B49" s="1098" t="n"/>
      <c r="C49" s="1098" t="n"/>
      <c r="D49" s="1098" t="n"/>
      <c r="E49" s="306" t="n"/>
      <c r="F49" s="598" t="n"/>
      <c r="G49" s="599" t="n"/>
      <c r="H49" s="600" t="n"/>
      <c r="I49" s="599" t="n"/>
      <c r="J49" s="601" t="n"/>
      <c r="K49" s="601" t="n"/>
      <c r="L49" s="601" t="n"/>
      <c r="M49" s="1099" t="n"/>
      <c r="N49" s="1100" t="n"/>
      <c r="O49" s="1101" t="n"/>
      <c r="P49" s="1102" t="n"/>
      <c r="Q49" s="1102" t="n"/>
      <c r="R49" s="1103" t="n"/>
      <c r="S49" s="1104" t="n"/>
      <c r="T49" s="1097" t="n"/>
      <c r="U49" s="988" t="n"/>
      <c r="V49" s="988" t="n"/>
      <c r="W49" s="988" t="n"/>
      <c r="X49" s="988" t="n"/>
    </row>
    <row r="50" ht="12" customFormat="1" customHeight="1" s="1089">
      <c r="A50" s="537" t="n"/>
      <c r="B50" s="1098" t="n"/>
      <c r="C50" s="1098" t="n"/>
      <c r="D50" s="1098" t="n"/>
      <c r="E50" s="306" t="n"/>
      <c r="F50" s="598" t="n"/>
      <c r="G50" s="599" t="n"/>
      <c r="H50" s="600" t="n"/>
      <c r="I50" s="599" t="n"/>
      <c r="J50" s="601" t="n"/>
      <c r="K50" s="601" t="n"/>
      <c r="L50" s="601" t="n"/>
      <c r="M50" s="1099" t="n"/>
      <c r="N50" s="1100" t="n"/>
      <c r="O50" s="1101" t="n"/>
      <c r="P50" s="1102" t="n"/>
      <c r="Q50" s="1102" t="n"/>
      <c r="R50" s="1103" t="n"/>
      <c r="S50" s="1104" t="n"/>
      <c r="T50" s="1097" t="n"/>
      <c r="U50" s="988" t="n"/>
      <c r="V50" s="988" t="n"/>
      <c r="W50" s="988" t="n"/>
      <c r="X50" s="988" t="n"/>
    </row>
    <row r="51" ht="12" customFormat="1" customHeight="1" s="1089">
      <c r="A51" s="537" t="n"/>
      <c r="B51" s="1098" t="n"/>
      <c r="C51" s="1098" t="n"/>
      <c r="D51" s="1098" t="n"/>
      <c r="E51" s="306" t="n"/>
      <c r="F51" s="598" t="n"/>
      <c r="G51" s="599" t="n"/>
      <c r="H51" s="600" t="n"/>
      <c r="I51" s="599" t="n"/>
      <c r="J51" s="601" t="n"/>
      <c r="K51" s="601" t="n"/>
      <c r="L51" s="601" t="n"/>
      <c r="M51" s="1099" t="n"/>
      <c r="N51" s="1100" t="n"/>
      <c r="O51" s="1101" t="n"/>
      <c r="P51" s="1102" t="n"/>
      <c r="Q51" s="1102" t="n"/>
      <c r="R51" s="1103" t="n"/>
      <c r="S51" s="1104" t="n"/>
      <c r="T51" s="1097" t="n"/>
      <c r="U51" s="988" t="n"/>
      <c r="V51" s="988" t="n"/>
      <c r="W51" s="988" t="n"/>
      <c r="X51" s="988" t="n"/>
    </row>
    <row r="52" ht="12" customFormat="1" customHeight="1" s="1089">
      <c r="A52" s="537" t="n"/>
      <c r="B52" s="1098" t="n"/>
      <c r="C52" s="1098" t="n"/>
      <c r="D52" s="1098" t="n"/>
      <c r="E52" s="306" t="n"/>
      <c r="F52" s="598" t="n"/>
      <c r="G52" s="599" t="n"/>
      <c r="H52" s="600" t="n"/>
      <c r="I52" s="599" t="n"/>
      <c r="J52" s="601" t="n"/>
      <c r="K52" s="601" t="n"/>
      <c r="L52" s="601" t="n"/>
      <c r="M52" s="1099" t="n"/>
      <c r="N52" s="1100" t="n"/>
      <c r="O52" s="1101" t="n"/>
      <c r="P52" s="1102" t="n"/>
      <c r="Q52" s="1102" t="n"/>
      <c r="R52" s="1103" t="n"/>
      <c r="S52" s="1104" t="n"/>
      <c r="T52" s="1097" t="n"/>
      <c r="U52" s="988" t="n"/>
      <c r="V52" s="988" t="n"/>
      <c r="W52" s="988" t="n"/>
      <c r="X52" s="988" t="n"/>
    </row>
    <row r="53" ht="12" customFormat="1" customHeight="1" s="1089">
      <c r="A53" s="537" t="n"/>
      <c r="B53" s="1098" t="n"/>
      <c r="C53" s="1098" t="n"/>
      <c r="D53" s="1098" t="n"/>
      <c r="E53" s="306" t="n"/>
      <c r="F53" s="598" t="n"/>
      <c r="G53" s="599" t="n"/>
      <c r="H53" s="600" t="n"/>
      <c r="I53" s="599" t="n"/>
      <c r="J53" s="601" t="n"/>
      <c r="K53" s="601" t="n"/>
      <c r="L53" s="601" t="n"/>
      <c r="M53" s="1099" t="n"/>
      <c r="N53" s="1100" t="n"/>
      <c r="O53" s="1101" t="n"/>
      <c r="P53" s="1102" t="n"/>
      <c r="Q53" s="1102" t="n"/>
      <c r="R53" s="1103" t="n"/>
      <c r="S53" s="1104" t="n"/>
      <c r="T53" s="1097" t="n"/>
      <c r="U53" s="988" t="n"/>
      <c r="V53" s="988" t="n"/>
      <c r="W53" s="988" t="n"/>
      <c r="X53" s="988" t="n"/>
    </row>
    <row r="54" ht="12" customFormat="1" customHeight="1" s="1089">
      <c r="A54" s="537" t="n"/>
      <c r="B54" s="1098" t="n"/>
      <c r="C54" s="1098" t="n"/>
      <c r="D54" s="1098" t="n"/>
      <c r="E54" s="306" t="n"/>
      <c r="F54" s="598" t="n"/>
      <c r="G54" s="599" t="n"/>
      <c r="H54" s="600" t="n"/>
      <c r="I54" s="599" t="n"/>
      <c r="J54" s="601" t="n"/>
      <c r="K54" s="601" t="n"/>
      <c r="L54" s="601" t="n"/>
      <c r="M54" s="1099" t="n"/>
      <c r="N54" s="1100" t="n"/>
      <c r="O54" s="1101" t="n"/>
      <c r="P54" s="1102" t="n"/>
      <c r="Q54" s="1102" t="n"/>
      <c r="R54" s="1103" t="n"/>
      <c r="S54" s="1104" t="n"/>
      <c r="T54" s="1097" t="n"/>
      <c r="U54" s="988" t="n"/>
      <c r="V54" s="988" t="n"/>
      <c r="W54" s="988" t="n"/>
      <c r="X54" s="988" t="n"/>
    </row>
    <row r="55" ht="12" customFormat="1" customHeight="1" s="1089">
      <c r="A55" s="537" t="n"/>
      <c r="B55" s="1098" t="n"/>
      <c r="C55" s="1098" t="n"/>
      <c r="D55" s="1098" t="n"/>
      <c r="E55" s="306" t="n"/>
      <c r="F55" s="598" t="n"/>
      <c r="G55" s="599" t="n"/>
      <c r="H55" s="600" t="n"/>
      <c r="I55" s="599" t="n"/>
      <c r="J55" s="601" t="n"/>
      <c r="K55" s="601" t="n"/>
      <c r="L55" s="601" t="n"/>
      <c r="M55" s="1099" t="n"/>
      <c r="N55" s="1100" t="n"/>
      <c r="O55" s="1101" t="n"/>
      <c r="P55" s="1102" t="n"/>
      <c r="Q55" s="1102" t="n"/>
      <c r="R55" s="1103" t="n"/>
      <c r="S55" s="1104" t="n"/>
      <c r="T55" s="1097" t="n"/>
      <c r="U55" s="988" t="n"/>
      <c r="V55" s="988" t="n"/>
      <c r="W55" s="988" t="n"/>
      <c r="X55" s="988" t="n"/>
    </row>
    <row r="56" ht="12" customFormat="1" customHeight="1" s="1089">
      <c r="A56" s="537" t="n"/>
      <c r="B56" s="1098" t="n"/>
      <c r="C56" s="1098" t="n"/>
      <c r="D56" s="1098" t="n"/>
      <c r="E56" s="306" t="n"/>
      <c r="F56" s="598" t="n"/>
      <c r="G56" s="599" t="n"/>
      <c r="H56" s="600" t="n"/>
      <c r="I56" s="599" t="n"/>
      <c r="J56" s="601" t="n"/>
      <c r="K56" s="601" t="n"/>
      <c r="L56" s="601" t="n"/>
      <c r="M56" s="1099" t="n"/>
      <c r="N56" s="1100" t="n"/>
      <c r="O56" s="1101" t="n"/>
      <c r="P56" s="1102" t="n"/>
      <c r="Q56" s="1102" t="n"/>
      <c r="R56" s="1103" t="n"/>
      <c r="S56" s="1104" t="n"/>
      <c r="T56" s="1097" t="n"/>
      <c r="U56" s="988" t="n"/>
      <c r="V56" s="988" t="n"/>
      <c r="W56" s="988" t="n"/>
      <c r="X56" s="988" t="n"/>
    </row>
    <row r="57" ht="12" customFormat="1" customHeight="1" s="1089">
      <c r="A57" s="537" t="n"/>
      <c r="B57" s="1098" t="n"/>
      <c r="C57" s="1098" t="n"/>
      <c r="D57" s="1098" t="n"/>
      <c r="E57" s="306" t="n"/>
      <c r="F57" s="598" t="n"/>
      <c r="G57" s="599" t="n"/>
      <c r="H57" s="600" t="n"/>
      <c r="I57" s="599" t="n"/>
      <c r="J57" s="601" t="n"/>
      <c r="K57" s="601" t="n"/>
      <c r="L57" s="601" t="n"/>
      <c r="M57" s="1099" t="n"/>
      <c r="N57" s="1100" t="n"/>
      <c r="O57" s="1101" t="n"/>
      <c r="P57" s="1102" t="n"/>
      <c r="Q57" s="1102" t="n"/>
      <c r="R57" s="1103" t="n"/>
      <c r="S57" s="1104" t="n"/>
      <c r="T57" s="1097" t="n"/>
      <c r="U57" s="988" t="n"/>
      <c r="V57" s="988" t="n"/>
      <c r="W57" s="988" t="n"/>
      <c r="X57" s="988" t="n"/>
    </row>
    <row r="58" ht="12" customFormat="1" customHeight="1" s="1089">
      <c r="A58" s="537" t="n"/>
      <c r="B58" s="1098" t="n"/>
      <c r="C58" s="1098" t="n"/>
      <c r="D58" s="1098" t="n"/>
      <c r="E58" s="306" t="n"/>
      <c r="F58" s="598" t="n"/>
      <c r="G58" s="599" t="n"/>
      <c r="H58" s="600" t="n"/>
      <c r="I58" s="599" t="n"/>
      <c r="J58" s="601" t="n"/>
      <c r="K58" s="601" t="n"/>
      <c r="L58" s="601" t="n"/>
      <c r="M58" s="1099" t="n"/>
      <c r="N58" s="1100" t="n"/>
      <c r="O58" s="1101" t="n"/>
      <c r="P58" s="1102" t="n"/>
      <c r="Q58" s="1102" t="n"/>
      <c r="R58" s="1103" t="n"/>
      <c r="S58" s="1104" t="n"/>
      <c r="T58" s="1097" t="n"/>
      <c r="U58" s="988" t="n"/>
      <c r="V58" s="988" t="n"/>
      <c r="W58" s="988" t="n"/>
      <c r="X58" s="988" t="n"/>
    </row>
    <row r="59" ht="12" customFormat="1" customHeight="1" s="1089">
      <c r="A59" s="537" t="n"/>
      <c r="B59" s="1098" t="n"/>
      <c r="C59" s="1098" t="n"/>
      <c r="D59" s="1098" t="n"/>
      <c r="E59" s="306" t="n"/>
      <c r="F59" s="598" t="n"/>
      <c r="G59" s="599" t="n"/>
      <c r="H59" s="600" t="n"/>
      <c r="I59" s="599" t="n"/>
      <c r="J59" s="601" t="n"/>
      <c r="K59" s="601" t="n"/>
      <c r="L59" s="601" t="n"/>
      <c r="M59" s="1099" t="n"/>
      <c r="N59" s="1100" t="n"/>
      <c r="O59" s="1101" t="n"/>
      <c r="P59" s="1102" t="n"/>
      <c r="Q59" s="1102" t="n"/>
      <c r="R59" s="1103" t="n"/>
      <c r="S59" s="1104" t="n"/>
      <c r="T59" s="1097" t="n"/>
      <c r="U59" s="988" t="n"/>
      <c r="V59" s="988" t="n"/>
      <c r="W59" s="988" t="n"/>
      <c r="X59" s="988" t="n"/>
    </row>
    <row r="60" ht="12" customFormat="1" customHeight="1" s="1089">
      <c r="A60" s="537" t="n"/>
      <c r="B60" s="1098" t="n"/>
      <c r="C60" s="1098" t="n"/>
      <c r="D60" s="1098" t="n"/>
      <c r="E60" s="306" t="n"/>
      <c r="F60" s="598" t="n"/>
      <c r="G60" s="599" t="n"/>
      <c r="H60" s="600" t="n"/>
      <c r="I60" s="599" t="n"/>
      <c r="J60" s="601" t="n"/>
      <c r="K60" s="601" t="n"/>
      <c r="L60" s="601" t="n"/>
      <c r="M60" s="1099" t="n"/>
      <c r="N60" s="1100" t="n"/>
      <c r="O60" s="1101" t="n"/>
      <c r="P60" s="1102" t="n"/>
      <c r="Q60" s="1102" t="n"/>
      <c r="R60" s="1103" t="n"/>
      <c r="S60" s="1104" t="n"/>
      <c r="T60" s="1097" t="n"/>
      <c r="U60" s="988" t="n"/>
      <c r="V60" s="988" t="n"/>
      <c r="W60" s="988" t="n"/>
      <c r="X60" s="988" t="n"/>
    </row>
    <row r="61" ht="12" customFormat="1" customHeight="1" s="1089">
      <c r="A61" s="537" t="n"/>
      <c r="B61" s="1098" t="n"/>
      <c r="C61" s="1098" t="n"/>
      <c r="D61" s="1098" t="n"/>
      <c r="E61" s="306" t="n"/>
      <c r="F61" s="598" t="n"/>
      <c r="G61" s="599" t="n"/>
      <c r="H61" s="600" t="n"/>
      <c r="I61" s="599" t="n"/>
      <c r="J61" s="601" t="n"/>
      <c r="K61" s="601" t="n"/>
      <c r="L61" s="601" t="n"/>
      <c r="M61" s="1099" t="n"/>
      <c r="N61" s="1100" t="n"/>
      <c r="O61" s="1101" t="n"/>
      <c r="P61" s="1102" t="n"/>
      <c r="Q61" s="1102" t="n"/>
      <c r="R61" s="1103" t="n"/>
      <c r="S61" s="1104" t="n"/>
      <c r="T61" s="1097" t="n"/>
      <c r="U61" s="988" t="n"/>
      <c r="V61" s="988" t="n"/>
      <c r="W61" s="988" t="n"/>
      <c r="X61" s="988" t="n"/>
    </row>
    <row r="62" ht="12" customFormat="1" customHeight="1" s="1089">
      <c r="A62" s="537" t="n"/>
      <c r="B62" s="1098" t="n"/>
      <c r="C62" s="1098" t="n"/>
      <c r="D62" s="1098" t="n"/>
      <c r="E62" s="306" t="n"/>
      <c r="F62" s="598" t="n"/>
      <c r="G62" s="599" t="n"/>
      <c r="H62" s="600" t="n"/>
      <c r="I62" s="599" t="n"/>
      <c r="J62" s="601" t="n"/>
      <c r="K62" s="601" t="n"/>
      <c r="L62" s="601" t="n"/>
      <c r="M62" s="1099" t="n"/>
      <c r="N62" s="1100" t="n"/>
      <c r="O62" s="1101" t="n"/>
      <c r="P62" s="1102" t="n"/>
      <c r="Q62" s="1102" t="n"/>
      <c r="R62" s="1103" t="n"/>
      <c r="S62" s="1104" t="n"/>
      <c r="T62" s="1097" t="n"/>
      <c r="U62" s="988" t="n"/>
      <c r="V62" s="988" t="n"/>
      <c r="W62" s="988" t="n"/>
      <c r="X62" s="988" t="n"/>
    </row>
    <row r="63" ht="12" customFormat="1" customHeight="1" s="1089">
      <c r="A63" s="537" t="n"/>
      <c r="B63" s="1098" t="n"/>
      <c r="C63" s="1098" t="n"/>
      <c r="D63" s="1098" t="n"/>
      <c r="E63" s="306" t="n"/>
      <c r="F63" s="598" t="n"/>
      <c r="G63" s="599" t="n"/>
      <c r="H63" s="600" t="n"/>
      <c r="I63" s="599" t="n"/>
      <c r="J63" s="601" t="n"/>
      <c r="K63" s="601" t="n"/>
      <c r="L63" s="601" t="n"/>
      <c r="M63" s="1099" t="n"/>
      <c r="N63" s="1100" t="n"/>
      <c r="O63" s="1101" t="n"/>
      <c r="P63" s="1102" t="n"/>
      <c r="Q63" s="1102" t="n"/>
      <c r="R63" s="1103" t="n"/>
      <c r="S63" s="1104" t="n"/>
      <c r="T63" s="1097" t="n"/>
      <c r="U63" s="988" t="n"/>
      <c r="V63" s="988" t="n"/>
      <c r="W63" s="988" t="n"/>
      <c r="X63" s="988" t="n"/>
    </row>
    <row r="64" ht="12" customFormat="1" customHeight="1" s="1089">
      <c r="A64" s="537" t="n"/>
      <c r="B64" s="1098" t="n"/>
      <c r="C64" s="1098" t="n"/>
      <c r="D64" s="1098" t="n"/>
      <c r="E64" s="306" t="n"/>
      <c r="F64" s="598" t="n"/>
      <c r="G64" s="599" t="n"/>
      <c r="H64" s="600" t="n"/>
      <c r="I64" s="599" t="n"/>
      <c r="J64" s="601" t="n"/>
      <c r="K64" s="601" t="n"/>
      <c r="L64" s="601" t="n"/>
      <c r="M64" s="1099" t="n"/>
      <c r="N64" s="1100" t="n"/>
      <c r="O64" s="1101" t="n"/>
      <c r="P64" s="1102" t="n"/>
      <c r="Q64" s="1102" t="n"/>
      <c r="R64" s="1103" t="n"/>
      <c r="S64" s="1104" t="n"/>
      <c r="T64" s="1097" t="n"/>
      <c r="U64" s="988" t="n"/>
      <c r="V64" s="988" t="n"/>
      <c r="W64" s="988" t="n"/>
      <c r="X64" s="988" t="n"/>
    </row>
    <row r="65" ht="11.25" customFormat="1" customHeight="1" s="989">
      <c r="A65" s="537" t="n"/>
      <c r="B65" s="1098" t="n"/>
      <c r="C65" s="1098" t="n"/>
      <c r="D65" s="1098" t="n"/>
      <c r="E65" s="306" t="n"/>
      <c r="F65" s="598" t="n"/>
      <c r="G65" s="599" t="n"/>
      <c r="H65" s="600" t="n"/>
      <c r="I65" s="599" t="n"/>
      <c r="J65" s="601" t="n"/>
      <c r="K65" s="601" t="n"/>
      <c r="L65" s="601" t="n"/>
      <c r="M65" s="1099" t="n"/>
      <c r="N65" s="1100" t="n"/>
      <c r="O65" s="1101" t="n"/>
      <c r="P65" s="1102" t="n"/>
      <c r="Q65" s="1102" t="n"/>
      <c r="R65" s="1103" t="n"/>
      <c r="S65" s="1104" t="n"/>
      <c r="T65" s="1097" t="n"/>
      <c r="U65" s="988" t="n"/>
      <c r="V65" s="988" t="n"/>
      <c r="W65" s="988" t="n"/>
      <c r="X65" s="988" t="n"/>
    </row>
    <row r="66" ht="11.25" customFormat="1" customHeight="1" s="989">
      <c r="A66" s="537" t="n"/>
      <c r="B66" s="1098" t="n"/>
      <c r="C66" s="1098" t="n"/>
      <c r="D66" s="1098" t="n"/>
      <c r="E66" s="306" t="n"/>
      <c r="F66" s="598" t="n"/>
      <c r="G66" s="599" t="n"/>
      <c r="H66" s="600" t="n"/>
      <c r="I66" s="599" t="n"/>
      <c r="J66" s="601" t="n"/>
      <c r="K66" s="601" t="n"/>
      <c r="L66" s="601" t="n"/>
      <c r="M66" s="1099" t="n"/>
      <c r="N66" s="1100" t="n"/>
      <c r="O66" s="1101" t="n"/>
      <c r="P66" s="1102" t="n"/>
      <c r="Q66" s="1102" t="n"/>
      <c r="R66" s="1103" t="n"/>
      <c r="S66" s="1104" t="n"/>
      <c r="T66" s="1097" t="n"/>
      <c r="U66" s="988" t="n"/>
      <c r="V66" s="988" t="n"/>
      <c r="W66" s="988" t="n"/>
      <c r="X66" s="988" t="n"/>
    </row>
    <row r="67" ht="11.25" customFormat="1" customHeight="1" s="989">
      <c r="A67" s="537" t="n"/>
      <c r="B67" s="1098" t="n"/>
      <c r="C67" s="1098" t="n"/>
      <c r="D67" s="1098" t="n"/>
      <c r="E67" s="306" t="n"/>
      <c r="F67" s="598" t="n"/>
      <c r="G67" s="599" t="n"/>
      <c r="H67" s="600" t="n"/>
      <c r="I67" s="599" t="n"/>
      <c r="J67" s="601" t="n"/>
      <c r="K67" s="601" t="n"/>
      <c r="L67" s="601" t="n"/>
      <c r="M67" s="1099" t="n"/>
      <c r="N67" s="1100" t="n"/>
      <c r="O67" s="1101" t="n"/>
      <c r="P67" s="1102" t="n"/>
      <c r="Q67" s="1102" t="n"/>
      <c r="R67" s="1103" t="n"/>
      <c r="S67" s="1104" t="n"/>
      <c r="T67" s="1097" t="n"/>
      <c r="U67" s="988" t="n"/>
      <c r="V67" s="988" t="n"/>
      <c r="W67" s="988" t="n"/>
      <c r="X67" s="988" t="n"/>
    </row>
    <row r="68" ht="11.25" customFormat="1" customHeight="1" s="989">
      <c r="A68" s="537" t="n"/>
      <c r="B68" s="1098" t="n"/>
      <c r="C68" s="1098" t="n"/>
      <c r="D68" s="1098" t="n"/>
      <c r="E68" s="306" t="n"/>
      <c r="F68" s="598" t="n"/>
      <c r="G68" s="599" t="n"/>
      <c r="H68" s="600" t="n"/>
      <c r="I68" s="599" t="n"/>
      <c r="J68" s="601" t="n"/>
      <c r="K68" s="601" t="n"/>
      <c r="L68" s="601" t="n"/>
      <c r="M68" s="1099" t="n"/>
      <c r="N68" s="1100" t="n"/>
      <c r="O68" s="1101" t="n"/>
      <c r="P68" s="1102" t="n"/>
      <c r="Q68" s="1102" t="n"/>
      <c r="R68" s="1103" t="n"/>
      <c r="S68" s="1104" t="n"/>
      <c r="T68" s="1097" t="n"/>
      <c r="U68" s="988" t="n"/>
      <c r="V68" s="988" t="n"/>
      <c r="W68" s="988" t="n"/>
      <c r="X68" s="988" t="n"/>
    </row>
    <row r="69" ht="11.25" customFormat="1" customHeight="1" s="989">
      <c r="A69" s="537" t="n"/>
      <c r="B69" s="1098" t="n"/>
      <c r="C69" s="1098" t="n"/>
      <c r="D69" s="1098" t="n"/>
      <c r="E69" s="306" t="n"/>
      <c r="F69" s="598" t="n"/>
      <c r="G69" s="599" t="n"/>
      <c r="H69" s="600" t="n"/>
      <c r="I69" s="599" t="n"/>
      <c r="J69" s="601" t="n"/>
      <c r="K69" s="601" t="n"/>
      <c r="L69" s="601" t="n"/>
      <c r="M69" s="1099" t="n"/>
      <c r="N69" s="1100" t="n"/>
      <c r="O69" s="1101" t="n"/>
      <c r="P69" s="1102" t="n"/>
      <c r="Q69" s="1102" t="n"/>
      <c r="R69" s="1103" t="n"/>
      <c r="S69" s="1104" t="n"/>
      <c r="T69" s="1097" t="n"/>
      <c r="U69" s="988" t="n"/>
      <c r="V69" s="988" t="n"/>
      <c r="W69" s="988" t="n"/>
      <c r="X69" s="988" t="n"/>
    </row>
    <row r="70" ht="11.25" customFormat="1" customHeight="1" s="989">
      <c r="A70" s="537" t="n"/>
      <c r="B70" s="1098" t="n"/>
      <c r="C70" s="1098" t="n"/>
      <c r="D70" s="1098" t="n"/>
      <c r="E70" s="306" t="n"/>
      <c r="F70" s="598" t="n"/>
      <c r="G70" s="599" t="n"/>
      <c r="H70" s="600" t="n"/>
      <c r="I70" s="599" t="n"/>
      <c r="J70" s="601" t="n"/>
      <c r="K70" s="601" t="n"/>
      <c r="L70" s="601" t="n"/>
      <c r="M70" s="1099" t="n"/>
      <c r="N70" s="1100" t="n"/>
      <c r="O70" s="1101" t="n"/>
      <c r="P70" s="1102" t="n"/>
      <c r="Q70" s="1102" t="n"/>
      <c r="R70" s="1103" t="n"/>
      <c r="S70" s="1104" t="n"/>
      <c r="T70" s="1097" t="n"/>
      <c r="U70" s="988" t="n"/>
      <c r="V70" s="988" t="n"/>
      <c r="W70" s="988" t="n"/>
      <c r="X70" s="988" t="n"/>
    </row>
    <row r="71" ht="11.1" customFormat="1" customHeight="1" s="989">
      <c r="A71" s="537" t="n"/>
      <c r="B71" s="1098" t="n"/>
      <c r="C71" s="1098" t="n"/>
      <c r="D71" s="1098" t="n"/>
      <c r="E71" s="306" t="n"/>
      <c r="F71" s="598" t="n"/>
      <c r="G71" s="599" t="n"/>
      <c r="H71" s="600" t="n"/>
      <c r="I71" s="599" t="n"/>
      <c r="J71" s="601" t="n"/>
      <c r="K71" s="601" t="n"/>
      <c r="L71" s="601" t="n"/>
      <c r="M71" s="1099" t="n"/>
      <c r="N71" s="1100" t="n"/>
      <c r="O71" s="1101" t="n"/>
      <c r="P71" s="1102" t="n"/>
      <c r="Q71" s="1102" t="n"/>
      <c r="R71" s="1103" t="n"/>
      <c r="S71" s="1104" t="n"/>
      <c r="T71" s="1097" t="n"/>
      <c r="U71" s="988" t="n"/>
      <c r="V71" s="988" t="n"/>
      <c r="W71" s="988" t="n"/>
      <c r="X71" s="988" t="n"/>
    </row>
    <row r="72" ht="11.25" customFormat="1" customHeight="1" s="989">
      <c r="A72" s="537" t="n"/>
      <c r="B72" s="1098" t="n"/>
      <c r="C72" s="1098" t="n"/>
      <c r="D72" s="1098" t="n"/>
      <c r="E72" s="306" t="n"/>
      <c r="F72" s="598" t="n"/>
      <c r="G72" s="599" t="n"/>
      <c r="H72" s="600" t="n"/>
      <c r="I72" s="599" t="n"/>
      <c r="J72" s="601" t="n"/>
      <c r="K72" s="601" t="n"/>
      <c r="L72" s="601" t="n"/>
      <c r="M72" s="1099" t="n"/>
      <c r="N72" s="1100" t="n"/>
      <c r="O72" s="1101" t="n"/>
      <c r="P72" s="1102" t="n"/>
      <c r="Q72" s="1102" t="n"/>
      <c r="R72" s="1103" t="n"/>
      <c r="S72" s="1104" t="n"/>
      <c r="T72" s="1097" t="n"/>
      <c r="U72" s="988" t="n"/>
      <c r="V72" s="988" t="n"/>
      <c r="W72" s="988" t="n"/>
      <c r="X72" s="988" t="n"/>
    </row>
    <row r="73" ht="11.25" customFormat="1" customHeight="1" s="989">
      <c r="A73" s="537" t="n"/>
      <c r="B73" s="1098" t="n"/>
      <c r="C73" s="1098" t="n"/>
      <c r="D73" s="1098" t="n"/>
      <c r="E73" s="306" t="n"/>
      <c r="F73" s="598" t="n"/>
      <c r="G73" s="599" t="n"/>
      <c r="H73" s="600" t="n"/>
      <c r="I73" s="599" t="n"/>
      <c r="J73" s="601" t="n"/>
      <c r="K73" s="601" t="n"/>
      <c r="L73" s="601" t="n"/>
      <c r="M73" s="1099" t="n"/>
      <c r="N73" s="1100" t="n"/>
      <c r="O73" s="1101" t="n"/>
      <c r="P73" s="1102" t="n"/>
      <c r="Q73" s="1102" t="n"/>
      <c r="R73" s="1103" t="n"/>
      <c r="S73" s="1104" t="n"/>
      <c r="T73" s="1097" t="n"/>
      <c r="U73" s="988" t="n"/>
      <c r="V73" s="988" t="n"/>
      <c r="W73" s="988" t="n"/>
      <c r="X73" s="988" t="n"/>
    </row>
    <row r="74" ht="11.25" customFormat="1" customHeight="1" s="989">
      <c r="A74" s="537" t="n"/>
      <c r="B74" s="1098" t="n"/>
      <c r="C74" s="1098" t="n"/>
      <c r="D74" s="1098" t="n"/>
      <c r="E74" s="306" t="n"/>
      <c r="F74" s="598" t="n"/>
      <c r="G74" s="599" t="n"/>
      <c r="H74" s="600" t="n"/>
      <c r="I74" s="599" t="n"/>
      <c r="J74" s="601" t="n"/>
      <c r="K74" s="601" t="n"/>
      <c r="L74" s="601" t="n"/>
      <c r="M74" s="1099" t="n"/>
      <c r="N74" s="1100" t="n"/>
      <c r="O74" s="1101" t="n"/>
      <c r="P74" s="1102" t="n"/>
      <c r="Q74" s="1102" t="n"/>
      <c r="R74" s="1103" t="n"/>
      <c r="S74" s="1104" t="n"/>
      <c r="T74" s="1097" t="n"/>
      <c r="U74" s="988" t="n"/>
      <c r="V74" s="988" t="n"/>
      <c r="W74" s="988" t="n"/>
      <c r="X74" s="988" t="n"/>
    </row>
    <row r="75" ht="11.25" customFormat="1" customHeight="1" s="989">
      <c r="A75" s="537" t="n"/>
      <c r="B75" s="1098" t="n"/>
      <c r="C75" s="1098" t="n"/>
      <c r="D75" s="1098" t="n"/>
      <c r="E75" s="306" t="n"/>
      <c r="F75" s="598" t="n"/>
      <c r="G75" s="599" t="n"/>
      <c r="H75" s="600" t="n"/>
      <c r="I75" s="599" t="n"/>
      <c r="J75" s="601" t="n"/>
      <c r="K75" s="601" t="n"/>
      <c r="L75" s="601" t="n"/>
      <c r="M75" s="1099" t="n"/>
      <c r="N75" s="1100" t="n"/>
      <c r="O75" s="1101" t="n"/>
      <c r="P75" s="1102" t="n"/>
      <c r="Q75" s="1102" t="n"/>
      <c r="R75" s="1103" t="n"/>
      <c r="S75" s="1104" t="n"/>
      <c r="T75" s="1097" t="n"/>
      <c r="U75" s="988" t="n"/>
      <c r="V75" s="988" t="n"/>
      <c r="W75" s="988" t="n"/>
      <c r="X75" s="988" t="n"/>
    </row>
    <row r="76" ht="11.25" customFormat="1" customHeight="1" s="989">
      <c r="A76" s="537" t="n"/>
      <c r="B76" s="1098" t="n"/>
      <c r="C76" s="1098" t="n"/>
      <c r="D76" s="1098" t="n"/>
      <c r="E76" s="306" t="n"/>
      <c r="F76" s="598" t="n"/>
      <c r="G76" s="599" t="n"/>
      <c r="H76" s="600" t="n"/>
      <c r="I76" s="599" t="n"/>
      <c r="J76" s="601" t="n"/>
      <c r="K76" s="601" t="n"/>
      <c r="L76" s="601" t="n"/>
      <c r="M76" s="1099" t="n"/>
      <c r="N76" s="1100" t="n"/>
      <c r="O76" s="1101" t="n"/>
      <c r="P76" s="1102" t="n"/>
      <c r="Q76" s="1102" t="n"/>
      <c r="R76" s="1103" t="n"/>
      <c r="S76" s="1104" t="n"/>
      <c r="T76" s="1097" t="n"/>
      <c r="U76" s="988" t="n"/>
      <c r="V76" s="988" t="n"/>
      <c r="W76" s="988" t="n"/>
      <c r="X76" s="988" t="n"/>
    </row>
    <row r="77" ht="11.25" customFormat="1" customHeight="1" s="989">
      <c r="A77" s="537" t="n"/>
      <c r="B77" s="1098" t="n"/>
      <c r="C77" s="1098" t="n"/>
      <c r="D77" s="1098" t="n"/>
      <c r="E77" s="306" t="n"/>
      <c r="F77" s="598" t="n"/>
      <c r="G77" s="599" t="n"/>
      <c r="H77" s="600" t="n"/>
      <c r="I77" s="599" t="n"/>
      <c r="J77" s="601" t="n"/>
      <c r="K77" s="601" t="n"/>
      <c r="L77" s="601" t="n"/>
      <c r="M77" s="1099" t="n"/>
      <c r="N77" s="1100" t="n"/>
      <c r="O77" s="1101" t="n"/>
      <c r="P77" s="1102" t="n"/>
      <c r="Q77" s="1102" t="n"/>
      <c r="R77" s="1103" t="n"/>
      <c r="S77" s="1104" t="n"/>
      <c r="T77" s="1097" t="n"/>
      <c r="U77" s="988" t="n"/>
      <c r="V77" s="988" t="n"/>
      <c r="W77" s="988" t="n"/>
      <c r="X77" s="988" t="n"/>
    </row>
    <row r="78" ht="11.25" customFormat="1" customHeight="1" s="989">
      <c r="A78" s="537" t="n"/>
      <c r="B78" s="1098" t="n"/>
      <c r="C78" s="1098" t="n"/>
      <c r="D78" s="1098" t="n"/>
      <c r="E78" s="306" t="n"/>
      <c r="F78" s="598" t="n"/>
      <c r="G78" s="599" t="n"/>
      <c r="H78" s="600" t="n"/>
      <c r="I78" s="599" t="n"/>
      <c r="J78" s="601" t="n"/>
      <c r="K78" s="601" t="n"/>
      <c r="L78" s="601" t="n"/>
      <c r="M78" s="1099" t="n"/>
      <c r="N78" s="1100" t="n"/>
      <c r="O78" s="1101" t="n"/>
      <c r="P78" s="1102" t="n"/>
      <c r="Q78" s="1102" t="n"/>
      <c r="R78" s="1103" t="n"/>
      <c r="S78" s="1104" t="n"/>
      <c r="T78" s="1097" t="n"/>
      <c r="U78" s="988" t="n"/>
      <c r="V78" s="988" t="n"/>
      <c r="W78" s="988" t="n"/>
      <c r="X78" s="988" t="n"/>
    </row>
    <row r="79" ht="11.25" customFormat="1" customHeight="1" s="989">
      <c r="A79" s="537" t="n"/>
      <c r="B79" s="1098" t="n"/>
      <c r="C79" s="1098" t="n"/>
      <c r="D79" s="1098" t="n"/>
      <c r="E79" s="306" t="n"/>
      <c r="F79" s="598" t="n"/>
      <c r="G79" s="599" t="n"/>
      <c r="H79" s="600" t="n"/>
      <c r="I79" s="599" t="n"/>
      <c r="J79" s="601" t="n"/>
      <c r="K79" s="601" t="n"/>
      <c r="L79" s="601" t="n"/>
      <c r="M79" s="1099" t="n"/>
      <c r="N79" s="1100" t="n"/>
      <c r="O79" s="1101" t="n"/>
      <c r="P79" s="1102" t="n"/>
      <c r="Q79" s="1102" t="n"/>
      <c r="R79" s="1103" t="n"/>
      <c r="S79" s="1104" t="n"/>
      <c r="T79" s="1097" t="n"/>
      <c r="U79" s="988" t="n"/>
      <c r="V79" s="988" t="n"/>
      <c r="W79" s="988" t="n"/>
      <c r="X79" s="988" t="n"/>
    </row>
    <row r="80" ht="11.25" customFormat="1" customHeight="1" s="989">
      <c r="A80" s="537" t="n"/>
      <c r="B80" s="1098" t="n"/>
      <c r="C80" s="1098" t="n"/>
      <c r="D80" s="1098" t="n"/>
      <c r="E80" s="306" t="n"/>
      <c r="F80" s="598" t="n"/>
      <c r="G80" s="599" t="n"/>
      <c r="H80" s="600" t="n"/>
      <c r="I80" s="599" t="n"/>
      <c r="J80" s="601" t="n"/>
      <c r="K80" s="601" t="n"/>
      <c r="L80" s="601" t="n"/>
      <c r="M80" s="1099" t="n"/>
      <c r="N80" s="1100" t="n"/>
      <c r="O80" s="1101" t="n"/>
      <c r="P80" s="1102" t="n"/>
      <c r="Q80" s="1102" t="n"/>
      <c r="R80" s="1103" t="n"/>
      <c r="S80" s="1104" t="n"/>
      <c r="T80" s="1097" t="n"/>
      <c r="U80" s="988" t="n"/>
      <c r="V80" s="988" t="n"/>
      <c r="W80" s="988" t="n"/>
      <c r="X80" s="988" t="n"/>
    </row>
    <row r="81" ht="11.25" customFormat="1" customHeight="1" s="989">
      <c r="A81" s="537" t="n"/>
      <c r="B81" s="1098" t="n"/>
      <c r="C81" s="1098" t="n"/>
      <c r="D81" s="1098" t="n"/>
      <c r="E81" s="306" t="n"/>
      <c r="F81" s="598" t="n"/>
      <c r="G81" s="599" t="n"/>
      <c r="H81" s="600" t="n"/>
      <c r="I81" s="599" t="n"/>
      <c r="J81" s="601" t="n"/>
      <c r="K81" s="601" t="n"/>
      <c r="L81" s="601" t="n"/>
      <c r="M81" s="1099" t="n"/>
      <c r="N81" s="1100" t="n"/>
      <c r="O81" s="1101" t="n"/>
      <c r="P81" s="1102" t="n"/>
      <c r="Q81" s="1102" t="n"/>
      <c r="R81" s="1103" t="n"/>
      <c r="S81" s="1104" t="n"/>
      <c r="T81" s="1097" t="n"/>
      <c r="U81" s="988" t="n"/>
      <c r="V81" s="988" t="n"/>
      <c r="W81" s="988" t="n"/>
      <c r="X81" s="988" t="n"/>
    </row>
    <row r="82" ht="11.25" customFormat="1" customHeight="1" s="989">
      <c r="A82" s="537" t="n"/>
      <c r="B82" s="1098" t="n"/>
      <c r="C82" s="1098" t="n"/>
      <c r="D82" s="1098" t="n"/>
      <c r="E82" s="306" t="n"/>
      <c r="F82" s="598" t="n"/>
      <c r="G82" s="599" t="n"/>
      <c r="H82" s="600" t="n"/>
      <c r="I82" s="599" t="n"/>
      <c r="J82" s="601" t="n"/>
      <c r="K82" s="601" t="n"/>
      <c r="L82" s="601" t="n"/>
      <c r="M82" s="1099" t="n"/>
      <c r="N82" s="1100" t="n"/>
      <c r="O82" s="1101" t="n"/>
      <c r="P82" s="1102" t="n"/>
      <c r="Q82" s="1102" t="n"/>
      <c r="R82" s="1103" t="n"/>
      <c r="S82" s="1104" t="n"/>
      <c r="T82" s="1097" t="n"/>
      <c r="U82" s="988" t="n"/>
      <c r="V82" s="988" t="n"/>
      <c r="W82" s="988" t="n"/>
      <c r="X82" s="988" t="n"/>
    </row>
    <row r="83" ht="11.25" customFormat="1" customHeight="1" s="989">
      <c r="A83" s="537" t="n"/>
      <c r="B83" s="1098" t="n"/>
      <c r="C83" s="1098" t="n"/>
      <c r="D83" s="1098" t="n"/>
      <c r="E83" s="306" t="n"/>
      <c r="F83" s="598" t="n"/>
      <c r="G83" s="599" t="n"/>
      <c r="H83" s="600" t="n"/>
      <c r="I83" s="599" t="n"/>
      <c r="J83" s="601" t="n"/>
      <c r="K83" s="601" t="n"/>
      <c r="L83" s="601" t="n"/>
      <c r="M83" s="1099" t="n"/>
      <c r="N83" s="1100" t="n"/>
      <c r="O83" s="1101" t="n"/>
      <c r="P83" s="1102" t="n"/>
      <c r="Q83" s="1102" t="n"/>
      <c r="R83" s="1103" t="n"/>
      <c r="S83" s="1104" t="n"/>
      <c r="T83" s="1097" t="n"/>
      <c r="U83" s="988" t="n"/>
      <c r="V83" s="988" t="n"/>
      <c r="W83" s="988" t="n"/>
      <c r="X83" s="988" t="n"/>
    </row>
    <row r="84" ht="11.25" customFormat="1" customHeight="1" s="989">
      <c r="A84" s="537" t="n"/>
      <c r="B84" s="1098" t="n"/>
      <c r="C84" s="1098" t="n"/>
      <c r="D84" s="1098" t="n"/>
      <c r="E84" s="306" t="n"/>
      <c r="F84" s="598" t="n"/>
      <c r="G84" s="599" t="n"/>
      <c r="H84" s="600" t="n"/>
      <c r="I84" s="599" t="n"/>
      <c r="J84" s="601" t="n"/>
      <c r="K84" s="601" t="n"/>
      <c r="L84" s="601" t="n"/>
      <c r="M84" s="1099" t="n"/>
      <c r="N84" s="1100" t="n"/>
      <c r="O84" s="1101" t="n"/>
      <c r="P84" s="1102" t="n"/>
      <c r="Q84" s="1102" t="n"/>
      <c r="R84" s="1103" t="n"/>
      <c r="S84" s="1104" t="n"/>
      <c r="T84" s="1097" t="n"/>
      <c r="U84" s="988" t="n"/>
      <c r="V84" s="988" t="n"/>
      <c r="W84" s="988" t="n"/>
      <c r="X84" s="988" t="n"/>
    </row>
    <row r="85" ht="11.25" customFormat="1" customHeight="1" s="989">
      <c r="A85" s="537" t="n"/>
      <c r="B85" s="1098" t="n"/>
      <c r="C85" s="1098" t="n"/>
      <c r="D85" s="1098" t="n"/>
      <c r="E85" s="306" t="n"/>
      <c r="F85" s="598" t="n"/>
      <c r="G85" s="599" t="n"/>
      <c r="H85" s="600" t="n"/>
      <c r="I85" s="599" t="n"/>
      <c r="J85" s="601" t="n"/>
      <c r="K85" s="601" t="n"/>
      <c r="L85" s="601" t="n"/>
      <c r="M85" s="1099" t="n"/>
      <c r="N85" s="1100" t="n"/>
      <c r="O85" s="1101" t="n"/>
      <c r="P85" s="1102" t="n"/>
      <c r="Q85" s="1102" t="n"/>
      <c r="R85" s="1103" t="n"/>
      <c r="S85" s="1104" t="n"/>
      <c r="T85" s="1097" t="n"/>
      <c r="U85" s="988" t="n"/>
      <c r="V85" s="988" t="n"/>
      <c r="W85" s="988" t="n"/>
      <c r="X85" s="988" t="n"/>
    </row>
    <row r="86" ht="11.25" customFormat="1" customHeight="1" s="989">
      <c r="A86" s="537" t="n"/>
      <c r="B86" s="1098" t="n"/>
      <c r="C86" s="1098" t="n"/>
      <c r="D86" s="1098" t="n"/>
      <c r="E86" s="306" t="n"/>
      <c r="F86" s="598" t="n"/>
      <c r="G86" s="599" t="n"/>
      <c r="H86" s="600" t="n"/>
      <c r="I86" s="599" t="n"/>
      <c r="J86" s="601" t="n"/>
      <c r="K86" s="601" t="n"/>
      <c r="L86" s="601" t="n"/>
      <c r="M86" s="1099" t="n"/>
      <c r="N86" s="1100" t="n"/>
      <c r="O86" s="1101" t="n"/>
      <c r="P86" s="1102" t="n"/>
      <c r="Q86" s="1102" t="n"/>
      <c r="R86" s="1103" t="n"/>
      <c r="S86" s="1104" t="n"/>
      <c r="T86" s="1097" t="n"/>
      <c r="U86" s="988" t="n"/>
      <c r="V86" s="988" t="n"/>
      <c r="W86" s="988" t="n"/>
      <c r="X86" s="988" t="n"/>
    </row>
    <row r="87" ht="11.25" customFormat="1" customHeight="1" s="989">
      <c r="A87" s="537" t="n"/>
      <c r="B87" s="1098" t="n"/>
      <c r="C87" s="1098" t="n"/>
      <c r="D87" s="1098" t="n"/>
      <c r="E87" s="306" t="n"/>
      <c r="F87" s="598" t="n"/>
      <c r="G87" s="599" t="n"/>
      <c r="H87" s="600" t="n"/>
      <c r="I87" s="599" t="n"/>
      <c r="J87" s="601" t="n"/>
      <c r="K87" s="601" t="n"/>
      <c r="L87" s="601" t="n"/>
      <c r="M87" s="1099" t="n"/>
      <c r="N87" s="1100" t="n"/>
      <c r="O87" s="1101" t="n"/>
      <c r="P87" s="1102" t="n"/>
      <c r="Q87" s="1102" t="n"/>
      <c r="R87" s="1103" t="n"/>
      <c r="S87" s="1104" t="n"/>
      <c r="T87" s="1097" t="n"/>
      <c r="U87" s="988" t="n"/>
      <c r="V87" s="988" t="n"/>
      <c r="W87" s="988" t="n"/>
      <c r="X87" s="988" t="n"/>
    </row>
    <row r="88" ht="11.25" customFormat="1" customHeight="1" s="989">
      <c r="A88" s="537" t="n"/>
      <c r="B88" s="1098" t="n"/>
      <c r="C88" s="1098" t="n"/>
      <c r="D88" s="1098" t="n"/>
      <c r="E88" s="306" t="n"/>
      <c r="F88" s="598" t="n"/>
      <c r="G88" s="599" t="n"/>
      <c r="H88" s="600" t="n"/>
      <c r="I88" s="599" t="n"/>
      <c r="J88" s="601" t="n"/>
      <c r="K88" s="601" t="n"/>
      <c r="L88" s="601" t="n"/>
      <c r="M88" s="1099" t="n"/>
      <c r="N88" s="1100" t="n"/>
      <c r="O88" s="1101" t="n"/>
      <c r="P88" s="1102" t="n"/>
      <c r="Q88" s="1102" t="n"/>
      <c r="R88" s="1103" t="n"/>
      <c r="S88" s="1104" t="n"/>
      <c r="T88" s="1097" t="n"/>
      <c r="U88" s="988" t="n"/>
      <c r="V88" s="988" t="n"/>
      <c r="W88" s="988" t="n"/>
      <c r="X88" s="988" t="n"/>
    </row>
    <row r="89" ht="11.25" customFormat="1" customHeight="1" s="989">
      <c r="A89" s="537" t="n"/>
      <c r="B89" s="1098" t="n"/>
      <c r="C89" s="1098" t="n"/>
      <c r="D89" s="1098" t="n"/>
      <c r="E89" s="306" t="n"/>
      <c r="F89" s="598" t="n"/>
      <c r="G89" s="599" t="n"/>
      <c r="H89" s="600" t="n"/>
      <c r="I89" s="599" t="n"/>
      <c r="J89" s="601" t="n"/>
      <c r="K89" s="601" t="n"/>
      <c r="L89" s="601" t="n"/>
      <c r="M89" s="1099" t="n"/>
      <c r="N89" s="1100" t="n"/>
      <c r="O89" s="1101" t="n"/>
      <c r="P89" s="1102" t="n"/>
      <c r="Q89" s="1102" t="n"/>
      <c r="R89" s="1103" t="n"/>
      <c r="S89" s="1104" t="n"/>
      <c r="T89" s="1097" t="n"/>
      <c r="U89" s="988" t="n"/>
      <c r="V89" s="988" t="n"/>
      <c r="W89" s="988" t="n"/>
      <c r="X89" s="988" t="n"/>
    </row>
    <row r="90" ht="11.25" customFormat="1" customHeight="1" s="989">
      <c r="A90" s="537" t="n"/>
      <c r="B90" s="1098" t="n"/>
      <c r="C90" s="1098" t="n"/>
      <c r="D90" s="1098" t="n"/>
      <c r="E90" s="306" t="n"/>
      <c r="F90" s="598" t="n"/>
      <c r="G90" s="599" t="n"/>
      <c r="H90" s="600" t="n"/>
      <c r="I90" s="599" t="n"/>
      <c r="J90" s="601" t="n"/>
      <c r="K90" s="601" t="n"/>
      <c r="L90" s="601" t="n"/>
      <c r="M90" s="1099" t="n"/>
      <c r="N90" s="1100" t="n"/>
      <c r="O90" s="1101" t="n"/>
      <c r="P90" s="1102" t="n"/>
      <c r="Q90" s="1102" t="n"/>
      <c r="R90" s="1103" t="n"/>
      <c r="S90" s="1104" t="n"/>
      <c r="T90" s="1097" t="n"/>
      <c r="U90" s="988" t="n"/>
      <c r="V90" s="988" t="n"/>
      <c r="W90" s="988" t="n"/>
      <c r="X90" s="988" t="n"/>
    </row>
    <row r="91" ht="11.25" customFormat="1" customHeight="1" s="989">
      <c r="A91" s="537" t="n"/>
      <c r="B91" s="1098" t="n"/>
      <c r="C91" s="1098" t="n"/>
      <c r="D91" s="1098" t="n"/>
      <c r="E91" s="306" t="n"/>
      <c r="F91" s="598" t="n"/>
      <c r="G91" s="599" t="n"/>
      <c r="H91" s="600" t="n"/>
      <c r="I91" s="599" t="n"/>
      <c r="J91" s="601" t="n"/>
      <c r="K91" s="601" t="n"/>
      <c r="L91" s="601" t="n"/>
      <c r="M91" s="1099" t="n"/>
      <c r="N91" s="1100" t="n"/>
      <c r="O91" s="1101" t="n"/>
      <c r="P91" s="1102" t="n"/>
      <c r="Q91" s="1102" t="n"/>
      <c r="R91" s="1103" t="n"/>
      <c r="S91" s="1104" t="n"/>
      <c r="T91" s="1097" t="n"/>
      <c r="U91" s="988" t="n"/>
      <c r="V91" s="988" t="n"/>
      <c r="W91" s="988" t="n"/>
      <c r="X91" s="988" t="n"/>
    </row>
    <row r="92" ht="11.25" customFormat="1" customHeight="1" s="989">
      <c r="A92" s="537" t="n"/>
      <c r="B92" s="1098" t="n"/>
      <c r="C92" s="1098" t="n"/>
      <c r="D92" s="1098" t="n"/>
      <c r="E92" s="306" t="n"/>
      <c r="F92" s="598" t="n"/>
      <c r="G92" s="599" t="n"/>
      <c r="H92" s="600" t="n"/>
      <c r="I92" s="599" t="n"/>
      <c r="J92" s="601" t="n"/>
      <c r="K92" s="601" t="n"/>
      <c r="L92" s="601" t="n"/>
      <c r="M92" s="1099" t="n"/>
      <c r="N92" s="1100" t="n"/>
      <c r="O92" s="1101" t="n"/>
      <c r="P92" s="1102" t="n"/>
      <c r="Q92" s="1102" t="n"/>
      <c r="R92" s="1103" t="n"/>
      <c r="S92" s="1104" t="n"/>
      <c r="T92" s="1097" t="n"/>
      <c r="U92" s="988" t="n"/>
      <c r="V92" s="988" t="n"/>
      <c r="W92" s="988" t="n"/>
      <c r="X92" s="988" t="n"/>
    </row>
    <row r="93" ht="11.25" customFormat="1" customHeight="1" s="989">
      <c r="A93" s="537" t="n"/>
      <c r="B93" s="1098" t="n"/>
      <c r="C93" s="1098" t="n"/>
      <c r="D93" s="1098" t="n"/>
      <c r="E93" s="306" t="n"/>
      <c r="F93" s="598" t="n"/>
      <c r="G93" s="599" t="n"/>
      <c r="H93" s="600" t="n"/>
      <c r="I93" s="599" t="n"/>
      <c r="J93" s="601" t="n"/>
      <c r="K93" s="601" t="n"/>
      <c r="L93" s="601" t="n"/>
      <c r="M93" s="1099" t="n"/>
      <c r="N93" s="1100" t="n"/>
      <c r="O93" s="1101" t="n"/>
      <c r="P93" s="1102" t="n"/>
      <c r="Q93" s="1102" t="n"/>
      <c r="R93" s="1103" t="n"/>
      <c r="S93" s="1104" t="n"/>
      <c r="T93" s="1097" t="n"/>
      <c r="U93" s="988" t="n"/>
      <c r="V93" s="988" t="n"/>
      <c r="W93" s="988" t="n"/>
      <c r="X93" s="988" t="n"/>
    </row>
    <row r="94" ht="11.25" customFormat="1" customHeight="1" s="989">
      <c r="A94" s="537" t="n"/>
      <c r="B94" s="1098" t="n"/>
      <c r="C94" s="1098" t="n"/>
      <c r="D94" s="1098" t="n"/>
      <c r="E94" s="306" t="n"/>
      <c r="F94" s="598" t="n"/>
      <c r="G94" s="599" t="n"/>
      <c r="H94" s="600" t="n"/>
      <c r="I94" s="599" t="n"/>
      <c r="J94" s="601" t="n"/>
      <c r="K94" s="601" t="n"/>
      <c r="L94" s="601" t="n"/>
      <c r="M94" s="1099" t="n"/>
      <c r="N94" s="1100" t="n"/>
      <c r="O94" s="1101" t="n"/>
      <c r="P94" s="1102" t="n"/>
      <c r="Q94" s="1102" t="n"/>
      <c r="R94" s="1103" t="n"/>
      <c r="S94" s="1104" t="n"/>
      <c r="T94" s="1097" t="n"/>
      <c r="U94" s="988" t="n"/>
      <c r="V94" s="988" t="n"/>
      <c r="W94" s="988" t="n"/>
      <c r="X94" s="988" t="n"/>
    </row>
    <row r="95" ht="11.25" customFormat="1" customHeight="1" s="989">
      <c r="A95" s="537" t="n"/>
      <c r="B95" s="1098" t="n"/>
      <c r="C95" s="1098" t="n"/>
      <c r="D95" s="1098" t="n"/>
      <c r="E95" s="306" t="n"/>
      <c r="F95" s="598" t="n"/>
      <c r="G95" s="599" t="n"/>
      <c r="H95" s="600" t="n"/>
      <c r="I95" s="599" t="n"/>
      <c r="J95" s="601" t="n"/>
      <c r="K95" s="601" t="n"/>
      <c r="L95" s="601" t="n"/>
      <c r="M95" s="1099" t="n"/>
      <c r="N95" s="1100" t="n"/>
      <c r="O95" s="1101" t="n"/>
      <c r="P95" s="1102" t="n"/>
      <c r="Q95" s="1102" t="n"/>
      <c r="R95" s="1103" t="n"/>
      <c r="S95" s="1104" t="n"/>
      <c r="T95" s="1097" t="n"/>
      <c r="U95" s="988" t="n"/>
      <c r="V95" s="988" t="n"/>
      <c r="W95" s="988" t="n"/>
      <c r="X95" s="988" t="n"/>
    </row>
    <row r="96" ht="11.25" customFormat="1" customHeight="1" s="989">
      <c r="A96" s="537" t="n"/>
      <c r="B96" s="1098" t="n"/>
      <c r="C96" s="1098" t="n"/>
      <c r="D96" s="1098" t="n"/>
      <c r="E96" s="306" t="n"/>
      <c r="F96" s="598" t="n"/>
      <c r="G96" s="599" t="n"/>
      <c r="H96" s="600" t="n"/>
      <c r="I96" s="599" t="n"/>
      <c r="J96" s="601" t="n"/>
      <c r="K96" s="601" t="n"/>
      <c r="L96" s="601" t="n"/>
      <c r="M96" s="1099" t="n"/>
      <c r="N96" s="1100" t="n"/>
      <c r="O96" s="1101" t="n"/>
      <c r="P96" s="1102" t="n"/>
      <c r="Q96" s="1102" t="n"/>
      <c r="R96" s="1103" t="n"/>
      <c r="S96" s="1104" t="n"/>
      <c r="T96" s="1097" t="n"/>
      <c r="U96" s="988" t="n"/>
      <c r="V96" s="988" t="n"/>
      <c r="W96" s="988" t="n"/>
      <c r="X96" s="988" t="n"/>
    </row>
    <row r="97" ht="11.25" customFormat="1" customHeight="1" s="989">
      <c r="A97" s="537" t="n"/>
      <c r="B97" s="1098" t="n"/>
      <c r="C97" s="1098" t="n"/>
      <c r="D97" s="1098" t="n"/>
      <c r="E97" s="306" t="n"/>
      <c r="F97" s="598" t="n"/>
      <c r="G97" s="599" t="n"/>
      <c r="H97" s="600" t="n"/>
      <c r="I97" s="599" t="n"/>
      <c r="J97" s="601" t="n"/>
      <c r="K97" s="601" t="n"/>
      <c r="L97" s="601" t="n"/>
      <c r="M97" s="1099" t="n"/>
      <c r="N97" s="1100" t="n"/>
      <c r="O97" s="1101" t="n"/>
      <c r="P97" s="1102" t="n"/>
      <c r="Q97" s="1102" t="n"/>
      <c r="R97" s="1103" t="n"/>
      <c r="S97" s="1104" t="n"/>
      <c r="T97" s="1097" t="n"/>
      <c r="U97" s="988" t="n"/>
      <c r="V97" s="988" t="n"/>
      <c r="W97" s="988" t="n"/>
      <c r="X97" s="988" t="n"/>
    </row>
    <row r="98" ht="11.25" customFormat="1" customHeight="1" s="989">
      <c r="A98" s="537" t="n"/>
      <c r="B98" s="1098" t="n"/>
      <c r="C98" s="1098" t="n"/>
      <c r="D98" s="1098" t="n"/>
      <c r="E98" s="306" t="n"/>
      <c r="F98" s="598" t="n"/>
      <c r="G98" s="599" t="n"/>
      <c r="H98" s="600" t="n"/>
      <c r="I98" s="599" t="n"/>
      <c r="J98" s="601" t="n"/>
      <c r="K98" s="601" t="n"/>
      <c r="L98" s="601" t="n"/>
      <c r="M98" s="1099" t="n"/>
      <c r="N98" s="1100" t="n"/>
      <c r="O98" s="1101" t="n"/>
      <c r="P98" s="1102" t="n"/>
      <c r="Q98" s="1102" t="n"/>
      <c r="R98" s="1103" t="n"/>
      <c r="S98" s="1104" t="n"/>
      <c r="T98" s="1097" t="n"/>
      <c r="U98" s="988" t="n"/>
      <c r="V98" s="988" t="n"/>
      <c r="W98" s="988" t="n"/>
      <c r="X98" s="988" t="n"/>
    </row>
    <row r="99" ht="11.25" customFormat="1" customHeight="1" s="989">
      <c r="A99" s="537" t="n"/>
      <c r="B99" s="1098" t="n"/>
      <c r="C99" s="1098" t="n"/>
      <c r="D99" s="1098" t="n"/>
      <c r="E99" s="306" t="n"/>
      <c r="F99" s="598" t="n"/>
      <c r="G99" s="599" t="n"/>
      <c r="H99" s="600" t="n"/>
      <c r="I99" s="599" t="n"/>
      <c r="J99" s="601" t="n"/>
      <c r="K99" s="601" t="n"/>
      <c r="L99" s="601" t="n"/>
      <c r="M99" s="1099" t="n"/>
      <c r="N99" s="1100" t="n"/>
      <c r="O99" s="1101" t="n"/>
      <c r="P99" s="1102" t="n"/>
      <c r="Q99" s="1102" t="n"/>
      <c r="R99" s="1103" t="n"/>
      <c r="S99" s="1104" t="n"/>
      <c r="T99" s="1097" t="n"/>
      <c r="U99" s="988" t="n"/>
      <c r="V99" s="988" t="n"/>
      <c r="W99" s="988" t="n"/>
      <c r="X99" s="988" t="n"/>
    </row>
    <row r="100" ht="11.25" customFormat="1" customHeight="1" s="989">
      <c r="A100" s="537" t="n"/>
      <c r="B100" s="1098" t="n"/>
      <c r="C100" s="1098" t="n"/>
      <c r="D100" s="1098" t="n"/>
      <c r="E100" s="306" t="n"/>
      <c r="F100" s="598" t="n"/>
      <c r="G100" s="599" t="n"/>
      <c r="H100" s="600" t="n"/>
      <c r="I100" s="599" t="n"/>
      <c r="J100" s="601" t="n"/>
      <c r="K100" s="601" t="n"/>
      <c r="L100" s="601" t="n"/>
      <c r="M100" s="1099" t="n"/>
      <c r="N100" s="1100" t="n"/>
      <c r="O100" s="1101" t="n"/>
      <c r="P100" s="1102" t="n"/>
      <c r="Q100" s="1102" t="n"/>
      <c r="R100" s="1103" t="n"/>
      <c r="S100" s="1104" t="n"/>
      <c r="T100" s="1097" t="n"/>
      <c r="U100" s="988" t="n"/>
      <c r="V100" s="988" t="n"/>
      <c r="W100" s="988" t="n"/>
      <c r="X100" s="988" t="n"/>
    </row>
    <row r="101" ht="11.25" customFormat="1" customHeight="1" s="989">
      <c r="A101" s="537" t="n"/>
      <c r="B101" s="1098" t="n"/>
      <c r="C101" s="1098" t="n"/>
      <c r="D101" s="1098" t="n"/>
      <c r="E101" s="306" t="n"/>
      <c r="F101" s="598" t="n"/>
      <c r="G101" s="599" t="n"/>
      <c r="H101" s="600" t="n"/>
      <c r="I101" s="599" t="n"/>
      <c r="J101" s="601" t="n"/>
      <c r="K101" s="601" t="n"/>
      <c r="L101" s="601" t="n"/>
      <c r="M101" s="1099" t="n"/>
      <c r="N101" s="1100" t="n"/>
      <c r="O101" s="1101" t="n"/>
      <c r="P101" s="1102" t="n"/>
      <c r="Q101" s="1102" t="n"/>
      <c r="R101" s="1103" t="n"/>
      <c r="S101" s="1104" t="n"/>
      <c r="T101" s="1097" t="n"/>
      <c r="U101" s="988" t="n"/>
      <c r="V101" s="988" t="n"/>
      <c r="W101" s="988" t="n"/>
      <c r="X101" s="988" t="n"/>
    </row>
    <row r="102" ht="11.25" customFormat="1" customHeight="1" s="989">
      <c r="A102" s="537" t="n"/>
      <c r="B102" s="1098" t="n"/>
      <c r="C102" s="1098" t="n"/>
      <c r="D102" s="1098" t="n"/>
      <c r="E102" s="306" t="n"/>
      <c r="F102" s="598" t="n"/>
      <c r="G102" s="599" t="n"/>
      <c r="H102" s="600" t="n"/>
      <c r="I102" s="599" t="n"/>
      <c r="J102" s="601" t="n"/>
      <c r="K102" s="601" t="n"/>
      <c r="L102" s="601" t="n"/>
      <c r="M102" s="1099" t="n"/>
      <c r="N102" s="1100" t="n"/>
      <c r="O102" s="1101" t="n"/>
      <c r="P102" s="1102" t="n"/>
      <c r="Q102" s="1102" t="n"/>
      <c r="R102" s="1103" t="n"/>
      <c r="S102" s="1104" t="n"/>
      <c r="T102" s="1097" t="n"/>
      <c r="U102" s="988" t="n"/>
      <c r="V102" s="988" t="n"/>
      <c r="W102" s="988" t="n"/>
      <c r="X102" s="988" t="n"/>
    </row>
    <row r="103" ht="11.25" customFormat="1" customHeight="1" s="989">
      <c r="A103" s="537" t="n"/>
      <c r="B103" s="1098" t="n"/>
      <c r="C103" s="1098" t="n"/>
      <c r="D103" s="1098" t="n"/>
      <c r="E103" s="306" t="n"/>
      <c r="F103" s="598" t="n"/>
      <c r="G103" s="599" t="n"/>
      <c r="H103" s="600" t="n"/>
      <c r="I103" s="599" t="n"/>
      <c r="J103" s="601" t="n"/>
      <c r="K103" s="601" t="n"/>
      <c r="L103" s="601" t="n"/>
      <c r="M103" s="1099" t="n"/>
      <c r="N103" s="1100" t="n"/>
      <c r="O103" s="1101" t="n"/>
      <c r="P103" s="1102" t="n"/>
      <c r="Q103" s="1102" t="n"/>
      <c r="R103" s="1103" t="n"/>
      <c r="S103" s="1104" t="n"/>
      <c r="T103" s="1097" t="n"/>
      <c r="U103" s="988" t="n"/>
      <c r="V103" s="988" t="n"/>
      <c r="W103" s="988" t="n"/>
      <c r="X103" s="988" t="n"/>
    </row>
    <row r="104" ht="11.25" customFormat="1" customHeight="1" s="989">
      <c r="A104" s="537" t="n"/>
      <c r="B104" s="1098" t="n"/>
      <c r="C104" s="1098" t="n"/>
      <c r="D104" s="1098" t="n"/>
      <c r="E104" s="306" t="n"/>
      <c r="F104" s="598" t="n"/>
      <c r="G104" s="599" t="n"/>
      <c r="H104" s="600" t="n"/>
      <c r="I104" s="599" t="n"/>
      <c r="J104" s="601" t="n"/>
      <c r="K104" s="601" t="n"/>
      <c r="L104" s="601" t="n"/>
      <c r="M104" s="1099" t="n"/>
      <c r="N104" s="1100" t="n"/>
      <c r="O104" s="1101" t="n"/>
      <c r="P104" s="1102" t="n"/>
      <c r="Q104" s="1102" t="n"/>
      <c r="R104" s="1103" t="n"/>
      <c r="S104" s="1104" t="n"/>
      <c r="T104" s="1097" t="n"/>
      <c r="U104" s="988" t="n"/>
      <c r="V104" s="988" t="n"/>
      <c r="W104" s="988" t="n"/>
      <c r="X104" s="988" t="n"/>
    </row>
    <row r="105" ht="11.25" customFormat="1" customHeight="1" s="989">
      <c r="A105" s="537" t="n"/>
      <c r="B105" s="1098" t="n"/>
      <c r="C105" s="1098" t="n"/>
      <c r="D105" s="1098" t="n"/>
      <c r="E105" s="306" t="n"/>
      <c r="F105" s="598" t="n"/>
      <c r="G105" s="599" t="n"/>
      <c r="H105" s="600" t="n"/>
      <c r="I105" s="599" t="n"/>
      <c r="J105" s="601" t="n"/>
      <c r="K105" s="601" t="n"/>
      <c r="L105" s="601" t="n"/>
      <c r="M105" s="1099" t="n"/>
      <c r="N105" s="1100" t="n"/>
      <c r="O105" s="1101" t="n"/>
      <c r="P105" s="1102" t="n"/>
      <c r="Q105" s="1102" t="n"/>
      <c r="R105" s="1103" t="n"/>
      <c r="S105" s="1104" t="n"/>
      <c r="T105" s="1097" t="n"/>
      <c r="U105" s="988" t="n"/>
      <c r="V105" s="988" t="n"/>
      <c r="W105" s="988" t="n"/>
      <c r="X105" s="988" t="n"/>
    </row>
    <row r="106" ht="11.25" customFormat="1" customHeight="1" s="989">
      <c r="A106" s="537" t="n"/>
      <c r="B106" s="1098" t="n"/>
      <c r="C106" s="1098" t="n"/>
      <c r="D106" s="1098" t="n"/>
      <c r="E106" s="306" t="n"/>
      <c r="F106" s="598" t="n"/>
      <c r="G106" s="599" t="n"/>
      <c r="H106" s="600" t="n"/>
      <c r="I106" s="599" t="n"/>
      <c r="J106" s="601" t="n"/>
      <c r="K106" s="601" t="n"/>
      <c r="L106" s="601" t="n"/>
      <c r="M106" s="1099" t="n"/>
      <c r="N106" s="1100" t="n"/>
      <c r="O106" s="1101" t="n"/>
      <c r="P106" s="1102" t="n"/>
      <c r="Q106" s="1102" t="n"/>
      <c r="R106" s="1103" t="n"/>
      <c r="S106" s="1104" t="n"/>
      <c r="T106" s="1097" t="n"/>
      <c r="U106" s="988" t="n"/>
      <c r="V106" s="988" t="n"/>
      <c r="W106" s="988" t="n"/>
      <c r="X106" s="988" t="n"/>
    </row>
    <row r="107" ht="12" customFormat="1" customHeight="1" s="1089">
      <c r="A107" s="537" t="n"/>
      <c r="B107" s="1098" t="n"/>
      <c r="C107" s="1098" t="n"/>
      <c r="D107" s="1098" t="n"/>
      <c r="E107" s="306" t="n"/>
      <c r="F107" s="598" t="n"/>
      <c r="G107" s="599" t="n"/>
      <c r="H107" s="600" t="n"/>
      <c r="I107" s="599" t="n"/>
      <c r="J107" s="601" t="n"/>
      <c r="K107" s="601" t="n"/>
      <c r="L107" s="601" t="n"/>
      <c r="M107" s="1099" t="n"/>
      <c r="N107" s="1100" t="n"/>
      <c r="O107" s="1101" t="n"/>
      <c r="P107" s="1102" t="n"/>
      <c r="Q107" s="1102" t="n"/>
      <c r="R107" s="1103" t="n"/>
      <c r="S107" s="1104" t="n"/>
      <c r="T107" s="1097" t="n"/>
      <c r="U107" s="988" t="n"/>
      <c r="V107" s="988" t="n"/>
      <c r="W107" s="988" t="n"/>
      <c r="X107" s="988" t="n"/>
    </row>
    <row r="108" ht="12" customFormat="1" customHeight="1" s="1089">
      <c r="A108" s="537" t="n"/>
      <c r="B108" s="1098" t="n"/>
      <c r="C108" s="1098" t="n"/>
      <c r="D108" s="1098" t="n"/>
      <c r="E108" s="306" t="n"/>
      <c r="F108" s="598" t="n"/>
      <c r="G108" s="599" t="n"/>
      <c r="H108" s="600" t="n"/>
      <c r="I108" s="599" t="n"/>
      <c r="J108" s="601" t="n"/>
      <c r="K108" s="601" t="n"/>
      <c r="L108" s="601" t="n"/>
      <c r="M108" s="1099" t="n"/>
      <c r="N108" s="1100" t="n"/>
      <c r="O108" s="1101" t="n"/>
      <c r="P108" s="1102" t="n"/>
      <c r="Q108" s="1102" t="n"/>
      <c r="R108" s="1103" t="n"/>
      <c r="S108" s="1104" t="n"/>
      <c r="T108" s="1097" t="n"/>
      <c r="U108" s="988" t="n"/>
      <c r="V108" s="988" t="n"/>
      <c r="W108" s="988" t="n"/>
      <c r="X108" s="988" t="n"/>
    </row>
    <row r="109" ht="11.25" customFormat="1" customHeight="1" s="989">
      <c r="A109" s="537" t="n"/>
      <c r="B109" s="1098" t="n"/>
      <c r="C109" s="1098" t="n"/>
      <c r="D109" s="1098" t="n"/>
      <c r="E109" s="306" t="n"/>
      <c r="F109" s="598" t="n"/>
      <c r="G109" s="599" t="n"/>
      <c r="H109" s="600" t="n"/>
      <c r="I109" s="599" t="n"/>
      <c r="J109" s="601" t="n"/>
      <c r="K109" s="601" t="n"/>
      <c r="L109" s="601" t="n"/>
      <c r="M109" s="1099" t="n"/>
      <c r="N109" s="1100" t="n"/>
      <c r="O109" s="1101" t="n"/>
      <c r="P109" s="1102" t="n"/>
      <c r="Q109" s="1102" t="n"/>
      <c r="R109" s="1103" t="n"/>
      <c r="S109" s="1104" t="n"/>
      <c r="T109" s="1097" t="n"/>
      <c r="U109" s="988" t="n"/>
      <c r="V109" s="988" t="n"/>
      <c r="W109" s="988" t="n"/>
      <c r="X109" s="988" t="n"/>
    </row>
    <row r="110" ht="11.25" customFormat="1" customHeight="1" s="989">
      <c r="A110" s="537" t="n"/>
      <c r="B110" s="1098" t="n"/>
      <c r="C110" s="1098" t="n"/>
      <c r="D110" s="1098" t="n"/>
      <c r="E110" s="306" t="n"/>
      <c r="F110" s="598" t="n"/>
      <c r="G110" s="599" t="n"/>
      <c r="H110" s="600" t="n"/>
      <c r="I110" s="599" t="n"/>
      <c r="J110" s="601" t="n"/>
      <c r="K110" s="601" t="n"/>
      <c r="L110" s="601" t="n"/>
      <c r="M110" s="1099" t="n"/>
      <c r="N110" s="1100" t="n"/>
      <c r="O110" s="1101" t="n"/>
      <c r="P110" s="1102" t="n"/>
      <c r="Q110" s="1102" t="n"/>
      <c r="R110" s="1103" t="n"/>
      <c r="S110" s="1104" t="n"/>
      <c r="T110" s="1097" t="n"/>
      <c r="U110" s="988" t="n"/>
      <c r="V110" s="988" t="n"/>
      <c r="W110" s="988" t="n"/>
      <c r="X110" s="988" t="n"/>
    </row>
    <row r="111" ht="11.25" customFormat="1" customHeight="1" s="989">
      <c r="A111" s="537" t="n"/>
      <c r="B111" s="1098" t="n"/>
      <c r="C111" s="1098" t="n"/>
      <c r="D111" s="1098" t="n"/>
      <c r="E111" s="306" t="n"/>
      <c r="F111" s="598" t="n"/>
      <c r="G111" s="599" t="n"/>
      <c r="H111" s="600" t="n"/>
      <c r="I111" s="599" t="n"/>
      <c r="J111" s="601" t="n"/>
      <c r="K111" s="601" t="n"/>
      <c r="L111" s="601" t="n"/>
      <c r="M111" s="1099" t="n"/>
      <c r="N111" s="1100" t="n"/>
      <c r="O111" s="1101" t="n"/>
      <c r="P111" s="1102" t="n"/>
      <c r="Q111" s="1102" t="n"/>
      <c r="R111" s="1103" t="n"/>
      <c r="S111" s="1104" t="n"/>
      <c r="T111" s="1097" t="n"/>
      <c r="U111" s="988" t="n"/>
      <c r="V111" s="988" t="n"/>
      <c r="W111" s="988" t="n"/>
      <c r="X111" s="988" t="n"/>
    </row>
    <row r="112" ht="11.25" customFormat="1" customHeight="1" s="989">
      <c r="A112" s="537" t="n"/>
      <c r="B112" s="1098" t="n"/>
      <c r="C112" s="1098" t="n"/>
      <c r="D112" s="1098" t="n"/>
      <c r="E112" s="306" t="n"/>
      <c r="F112" s="598" t="n"/>
      <c r="G112" s="599" t="n"/>
      <c r="H112" s="600" t="n"/>
      <c r="I112" s="599" t="n"/>
      <c r="J112" s="601" t="n"/>
      <c r="K112" s="601" t="n"/>
      <c r="L112" s="601" t="n"/>
      <c r="M112" s="1099" t="n"/>
      <c r="N112" s="1100" t="n"/>
      <c r="O112" s="1101" t="n"/>
      <c r="P112" s="1102" t="n"/>
      <c r="Q112" s="1102" t="n"/>
      <c r="R112" s="1103" t="n"/>
      <c r="S112" s="1104" t="n"/>
      <c r="T112" s="1097" t="n"/>
      <c r="U112" s="988" t="n"/>
      <c r="V112" s="988" t="n"/>
      <c r="W112" s="988" t="n"/>
      <c r="X112" s="988" t="n"/>
    </row>
    <row r="113" ht="11.25" customFormat="1" customHeight="1" s="989">
      <c r="A113" s="537" t="n"/>
      <c r="B113" s="1098" t="n"/>
      <c r="C113" s="1098" t="n"/>
      <c r="D113" s="1098" t="n"/>
      <c r="E113" s="306" t="n"/>
      <c r="F113" s="598" t="n"/>
      <c r="G113" s="599" t="n"/>
      <c r="H113" s="600" t="n"/>
      <c r="I113" s="599" t="n"/>
      <c r="J113" s="601" t="n"/>
      <c r="K113" s="601" t="n"/>
      <c r="L113" s="601" t="n"/>
      <c r="M113" s="1099" t="n"/>
      <c r="N113" s="1100" t="n"/>
      <c r="O113" s="1101" t="n"/>
      <c r="P113" s="1102" t="n"/>
      <c r="Q113" s="1102" t="n"/>
      <c r="R113" s="1103" t="n"/>
      <c r="S113" s="1104" t="n"/>
      <c r="T113" s="1097" t="n"/>
      <c r="U113" s="988" t="n"/>
      <c r="V113" s="988" t="n"/>
      <c r="W113" s="988" t="n"/>
      <c r="X113" s="988" t="n"/>
    </row>
    <row r="114" ht="11.25" customFormat="1" customHeight="1" s="989">
      <c r="A114" s="537" t="n"/>
      <c r="B114" s="1098" t="n"/>
      <c r="C114" s="1098" t="n"/>
      <c r="D114" s="1098" t="n"/>
      <c r="E114" s="306" t="n"/>
      <c r="F114" s="598" t="n"/>
      <c r="G114" s="599" t="n"/>
      <c r="H114" s="600" t="n"/>
      <c r="I114" s="599" t="n"/>
      <c r="J114" s="601" t="n"/>
      <c r="K114" s="601" t="n"/>
      <c r="L114" s="601" t="n"/>
      <c r="M114" s="1099" t="n"/>
      <c r="N114" s="1100" t="n"/>
      <c r="O114" s="1101" t="n"/>
      <c r="P114" s="1102" t="n"/>
      <c r="Q114" s="1102" t="n"/>
      <c r="R114" s="1103" t="n"/>
      <c r="S114" s="1104" t="n"/>
      <c r="T114" s="1097" t="n"/>
      <c r="U114" s="988" t="n"/>
      <c r="V114" s="988" t="n"/>
      <c r="W114" s="988" t="n"/>
      <c r="X114" s="988" t="n"/>
    </row>
    <row r="115" ht="12" customFormat="1" customHeight="1" s="1089">
      <c r="A115" s="537" t="n"/>
      <c r="B115" s="1098" t="n"/>
      <c r="C115" s="1098" t="n"/>
      <c r="D115" s="1098" t="n"/>
      <c r="E115" s="306" t="n"/>
      <c r="F115" s="598" t="n"/>
      <c r="G115" s="599" t="n"/>
      <c r="H115" s="600" t="n"/>
      <c r="I115" s="599" t="n"/>
      <c r="J115" s="601" t="n"/>
      <c r="K115" s="601" t="n"/>
      <c r="L115" s="601" t="n"/>
      <c r="M115" s="1099" t="n"/>
      <c r="N115" s="1100" t="n"/>
      <c r="O115" s="1101" t="n"/>
      <c r="P115" s="1102" t="n"/>
      <c r="Q115" s="1102" t="n"/>
      <c r="R115" s="1103" t="n"/>
      <c r="S115" s="1104" t="n"/>
      <c r="T115" s="1097" t="n"/>
      <c r="U115" s="988" t="n"/>
      <c r="V115" s="988" t="n"/>
      <c r="W115" s="988" t="n"/>
      <c r="X115" s="988" t="n"/>
    </row>
    <row r="116" ht="12" customFormat="1" customHeight="1" s="1089">
      <c r="A116" s="537" t="n"/>
      <c r="B116" s="1098" t="n"/>
      <c r="C116" s="1098" t="n"/>
      <c r="D116" s="1098" t="n"/>
      <c r="E116" s="306" t="n"/>
      <c r="F116" s="598" t="n"/>
      <c r="G116" s="599" t="n"/>
      <c r="H116" s="600" t="n"/>
      <c r="I116" s="599" t="n"/>
      <c r="J116" s="601" t="n"/>
      <c r="K116" s="601" t="n"/>
      <c r="L116" s="601" t="n"/>
      <c r="M116" s="1099" t="n"/>
      <c r="N116" s="1100" t="n"/>
      <c r="O116" s="1101" t="n"/>
      <c r="P116" s="1102" t="n"/>
      <c r="Q116" s="1102" t="n"/>
      <c r="R116" s="1103" t="n"/>
      <c r="S116" s="1104" t="n"/>
      <c r="T116" s="1097" t="n"/>
      <c r="U116" s="988" t="n"/>
      <c r="V116" s="988" t="n"/>
      <c r="W116" s="988" t="n"/>
      <c r="X116" s="988" t="n"/>
    </row>
    <row r="117" ht="11.25" customFormat="1" customHeight="1" s="989">
      <c r="A117" s="537" t="n"/>
      <c r="B117" s="1098" t="n"/>
      <c r="C117" s="1098" t="n"/>
      <c r="D117" s="1098" t="n"/>
      <c r="E117" s="306" t="n"/>
      <c r="F117" s="598" t="n"/>
      <c r="G117" s="599" t="n"/>
      <c r="H117" s="600" t="n"/>
      <c r="I117" s="599" t="n"/>
      <c r="J117" s="601" t="n"/>
      <c r="K117" s="601" t="n"/>
      <c r="L117" s="601" t="n"/>
      <c r="M117" s="1099" t="n"/>
      <c r="N117" s="1100" t="n"/>
      <c r="O117" s="1101" t="n"/>
      <c r="P117" s="1102" t="n"/>
      <c r="Q117" s="1102" t="n"/>
      <c r="R117" s="1103" t="n"/>
      <c r="S117" s="1104" t="n"/>
      <c r="T117" s="1097" t="n"/>
      <c r="U117" s="988" t="n"/>
      <c r="V117" s="988" t="n"/>
      <c r="W117" s="988" t="n"/>
      <c r="X117" s="988" t="n"/>
    </row>
    <row r="118" ht="11.25" customFormat="1" customHeight="1" s="989">
      <c r="A118" s="537" t="n"/>
      <c r="B118" s="1098" t="n"/>
      <c r="C118" s="1098" t="n"/>
      <c r="D118" s="1098" t="n"/>
      <c r="E118" s="306" t="n"/>
      <c r="F118" s="598" t="n"/>
      <c r="G118" s="599" t="n"/>
      <c r="H118" s="600" t="n"/>
      <c r="I118" s="599" t="n"/>
      <c r="J118" s="601" t="n"/>
      <c r="K118" s="601" t="n"/>
      <c r="L118" s="601" t="n"/>
      <c r="M118" s="1099" t="n"/>
      <c r="N118" s="1100" t="n"/>
      <c r="O118" s="1101" t="n"/>
      <c r="P118" s="1102" t="n"/>
      <c r="Q118" s="1102" t="n"/>
      <c r="R118" s="1103" t="n"/>
      <c r="S118" s="1104" t="n"/>
      <c r="T118" s="1097" t="n"/>
      <c r="U118" s="988" t="n"/>
      <c r="V118" s="988" t="n"/>
      <c r="W118" s="988" t="n"/>
      <c r="X118" s="988" t="n"/>
    </row>
    <row r="119" ht="11.25" customFormat="1" customHeight="1" s="989">
      <c r="A119" s="537" t="n"/>
      <c r="B119" s="1098" t="n"/>
      <c r="C119" s="1098" t="n"/>
      <c r="D119" s="1098" t="n"/>
      <c r="E119" s="306" t="n"/>
      <c r="F119" s="598" t="n"/>
      <c r="G119" s="599" t="n"/>
      <c r="H119" s="600" t="n"/>
      <c r="I119" s="599" t="n"/>
      <c r="J119" s="601" t="n"/>
      <c r="K119" s="601" t="n"/>
      <c r="L119" s="601" t="n"/>
      <c r="M119" s="1099" t="n"/>
      <c r="N119" s="1100" t="n"/>
      <c r="O119" s="1101" t="n"/>
      <c r="P119" s="1102" t="n"/>
      <c r="Q119" s="1102" t="n"/>
      <c r="R119" s="1103" t="n"/>
      <c r="S119" s="1104" t="n"/>
      <c r="T119" s="1097" t="n"/>
      <c r="U119" s="988" t="n"/>
      <c r="V119" s="988" t="n"/>
      <c r="W119" s="988" t="n"/>
      <c r="X119" s="988" t="n"/>
    </row>
    <row r="120" ht="11.25" customFormat="1" customHeight="1" s="989">
      <c r="A120" s="537" t="n"/>
      <c r="B120" s="1098" t="n"/>
      <c r="C120" s="1098" t="n"/>
      <c r="D120" s="1098" t="n"/>
      <c r="E120" s="306" t="n"/>
      <c r="F120" s="598" t="n"/>
      <c r="G120" s="599" t="n"/>
      <c r="H120" s="600" t="n"/>
      <c r="I120" s="599" t="n"/>
      <c r="J120" s="601" t="n"/>
      <c r="K120" s="601" t="n"/>
      <c r="L120" s="601" t="n"/>
      <c r="M120" s="1099" t="n"/>
      <c r="N120" s="1100" t="n"/>
      <c r="O120" s="1101" t="n"/>
      <c r="P120" s="1102" t="n"/>
      <c r="Q120" s="1102" t="n"/>
      <c r="R120" s="1103" t="n"/>
      <c r="S120" s="1104" t="n"/>
      <c r="T120" s="1097" t="n"/>
      <c r="U120" s="988" t="n"/>
      <c r="V120" s="988" t="n"/>
      <c r="W120" s="988" t="n"/>
      <c r="X120" s="988" t="n"/>
    </row>
    <row r="121" ht="11.25" customFormat="1" customHeight="1" s="989">
      <c r="A121" s="537" t="n"/>
      <c r="B121" s="1098" t="n"/>
      <c r="C121" s="1098" t="n"/>
      <c r="D121" s="1098" t="n"/>
      <c r="E121" s="306" t="n"/>
      <c r="F121" s="598" t="n"/>
      <c r="G121" s="599" t="n"/>
      <c r="H121" s="600" t="n"/>
      <c r="I121" s="599" t="n"/>
      <c r="J121" s="601" t="n"/>
      <c r="K121" s="601" t="n"/>
      <c r="L121" s="601" t="n"/>
      <c r="M121" s="1099" t="n"/>
      <c r="N121" s="1100" t="n"/>
      <c r="O121" s="1101" t="n"/>
      <c r="P121" s="1102" t="n"/>
      <c r="Q121" s="1102" t="n"/>
      <c r="R121" s="1103" t="n"/>
      <c r="S121" s="1104" t="n"/>
      <c r="T121" s="1097" t="n"/>
      <c r="U121" s="988" t="n"/>
      <c r="V121" s="988" t="n"/>
      <c r="W121" s="988" t="n"/>
      <c r="X121" s="988" t="n"/>
    </row>
    <row r="122" ht="11.25" customFormat="1" customHeight="1" s="989">
      <c r="A122" s="537" t="n"/>
      <c r="B122" s="1098" t="n"/>
      <c r="C122" s="1098" t="n"/>
      <c r="D122" s="1098" t="n"/>
      <c r="E122" s="306" t="n"/>
      <c r="F122" s="598" t="n"/>
      <c r="G122" s="599" t="n"/>
      <c r="H122" s="600" t="n"/>
      <c r="I122" s="599" t="n"/>
      <c r="J122" s="601" t="n"/>
      <c r="K122" s="601" t="n"/>
      <c r="L122" s="601" t="n"/>
      <c r="M122" s="1099" t="n"/>
      <c r="N122" s="1100" t="n"/>
      <c r="O122" s="1101" t="n"/>
      <c r="P122" s="1102" t="n"/>
      <c r="Q122" s="1102" t="n"/>
      <c r="R122" s="1103" t="n"/>
      <c r="S122" s="1104" t="n"/>
      <c r="T122" s="1097" t="n"/>
      <c r="U122" s="988" t="n"/>
      <c r="V122" s="988" t="n"/>
      <c r="W122" s="988" t="n"/>
      <c r="X122" s="988" t="n"/>
    </row>
    <row r="123" ht="12" customFormat="1" customHeight="1" s="1089">
      <c r="A123" s="537" t="n"/>
      <c r="B123" s="1098" t="n"/>
      <c r="C123" s="1098" t="n"/>
      <c r="D123" s="1098" t="n"/>
      <c r="E123" s="306" t="n"/>
      <c r="F123" s="598" t="n"/>
      <c r="G123" s="599" t="n"/>
      <c r="H123" s="600" t="n"/>
      <c r="I123" s="599" t="n"/>
      <c r="J123" s="601" t="n"/>
      <c r="K123" s="601" t="n"/>
      <c r="L123" s="601" t="n"/>
      <c r="M123" s="1099" t="n"/>
      <c r="N123" s="1100" t="n"/>
      <c r="O123" s="1101" t="n"/>
      <c r="P123" s="1102" t="n"/>
      <c r="Q123" s="1102" t="n"/>
      <c r="R123" s="1103" t="n"/>
      <c r="S123" s="1104" t="n"/>
      <c r="T123" s="1097" t="n"/>
      <c r="U123" s="988" t="n"/>
      <c r="V123" s="988" t="n"/>
      <c r="W123" s="988" t="n"/>
      <c r="X123" s="988" t="n"/>
    </row>
    <row r="124" ht="12" customFormat="1" customHeight="1" s="1089">
      <c r="A124" s="537" t="n"/>
      <c r="B124" s="1098" t="n"/>
      <c r="C124" s="1098" t="n"/>
      <c r="D124" s="1098" t="n"/>
      <c r="E124" s="306" t="n"/>
      <c r="F124" s="598" t="n"/>
      <c r="G124" s="599" t="n"/>
      <c r="H124" s="600" t="n"/>
      <c r="I124" s="599" t="n"/>
      <c r="J124" s="601" t="n"/>
      <c r="K124" s="601" t="n"/>
      <c r="L124" s="601" t="n"/>
      <c r="M124" s="1099" t="n"/>
      <c r="N124" s="1100" t="n"/>
      <c r="O124" s="1101" t="n"/>
      <c r="P124" s="1102" t="n"/>
      <c r="Q124" s="1102" t="n"/>
      <c r="R124" s="1103" t="n"/>
      <c r="S124" s="1104" t="n"/>
      <c r="T124" s="1097" t="n"/>
      <c r="U124" s="988" t="n"/>
      <c r="V124" s="988" t="n"/>
      <c r="W124" s="988" t="n"/>
      <c r="X124" s="988" t="n"/>
    </row>
    <row r="125" ht="11.25" customFormat="1" customHeight="1" s="989">
      <c r="A125" s="537" t="n"/>
      <c r="B125" s="1098" t="n"/>
      <c r="C125" s="1098" t="n"/>
      <c r="D125" s="1098" t="n"/>
      <c r="E125" s="306" t="n"/>
      <c r="F125" s="598" t="n"/>
      <c r="G125" s="599" t="n"/>
      <c r="H125" s="600" t="n"/>
      <c r="I125" s="599" t="n"/>
      <c r="J125" s="601" t="n"/>
      <c r="K125" s="601" t="n"/>
      <c r="L125" s="601" t="n"/>
      <c r="M125" s="1099" t="n"/>
      <c r="N125" s="1100" t="n"/>
      <c r="O125" s="1101" t="n"/>
      <c r="P125" s="1102" t="n"/>
      <c r="Q125" s="1102" t="n"/>
      <c r="R125" s="1103" t="n"/>
      <c r="S125" s="1104" t="n"/>
      <c r="T125" s="1097" t="n"/>
      <c r="U125" s="988" t="n"/>
      <c r="V125" s="988" t="n"/>
      <c r="W125" s="988" t="n"/>
      <c r="X125" s="988" t="n"/>
    </row>
    <row r="126" ht="11.25" customFormat="1" customHeight="1" s="989">
      <c r="A126" s="537" t="n"/>
      <c r="B126" s="1098" t="n"/>
      <c r="C126" s="1098" t="n"/>
      <c r="D126" s="1098" t="n"/>
      <c r="E126" s="306" t="n"/>
      <c r="F126" s="598" t="n"/>
      <c r="G126" s="599" t="n"/>
      <c r="H126" s="600" t="n"/>
      <c r="I126" s="599" t="n"/>
      <c r="J126" s="601" t="n"/>
      <c r="K126" s="601" t="n"/>
      <c r="L126" s="601" t="n"/>
      <c r="M126" s="1099" t="n"/>
      <c r="N126" s="1100" t="n"/>
      <c r="O126" s="1101" t="n"/>
      <c r="P126" s="1102" t="n"/>
      <c r="Q126" s="1102" t="n"/>
      <c r="R126" s="1103" t="n"/>
      <c r="S126" s="1104" t="n"/>
      <c r="T126" s="1097" t="n"/>
      <c r="U126" s="988" t="n"/>
      <c r="V126" s="988" t="n"/>
      <c r="W126" s="988" t="n"/>
      <c r="X126" s="988" t="n"/>
    </row>
    <row r="127" ht="11.25" customFormat="1" customHeight="1" s="989">
      <c r="A127" s="537" t="n"/>
      <c r="B127" s="1098" t="n"/>
      <c r="C127" s="1098" t="n"/>
      <c r="D127" s="1098" t="n"/>
      <c r="E127" s="306" t="n"/>
      <c r="F127" s="598" t="n"/>
      <c r="G127" s="599" t="n"/>
      <c r="H127" s="600" t="n"/>
      <c r="I127" s="599" t="n"/>
      <c r="J127" s="601" t="n"/>
      <c r="K127" s="601" t="n"/>
      <c r="L127" s="601" t="n"/>
      <c r="M127" s="1099" t="n"/>
      <c r="N127" s="1100" t="n"/>
      <c r="O127" s="1101" t="n"/>
      <c r="P127" s="1102" t="n"/>
      <c r="Q127" s="1102" t="n"/>
      <c r="R127" s="1103" t="n"/>
      <c r="S127" s="1104" t="n"/>
      <c r="T127" s="1097" t="n"/>
      <c r="U127" s="988" t="n"/>
      <c r="V127" s="988" t="n"/>
      <c r="W127" s="988" t="n"/>
      <c r="X127" s="988" t="n"/>
    </row>
    <row r="128" ht="11.25" customFormat="1" customHeight="1" s="989">
      <c r="A128" s="537" t="n"/>
      <c r="B128" s="1098" t="n"/>
      <c r="C128" s="1098" t="n"/>
      <c r="D128" s="1098" t="n"/>
      <c r="E128" s="306" t="n"/>
      <c r="F128" s="598" t="n"/>
      <c r="G128" s="599" t="n"/>
      <c r="H128" s="600" t="n"/>
      <c r="I128" s="599" t="n"/>
      <c r="J128" s="601" t="n"/>
      <c r="K128" s="601" t="n"/>
      <c r="L128" s="601" t="n"/>
      <c r="M128" s="1099" t="n"/>
      <c r="N128" s="1100" t="n"/>
      <c r="O128" s="1101" t="n"/>
      <c r="P128" s="1102" t="n"/>
      <c r="Q128" s="1102" t="n"/>
      <c r="R128" s="1103" t="n"/>
      <c r="S128" s="1104" t="n"/>
      <c r="T128" s="1097" t="n"/>
      <c r="U128" s="988" t="n"/>
      <c r="V128" s="988" t="n"/>
      <c r="W128" s="988" t="n"/>
      <c r="X128" s="988" t="n"/>
    </row>
    <row r="129" ht="11.25" customFormat="1" customHeight="1" s="989">
      <c r="A129" s="537" t="n"/>
      <c r="B129" s="1098" t="n"/>
      <c r="C129" s="1098" t="n"/>
      <c r="D129" s="1098" t="n"/>
      <c r="E129" s="306" t="n"/>
      <c r="F129" s="598" t="n"/>
      <c r="G129" s="599" t="n"/>
      <c r="H129" s="600" t="n"/>
      <c r="I129" s="599" t="n"/>
      <c r="J129" s="601" t="n"/>
      <c r="K129" s="601" t="n"/>
      <c r="L129" s="601" t="n"/>
      <c r="M129" s="1099" t="n"/>
      <c r="N129" s="1100" t="n"/>
      <c r="O129" s="1101" t="n"/>
      <c r="P129" s="1102" t="n"/>
      <c r="Q129" s="1102" t="n"/>
      <c r="R129" s="1103" t="n"/>
      <c r="S129" s="1104" t="n"/>
      <c r="T129" s="1097" t="n"/>
      <c r="U129" s="988" t="n"/>
      <c r="V129" s="988" t="n"/>
      <c r="W129" s="988" t="n"/>
      <c r="X129" s="988" t="n"/>
    </row>
    <row r="130" ht="11.25" customFormat="1" customHeight="1" s="989">
      <c r="A130" s="537" t="n"/>
      <c r="B130" s="1098" t="n"/>
      <c r="C130" s="1098" t="n"/>
      <c r="D130" s="1098" t="n"/>
      <c r="E130" s="306" t="n"/>
      <c r="F130" s="598" t="n"/>
      <c r="G130" s="599" t="n"/>
      <c r="H130" s="600" t="n"/>
      <c r="I130" s="599" t="n"/>
      <c r="J130" s="601" t="n"/>
      <c r="K130" s="601" t="n"/>
      <c r="L130" s="601" t="n"/>
      <c r="M130" s="1099" t="n"/>
      <c r="N130" s="1100" t="n"/>
      <c r="O130" s="1101" t="n"/>
      <c r="P130" s="1102" t="n"/>
      <c r="Q130" s="1102" t="n"/>
      <c r="R130" s="1103" t="n"/>
      <c r="S130" s="1104" t="n"/>
      <c r="T130" s="1097" t="n"/>
      <c r="U130" s="988" t="n"/>
      <c r="V130" s="988" t="n"/>
      <c r="W130" s="988" t="n"/>
      <c r="X130" s="988" t="n"/>
    </row>
    <row r="131" ht="11.25" customFormat="1" customHeight="1" s="989">
      <c r="A131" s="537" t="n"/>
      <c r="B131" s="1098" t="n"/>
      <c r="C131" s="1098" t="n"/>
      <c r="D131" s="1098" t="n"/>
      <c r="E131" s="306" t="n"/>
      <c r="F131" s="598" t="n"/>
      <c r="G131" s="599" t="n"/>
      <c r="H131" s="600" t="n"/>
      <c r="I131" s="599" t="n"/>
      <c r="J131" s="601" t="n"/>
      <c r="K131" s="601" t="n"/>
      <c r="L131" s="601" t="n"/>
      <c r="M131" s="1099" t="n"/>
      <c r="N131" s="1100" t="n"/>
      <c r="O131" s="1101" t="n"/>
      <c r="P131" s="1102" t="n"/>
      <c r="Q131" s="1102" t="n"/>
      <c r="R131" s="1103" t="n"/>
      <c r="S131" s="1104" t="n"/>
      <c r="T131" s="1097" t="n"/>
      <c r="U131" s="988" t="n"/>
      <c r="V131" s="988" t="n"/>
      <c r="W131" s="988" t="n"/>
      <c r="X131" s="988" t="n"/>
    </row>
    <row r="132" ht="11.25" customFormat="1" customHeight="1" s="989">
      <c r="A132" s="537" t="n"/>
      <c r="B132" s="1098" t="n"/>
      <c r="C132" s="1098" t="n"/>
      <c r="D132" s="1098" t="n"/>
      <c r="E132" s="306" t="n"/>
      <c r="F132" s="598" t="n"/>
      <c r="G132" s="599" t="n"/>
      <c r="H132" s="600" t="n"/>
      <c r="I132" s="599" t="n"/>
      <c r="J132" s="601" t="n"/>
      <c r="K132" s="601" t="n"/>
      <c r="L132" s="601" t="n"/>
      <c r="M132" s="1099" t="n"/>
      <c r="N132" s="1100" t="n"/>
      <c r="O132" s="1101" t="n"/>
      <c r="P132" s="1102" t="n"/>
      <c r="Q132" s="1102" t="n"/>
      <c r="R132" s="1103" t="n"/>
      <c r="S132" s="1104" t="n"/>
      <c r="T132" s="1097" t="n"/>
      <c r="U132" s="988" t="n"/>
      <c r="V132" s="988" t="n"/>
      <c r="W132" s="988" t="n"/>
      <c r="X132" s="988" t="n"/>
    </row>
    <row r="133" ht="11.25" customFormat="1" customHeight="1" s="989">
      <c r="A133" s="537" t="n"/>
      <c r="B133" s="1098" t="n"/>
      <c r="C133" s="1098" t="n"/>
      <c r="D133" s="1098" t="n"/>
      <c r="E133" s="306" t="n"/>
      <c r="F133" s="598" t="n"/>
      <c r="G133" s="599" t="n"/>
      <c r="H133" s="600" t="n"/>
      <c r="I133" s="599" t="n"/>
      <c r="J133" s="601" t="n"/>
      <c r="K133" s="601" t="n"/>
      <c r="L133" s="601" t="n"/>
      <c r="M133" s="1099" t="n"/>
      <c r="N133" s="1100" t="n"/>
      <c r="O133" s="1101" t="n"/>
      <c r="P133" s="1102" t="n"/>
      <c r="Q133" s="1102" t="n"/>
      <c r="R133" s="1103" t="n"/>
      <c r="S133" s="1104" t="n"/>
      <c r="T133" s="1097" t="n"/>
      <c r="U133" s="988" t="n"/>
      <c r="V133" s="988" t="n"/>
      <c r="W133" s="988" t="n"/>
      <c r="X133" s="988" t="n"/>
    </row>
    <row r="134" ht="12" customFormat="1" customHeight="1" s="1089">
      <c r="A134" s="537" t="n"/>
      <c r="B134" s="1098" t="n"/>
      <c r="C134" s="1098" t="n"/>
      <c r="D134" s="1098" t="n"/>
      <c r="E134" s="306" t="n"/>
      <c r="F134" s="598" t="n"/>
      <c r="G134" s="599" t="n"/>
      <c r="H134" s="600" t="n"/>
      <c r="I134" s="599" t="n"/>
      <c r="J134" s="601" t="n"/>
      <c r="K134" s="601" t="n"/>
      <c r="L134" s="601" t="n"/>
      <c r="M134" s="1099" t="n"/>
      <c r="N134" s="1100" t="n"/>
      <c r="O134" s="1101" t="n"/>
      <c r="P134" s="1102" t="n"/>
      <c r="Q134" s="1102" t="n"/>
      <c r="R134" s="1103" t="n"/>
      <c r="S134" s="1104" t="n"/>
      <c r="T134" s="1097" t="n"/>
      <c r="U134" s="988" t="n"/>
      <c r="V134" s="988" t="n"/>
      <c r="W134" s="988" t="n"/>
      <c r="X134" s="988" t="n"/>
    </row>
    <row r="135" ht="12" customFormat="1" customHeight="1" s="1089">
      <c r="A135" s="537" t="n"/>
      <c r="B135" s="1098" t="n"/>
      <c r="C135" s="1098" t="n"/>
      <c r="D135" s="1098" t="n"/>
      <c r="E135" s="306" t="n"/>
      <c r="F135" s="598" t="n"/>
      <c r="G135" s="599" t="n"/>
      <c r="H135" s="600" t="n"/>
      <c r="I135" s="599" t="n"/>
      <c r="J135" s="601" t="n"/>
      <c r="K135" s="601" t="n"/>
      <c r="L135" s="601" t="n"/>
      <c r="M135" s="1099" t="n"/>
      <c r="N135" s="1100" t="n"/>
      <c r="O135" s="1101" t="n"/>
      <c r="P135" s="1102" t="n"/>
      <c r="Q135" s="1102" t="n"/>
      <c r="R135" s="1103" t="n"/>
      <c r="S135" s="1104" t="n"/>
      <c r="T135" s="1097" t="n"/>
      <c r="U135" s="988" t="n"/>
      <c r="V135" s="988" t="n"/>
      <c r="W135" s="988" t="n"/>
      <c r="X135" s="988" t="n"/>
    </row>
    <row r="136" ht="11.25" customFormat="1" customHeight="1" s="989">
      <c r="A136" s="537" t="n"/>
      <c r="B136" s="1098" t="n"/>
      <c r="C136" s="1098" t="n"/>
      <c r="D136" s="1098" t="n"/>
      <c r="E136" s="306" t="n"/>
      <c r="F136" s="598" t="n"/>
      <c r="G136" s="599" t="n"/>
      <c r="H136" s="600" t="n"/>
      <c r="I136" s="599" t="n"/>
      <c r="J136" s="601" t="n"/>
      <c r="K136" s="601" t="n"/>
      <c r="L136" s="601" t="n"/>
      <c r="M136" s="1099" t="n"/>
      <c r="N136" s="1100" t="n"/>
      <c r="O136" s="1101" t="n"/>
      <c r="P136" s="1102" t="n"/>
      <c r="Q136" s="1102" t="n"/>
      <c r="R136" s="1103" t="n"/>
      <c r="S136" s="1104" t="n"/>
      <c r="T136" s="1097" t="n"/>
      <c r="U136" s="988" t="n"/>
      <c r="V136" s="988" t="n"/>
      <c r="W136" s="988" t="n"/>
      <c r="X136" s="988" t="n"/>
    </row>
    <row r="137" ht="11.25" customFormat="1" customHeight="1" s="989">
      <c r="A137" s="537" t="n"/>
      <c r="B137" s="1098" t="n"/>
      <c r="C137" s="1098" t="n"/>
      <c r="D137" s="1098" t="n"/>
      <c r="E137" s="306" t="n"/>
      <c r="F137" s="598" t="n"/>
      <c r="G137" s="599" t="n"/>
      <c r="H137" s="600" t="n"/>
      <c r="I137" s="599" t="n"/>
      <c r="J137" s="601" t="n"/>
      <c r="K137" s="601" t="n"/>
      <c r="L137" s="601" t="n"/>
      <c r="M137" s="1099" t="n"/>
      <c r="N137" s="1100" t="n"/>
      <c r="O137" s="1101" t="n"/>
      <c r="P137" s="1102" t="n"/>
      <c r="Q137" s="1102" t="n"/>
      <c r="R137" s="1103" t="n"/>
      <c r="S137" s="1104" t="n"/>
      <c r="T137" s="1097" t="n"/>
      <c r="U137" s="988" t="n"/>
      <c r="V137" s="988" t="n"/>
      <c r="W137" s="988" t="n"/>
      <c r="X137" s="988" t="n"/>
    </row>
    <row r="138" ht="11.25" customFormat="1" customHeight="1" s="989">
      <c r="A138" s="537" t="n"/>
      <c r="B138" s="1098" t="n"/>
      <c r="C138" s="1098" t="n"/>
      <c r="D138" s="1098" t="n"/>
      <c r="E138" s="306" t="n"/>
      <c r="F138" s="598" t="n"/>
      <c r="G138" s="599" t="n"/>
      <c r="H138" s="600" t="n"/>
      <c r="I138" s="599" t="n"/>
      <c r="J138" s="601" t="n"/>
      <c r="K138" s="601" t="n"/>
      <c r="L138" s="601" t="n"/>
      <c r="M138" s="1099" t="n"/>
      <c r="N138" s="1100" t="n"/>
      <c r="O138" s="1101" t="n"/>
      <c r="P138" s="1102" t="n"/>
      <c r="Q138" s="1102" t="n"/>
      <c r="R138" s="1103" t="n"/>
      <c r="S138" s="1104" t="n"/>
      <c r="T138" s="1097" t="n"/>
      <c r="U138" s="988" t="n"/>
      <c r="V138" s="988" t="n"/>
      <c r="W138" s="988" t="n"/>
      <c r="X138" s="988" t="n"/>
    </row>
    <row r="139" ht="11.25" customFormat="1" customHeight="1" s="989">
      <c r="A139" s="537" t="n"/>
      <c r="B139" s="1098" t="n"/>
      <c r="C139" s="1098" t="n"/>
      <c r="D139" s="1098" t="n"/>
      <c r="E139" s="306" t="n"/>
      <c r="F139" s="598" t="n"/>
      <c r="G139" s="599" t="n"/>
      <c r="H139" s="600" t="n"/>
      <c r="I139" s="599" t="n"/>
      <c r="J139" s="601" t="n"/>
      <c r="K139" s="601" t="n"/>
      <c r="L139" s="601" t="n"/>
      <c r="M139" s="1099" t="n"/>
      <c r="N139" s="1100" t="n"/>
      <c r="O139" s="1101" t="n"/>
      <c r="P139" s="1102" t="n"/>
      <c r="Q139" s="1102" t="n"/>
      <c r="R139" s="1103" t="n"/>
      <c r="S139" s="1104" t="n"/>
      <c r="T139" s="1097" t="n"/>
      <c r="U139" s="988" t="n"/>
      <c r="V139" s="988" t="n"/>
      <c r="W139" s="988" t="n"/>
      <c r="X139" s="988" t="n"/>
    </row>
    <row r="140" ht="11.25" customFormat="1" customHeight="1" s="989">
      <c r="A140" s="537" t="n"/>
      <c r="B140" s="1098" t="n"/>
      <c r="C140" s="1098" t="n"/>
      <c r="D140" s="1098" t="n"/>
      <c r="E140" s="306" t="n"/>
      <c r="F140" s="598" t="n"/>
      <c r="G140" s="599" t="n"/>
      <c r="H140" s="600" t="n"/>
      <c r="I140" s="599" t="n"/>
      <c r="J140" s="601" t="n"/>
      <c r="K140" s="601" t="n"/>
      <c r="L140" s="601" t="n"/>
      <c r="M140" s="1099" t="n"/>
      <c r="N140" s="1100" t="n"/>
      <c r="O140" s="1101" t="n"/>
      <c r="P140" s="1102" t="n"/>
      <c r="Q140" s="1102" t="n"/>
      <c r="R140" s="1103" t="n"/>
      <c r="S140" s="1104" t="n"/>
      <c r="T140" s="1097" t="n"/>
      <c r="U140" s="988" t="n"/>
      <c r="V140" s="988" t="n"/>
      <c r="W140" s="988" t="n"/>
      <c r="X140" s="988" t="n"/>
    </row>
    <row r="141" ht="11.25" customFormat="1" customHeight="1" s="989">
      <c r="A141" s="537" t="n"/>
      <c r="B141" s="1098" t="n"/>
      <c r="C141" s="1098" t="n"/>
      <c r="D141" s="1098" t="n"/>
      <c r="E141" s="306" t="n"/>
      <c r="F141" s="598" t="n"/>
      <c r="G141" s="599" t="n"/>
      <c r="H141" s="600" t="n"/>
      <c r="I141" s="599" t="n"/>
      <c r="J141" s="601" t="n"/>
      <c r="K141" s="601" t="n"/>
      <c r="L141" s="601" t="n"/>
      <c r="M141" s="1099" t="n"/>
      <c r="N141" s="1100" t="n"/>
      <c r="O141" s="1101" t="n"/>
      <c r="P141" s="1102" t="n"/>
      <c r="Q141" s="1102" t="n"/>
      <c r="R141" s="1103" t="n"/>
      <c r="S141" s="1104" t="n"/>
      <c r="T141" s="1097" t="n"/>
      <c r="U141" s="988" t="n"/>
      <c r="V141" s="988" t="n"/>
      <c r="W141" s="988" t="n"/>
      <c r="X141" s="988" t="n"/>
    </row>
    <row r="142" ht="12" customFormat="1" customHeight="1" s="1089">
      <c r="A142" s="537" t="n"/>
      <c r="B142" s="1098" t="n"/>
      <c r="C142" s="1098" t="n"/>
      <c r="D142" s="1098" t="n"/>
      <c r="E142" s="306" t="n"/>
      <c r="F142" s="598" t="n"/>
      <c r="G142" s="599" t="n"/>
      <c r="H142" s="600" t="n"/>
      <c r="I142" s="599" t="n"/>
      <c r="J142" s="601" t="n"/>
      <c r="K142" s="601" t="n"/>
      <c r="L142" s="601" t="n"/>
      <c r="M142" s="1099" t="n"/>
      <c r="N142" s="1100" t="n"/>
      <c r="O142" s="1101" t="n"/>
      <c r="P142" s="1102" t="n"/>
      <c r="Q142" s="1102" t="n"/>
      <c r="R142" s="1103" t="n"/>
      <c r="S142" s="1104" t="n"/>
      <c r="T142" s="1097" t="n"/>
      <c r="U142" s="988" t="n"/>
      <c r="V142" s="988" t="n"/>
      <c r="W142" s="988" t="n"/>
      <c r="X142" s="988" t="n"/>
    </row>
    <row r="143" ht="12" customFormat="1" customHeight="1" s="1089">
      <c r="A143" s="537" t="n"/>
      <c r="B143" s="1098" t="n"/>
      <c r="C143" s="1098" t="n"/>
      <c r="D143" s="1098" t="n"/>
      <c r="E143" s="306" t="n"/>
      <c r="F143" s="598" t="n"/>
      <c r="G143" s="599" t="n"/>
      <c r="H143" s="600" t="n"/>
      <c r="I143" s="599" t="n"/>
      <c r="J143" s="601" t="n"/>
      <c r="K143" s="601" t="n"/>
      <c r="L143" s="601" t="n"/>
      <c r="M143" s="1099" t="n"/>
      <c r="N143" s="1100" t="n"/>
      <c r="O143" s="1101" t="n"/>
      <c r="P143" s="1102" t="n"/>
      <c r="Q143" s="1102" t="n"/>
      <c r="R143" s="1103" t="n"/>
      <c r="S143" s="1104" t="n"/>
      <c r="T143" s="1097" t="n"/>
      <c r="U143" s="988" t="n"/>
      <c r="V143" s="988" t="n"/>
      <c r="W143" s="988" t="n"/>
      <c r="X143" s="988" t="n"/>
    </row>
    <row r="144" ht="11.25" customFormat="1" customHeight="1" s="989">
      <c r="A144" s="537" t="n"/>
      <c r="B144" s="1098" t="n"/>
      <c r="C144" s="1098" t="n"/>
      <c r="D144" s="1098" t="n"/>
      <c r="E144" s="306" t="n"/>
      <c r="F144" s="598" t="n"/>
      <c r="G144" s="599" t="n"/>
      <c r="H144" s="600" t="n"/>
      <c r="I144" s="599" t="n"/>
      <c r="J144" s="601" t="n"/>
      <c r="K144" s="601" t="n"/>
      <c r="L144" s="601" t="n"/>
      <c r="M144" s="1099" t="n"/>
      <c r="N144" s="1100" t="n"/>
      <c r="O144" s="1101" t="n"/>
      <c r="P144" s="1102" t="n"/>
      <c r="Q144" s="1102" t="n"/>
      <c r="R144" s="1103" t="n"/>
      <c r="S144" s="1104" t="n"/>
      <c r="T144" s="1097" t="n"/>
      <c r="U144" s="988" t="n"/>
      <c r="V144" s="988" t="n"/>
      <c r="W144" s="988" t="n"/>
      <c r="X144" s="988" t="n"/>
    </row>
    <row r="145" ht="11.25" customFormat="1" customHeight="1" s="989">
      <c r="A145" s="537" t="n"/>
      <c r="B145" s="1098" t="n"/>
      <c r="C145" s="1098" t="n"/>
      <c r="D145" s="1098" t="n"/>
      <c r="E145" s="306" t="n"/>
      <c r="F145" s="598" t="n"/>
      <c r="G145" s="599" t="n"/>
      <c r="H145" s="600" t="n"/>
      <c r="I145" s="599" t="n"/>
      <c r="J145" s="601" t="n"/>
      <c r="K145" s="601" t="n"/>
      <c r="L145" s="601" t="n"/>
      <c r="M145" s="1099" t="n"/>
      <c r="N145" s="1100" t="n"/>
      <c r="O145" s="1101" t="n"/>
      <c r="P145" s="1102" t="n"/>
      <c r="Q145" s="1102" t="n"/>
      <c r="R145" s="1103" t="n"/>
      <c r="S145" s="1104" t="n"/>
      <c r="T145" s="1097" t="n"/>
      <c r="U145" s="988" t="n"/>
      <c r="V145" s="988" t="n"/>
      <c r="W145" s="988" t="n"/>
      <c r="X145" s="988" t="n"/>
    </row>
    <row r="146" ht="11.25" customFormat="1" customHeight="1" s="989">
      <c r="A146" s="537" t="n"/>
      <c r="B146" s="1098" t="n"/>
      <c r="C146" s="1098" t="n"/>
      <c r="D146" s="1098" t="n"/>
      <c r="E146" s="306" t="n"/>
      <c r="F146" s="598" t="n"/>
      <c r="G146" s="599" t="n"/>
      <c r="H146" s="600" t="n"/>
      <c r="I146" s="599" t="n"/>
      <c r="J146" s="601" t="n"/>
      <c r="K146" s="601" t="n"/>
      <c r="L146" s="601" t="n"/>
      <c r="M146" s="1099" t="n"/>
      <c r="N146" s="1100" t="n"/>
      <c r="O146" s="1101" t="n"/>
      <c r="P146" s="1102" t="n"/>
      <c r="Q146" s="1102" t="n"/>
      <c r="R146" s="1103" t="n"/>
      <c r="S146" s="1104" t="n"/>
      <c r="T146" s="1097" t="n"/>
      <c r="U146" s="988" t="n"/>
      <c r="V146" s="988" t="n"/>
      <c r="W146" s="988" t="n"/>
      <c r="X146" s="988" t="n"/>
    </row>
    <row r="147" ht="11.25" customFormat="1" customHeight="1" s="989">
      <c r="A147" s="537" t="n"/>
      <c r="B147" s="1098" t="n"/>
      <c r="C147" s="1098" t="n"/>
      <c r="D147" s="1098" t="n"/>
      <c r="E147" s="306" t="n"/>
      <c r="F147" s="598" t="n"/>
      <c r="G147" s="599" t="n"/>
      <c r="H147" s="600" t="n"/>
      <c r="I147" s="599" t="n"/>
      <c r="J147" s="601" t="n"/>
      <c r="K147" s="601" t="n"/>
      <c r="L147" s="601" t="n"/>
      <c r="M147" s="1099" t="n"/>
      <c r="N147" s="1100" t="n"/>
      <c r="O147" s="1101" t="n"/>
      <c r="P147" s="1102" t="n"/>
      <c r="Q147" s="1102" t="n"/>
      <c r="R147" s="1103" t="n"/>
      <c r="S147" s="1104" t="n"/>
      <c r="T147" s="1097" t="n"/>
      <c r="U147" s="988" t="n"/>
      <c r="V147" s="988" t="n"/>
      <c r="W147" s="988" t="n"/>
      <c r="X147" s="988" t="n"/>
    </row>
    <row r="148" ht="11.25" customFormat="1" customHeight="1" s="989">
      <c r="A148" s="537" t="n"/>
      <c r="B148" s="1098" t="n"/>
      <c r="C148" s="1098" t="n"/>
      <c r="D148" s="1098" t="n"/>
      <c r="E148" s="306" t="n"/>
      <c r="F148" s="598" t="n"/>
      <c r="G148" s="599" t="n"/>
      <c r="H148" s="600" t="n"/>
      <c r="I148" s="599" t="n"/>
      <c r="J148" s="601" t="n"/>
      <c r="K148" s="601" t="n"/>
      <c r="L148" s="601" t="n"/>
      <c r="M148" s="1099" t="n"/>
      <c r="N148" s="1100" t="n"/>
      <c r="O148" s="1101" t="n"/>
      <c r="P148" s="1102" t="n"/>
      <c r="Q148" s="1102" t="n"/>
      <c r="R148" s="1103" t="n"/>
      <c r="S148" s="1104" t="n"/>
      <c r="T148" s="1097" t="n"/>
      <c r="U148" s="988" t="n"/>
      <c r="V148" s="988" t="n"/>
      <c r="W148" s="988" t="n"/>
      <c r="X148" s="988" t="n"/>
    </row>
    <row r="149" ht="11.25" customFormat="1" customHeight="1" s="989">
      <c r="A149" s="537" t="n"/>
      <c r="B149" s="1098" t="n"/>
      <c r="C149" s="1098" t="n"/>
      <c r="D149" s="1098" t="n"/>
      <c r="E149" s="306" t="n"/>
      <c r="F149" s="598" t="n"/>
      <c r="G149" s="599" t="n"/>
      <c r="H149" s="600" t="n"/>
      <c r="I149" s="599" t="n"/>
      <c r="J149" s="601" t="n"/>
      <c r="K149" s="601" t="n"/>
      <c r="L149" s="601" t="n"/>
      <c r="M149" s="1099" t="n"/>
      <c r="N149" s="1100" t="n"/>
      <c r="O149" s="1101" t="n"/>
      <c r="P149" s="1102" t="n"/>
      <c r="Q149" s="1102" t="n"/>
      <c r="R149" s="1103" t="n"/>
      <c r="S149" s="1104" t="n"/>
      <c r="T149" s="1097" t="n"/>
      <c r="U149" s="988" t="n"/>
      <c r="V149" s="988" t="n"/>
      <c r="W149" s="988" t="n"/>
      <c r="X149" s="988" t="n"/>
    </row>
    <row r="150" ht="12" customFormat="1" customHeight="1" s="1089">
      <c r="A150" s="537" t="n"/>
      <c r="B150" s="1098" t="n"/>
      <c r="C150" s="1098" t="n"/>
      <c r="D150" s="1098" t="n"/>
      <c r="E150" s="306" t="n"/>
      <c r="F150" s="598" t="n"/>
      <c r="G150" s="599" t="n"/>
      <c r="H150" s="600" t="n"/>
      <c r="I150" s="599" t="n"/>
      <c r="J150" s="601" t="n"/>
      <c r="K150" s="601" t="n"/>
      <c r="L150" s="601" t="n"/>
      <c r="M150" s="1099" t="n"/>
      <c r="N150" s="1100" t="n"/>
      <c r="O150" s="1101" t="n"/>
      <c r="P150" s="1102" t="n"/>
      <c r="Q150" s="1102" t="n"/>
      <c r="R150" s="1103" t="n"/>
      <c r="S150" s="1104" t="n"/>
      <c r="T150" s="1097" t="n"/>
      <c r="U150" s="988" t="n"/>
      <c r="V150" s="988" t="n"/>
      <c r="W150" s="988" t="n"/>
      <c r="X150" s="988" t="n"/>
    </row>
    <row r="151" ht="12" customFormat="1" customHeight="1" s="1089">
      <c r="A151" s="537" t="n"/>
      <c r="B151" s="1098" t="n"/>
      <c r="C151" s="1098" t="n"/>
      <c r="D151" s="1098" t="n"/>
      <c r="E151" s="306" t="n"/>
      <c r="F151" s="598" t="n"/>
      <c r="G151" s="599" t="n"/>
      <c r="H151" s="600" t="n"/>
      <c r="I151" s="599" t="n"/>
      <c r="J151" s="601" t="n"/>
      <c r="K151" s="601" t="n"/>
      <c r="L151" s="601" t="n"/>
      <c r="M151" s="1099" t="n"/>
      <c r="N151" s="1100" t="n"/>
      <c r="O151" s="1101" t="n"/>
      <c r="P151" s="1102" t="n"/>
      <c r="Q151" s="1102" t="n"/>
      <c r="R151" s="1103" t="n"/>
      <c r="S151" s="1104" t="n"/>
      <c r="T151" s="1097" t="n"/>
      <c r="U151" s="988" t="n"/>
      <c r="V151" s="988" t="n"/>
      <c r="W151" s="988" t="n"/>
      <c r="X151" s="988" t="n"/>
    </row>
    <row r="152" ht="11.25" customFormat="1" customHeight="1" s="989">
      <c r="A152" s="537" t="n"/>
      <c r="B152" s="1098" t="n"/>
      <c r="C152" s="1098" t="n"/>
      <c r="D152" s="1098" t="n"/>
      <c r="E152" s="306" t="n"/>
      <c r="F152" s="598" t="n"/>
      <c r="G152" s="599" t="n"/>
      <c r="H152" s="600" t="n"/>
      <c r="I152" s="599" t="n"/>
      <c r="J152" s="601" t="n"/>
      <c r="K152" s="601" t="n"/>
      <c r="L152" s="601" t="n"/>
      <c r="M152" s="1099" t="n"/>
      <c r="N152" s="1100" t="n"/>
      <c r="O152" s="1101" t="n"/>
      <c r="P152" s="1102" t="n"/>
      <c r="Q152" s="1102" t="n"/>
      <c r="R152" s="1103" t="n"/>
      <c r="S152" s="1104" t="n"/>
      <c r="T152" s="1097" t="n"/>
      <c r="U152" s="988" t="n"/>
      <c r="V152" s="988" t="n"/>
      <c r="W152" s="988" t="n"/>
      <c r="X152" s="988" t="n"/>
    </row>
    <row r="153" ht="11.25" customFormat="1" customHeight="1" s="989">
      <c r="A153" s="537" t="n"/>
      <c r="B153" s="1098" t="n"/>
      <c r="C153" s="1098" t="n"/>
      <c r="D153" s="1098" t="n"/>
      <c r="E153" s="306" t="n"/>
      <c r="F153" s="598" t="n"/>
      <c r="G153" s="599" t="n"/>
      <c r="H153" s="600" t="n"/>
      <c r="I153" s="599" t="n"/>
      <c r="J153" s="601" t="n"/>
      <c r="K153" s="601" t="n"/>
      <c r="L153" s="601" t="n"/>
      <c r="M153" s="1099" t="n"/>
      <c r="N153" s="1100" t="n"/>
      <c r="O153" s="1101" t="n"/>
      <c r="P153" s="1102" t="n"/>
      <c r="Q153" s="1102" t="n"/>
      <c r="R153" s="1103" t="n"/>
      <c r="S153" s="1104" t="n"/>
      <c r="T153" s="1097" t="n"/>
      <c r="U153" s="988" t="n"/>
      <c r="V153" s="988" t="n"/>
      <c r="W153" s="988" t="n"/>
      <c r="X153" s="988" t="n"/>
    </row>
    <row r="154" ht="11.25" customFormat="1" customHeight="1" s="989">
      <c r="A154" s="537" t="n"/>
      <c r="B154" s="1098" t="n"/>
      <c r="C154" s="1098" t="n"/>
      <c r="D154" s="1098" t="n"/>
      <c r="E154" s="306" t="n"/>
      <c r="F154" s="598" t="n"/>
      <c r="G154" s="599" t="n"/>
      <c r="H154" s="600" t="n"/>
      <c r="I154" s="599" t="n"/>
      <c r="J154" s="601" t="n"/>
      <c r="K154" s="601" t="n"/>
      <c r="L154" s="601" t="n"/>
      <c r="M154" s="1099" t="n"/>
      <c r="N154" s="1100" t="n"/>
      <c r="O154" s="1101" t="n"/>
      <c r="P154" s="1102" t="n"/>
      <c r="Q154" s="1102" t="n"/>
      <c r="R154" s="1103" t="n"/>
      <c r="S154" s="1104" t="n"/>
      <c r="T154" s="1097" t="n"/>
      <c r="U154" s="988" t="n"/>
      <c r="V154" s="988" t="n"/>
      <c r="W154" s="988" t="n"/>
      <c r="X154" s="988" t="n"/>
    </row>
    <row r="155" ht="11.25" customFormat="1" customHeight="1" s="989">
      <c r="A155" s="537" t="n"/>
      <c r="B155" s="1098" t="n"/>
      <c r="C155" s="1098" t="n"/>
      <c r="D155" s="1098" t="n"/>
      <c r="E155" s="306" t="n"/>
      <c r="F155" s="598" t="n"/>
      <c r="G155" s="599" t="n"/>
      <c r="H155" s="600" t="n"/>
      <c r="I155" s="599" t="n"/>
      <c r="J155" s="601" t="n"/>
      <c r="K155" s="601" t="n"/>
      <c r="L155" s="601" t="n"/>
      <c r="M155" s="1099" t="n"/>
      <c r="N155" s="1100" t="n"/>
      <c r="O155" s="1101" t="n"/>
      <c r="P155" s="1102" t="n"/>
      <c r="Q155" s="1102" t="n"/>
      <c r="R155" s="1103" t="n"/>
      <c r="S155" s="1104" t="n"/>
      <c r="T155" s="1097" t="n"/>
      <c r="U155" s="988" t="n"/>
      <c r="V155" s="988" t="n"/>
      <c r="W155" s="988" t="n"/>
      <c r="X155" s="988" t="n"/>
    </row>
    <row r="156" ht="11.25" customFormat="1" customHeight="1" s="989">
      <c r="A156" s="537" t="n"/>
      <c r="B156" s="1098" t="n"/>
      <c r="C156" s="1098" t="n"/>
      <c r="D156" s="1098" t="n"/>
      <c r="E156" s="306" t="n"/>
      <c r="F156" s="598" t="n"/>
      <c r="G156" s="599" t="n"/>
      <c r="H156" s="600" t="n"/>
      <c r="I156" s="599" t="n"/>
      <c r="J156" s="601" t="n"/>
      <c r="K156" s="601" t="n"/>
      <c r="L156" s="601" t="n"/>
      <c r="M156" s="1099" t="n"/>
      <c r="N156" s="1100" t="n"/>
      <c r="O156" s="1101" t="n"/>
      <c r="P156" s="1102" t="n"/>
      <c r="Q156" s="1102" t="n"/>
      <c r="R156" s="1103" t="n"/>
      <c r="S156" s="1104" t="n"/>
      <c r="T156" s="1097" t="n"/>
      <c r="U156" s="988" t="n"/>
      <c r="V156" s="988" t="n"/>
      <c r="W156" s="988" t="n"/>
      <c r="X156" s="988" t="n"/>
    </row>
    <row r="157" ht="11.25" customFormat="1" customHeight="1" s="989">
      <c r="A157" s="537" t="n"/>
      <c r="B157" s="1098" t="n"/>
      <c r="C157" s="1098" t="n"/>
      <c r="D157" s="1098" t="n"/>
      <c r="E157" s="306" t="n"/>
      <c r="F157" s="598" t="n"/>
      <c r="G157" s="599" t="n"/>
      <c r="H157" s="600" t="n"/>
      <c r="I157" s="599" t="n"/>
      <c r="J157" s="601" t="n"/>
      <c r="K157" s="601" t="n"/>
      <c r="L157" s="601" t="n"/>
      <c r="M157" s="1099" t="n"/>
      <c r="N157" s="1100" t="n"/>
      <c r="O157" s="1101" t="n"/>
      <c r="P157" s="1102" t="n"/>
      <c r="Q157" s="1102" t="n"/>
      <c r="R157" s="1103" t="n"/>
      <c r="S157" s="1104" t="n"/>
      <c r="T157" s="1097" t="n"/>
      <c r="U157" s="988" t="n"/>
      <c r="V157" s="988" t="n"/>
      <c r="W157" s="988" t="n"/>
      <c r="X157" s="988" t="n"/>
    </row>
    <row r="158" ht="11.25" customFormat="1" customHeight="1" s="989">
      <c r="A158" s="537" t="n"/>
      <c r="B158" s="1098" t="n"/>
      <c r="C158" s="1098" t="n"/>
      <c r="D158" s="1098" t="n"/>
      <c r="E158" s="306" t="n"/>
      <c r="F158" s="598" t="n"/>
      <c r="G158" s="599" t="n"/>
      <c r="H158" s="600" t="n"/>
      <c r="I158" s="599" t="n"/>
      <c r="J158" s="601" t="n"/>
      <c r="K158" s="601" t="n"/>
      <c r="L158" s="601" t="n"/>
      <c r="M158" s="1099" t="n"/>
      <c r="N158" s="1100" t="n"/>
      <c r="O158" s="1101" t="n"/>
      <c r="P158" s="1102" t="n"/>
      <c r="Q158" s="1102" t="n"/>
      <c r="R158" s="1103" t="n"/>
      <c r="S158" s="1104" t="n"/>
      <c r="T158" s="1097" t="n"/>
      <c r="U158" s="988" t="n"/>
      <c r="V158" s="988" t="n"/>
      <c r="W158" s="988" t="n"/>
      <c r="X158" s="988" t="n"/>
    </row>
    <row r="159" ht="11.25" customFormat="1" customHeight="1" s="989">
      <c r="A159" s="537" t="n"/>
      <c r="B159" s="1098" t="n"/>
      <c r="C159" s="1098" t="n"/>
      <c r="D159" s="1098" t="n"/>
      <c r="E159" s="306" t="n"/>
      <c r="F159" s="598" t="n"/>
      <c r="G159" s="599" t="n"/>
      <c r="H159" s="600" t="n"/>
      <c r="I159" s="599" t="n"/>
      <c r="J159" s="601" t="n"/>
      <c r="K159" s="601" t="n"/>
      <c r="L159" s="601" t="n"/>
      <c r="M159" s="1099" t="n"/>
      <c r="N159" s="1100" t="n"/>
      <c r="O159" s="1101" t="n"/>
      <c r="P159" s="1102" t="n"/>
      <c r="Q159" s="1102" t="n"/>
      <c r="R159" s="1103" t="n"/>
      <c r="S159" s="1104" t="n"/>
      <c r="T159" s="1097" t="n"/>
      <c r="U159" s="988" t="n"/>
      <c r="V159" s="988" t="n"/>
      <c r="W159" s="988" t="n"/>
      <c r="X159" s="988" t="n"/>
    </row>
    <row r="160" ht="11.25" customFormat="1" customHeight="1" s="989">
      <c r="A160" s="537" t="n"/>
      <c r="B160" s="1098" t="n"/>
      <c r="C160" s="1098" t="n"/>
      <c r="D160" s="1098" t="n"/>
      <c r="E160" s="306" t="n"/>
      <c r="F160" s="598" t="n"/>
      <c r="G160" s="599" t="n"/>
      <c r="H160" s="600" t="n"/>
      <c r="I160" s="599" t="n"/>
      <c r="J160" s="601" t="n"/>
      <c r="K160" s="601" t="n"/>
      <c r="L160" s="601" t="n"/>
      <c r="M160" s="1099" t="n"/>
      <c r="N160" s="1100" t="n"/>
      <c r="O160" s="1101" t="n"/>
      <c r="P160" s="1102" t="n"/>
      <c r="Q160" s="1102" t="n"/>
      <c r="R160" s="1103" t="n"/>
      <c r="S160" s="1104" t="n"/>
      <c r="T160" s="1097" t="n"/>
      <c r="U160" s="988" t="n"/>
      <c r="V160" s="988" t="n"/>
      <c r="W160" s="988" t="n"/>
      <c r="X160" s="988" t="n"/>
    </row>
    <row r="161" ht="12" customFormat="1" customHeight="1" s="1089">
      <c r="A161" s="537" t="n"/>
      <c r="B161" s="1098" t="n"/>
      <c r="C161" s="1098" t="n"/>
      <c r="D161" s="1098" t="n"/>
      <c r="E161" s="306" t="n"/>
      <c r="F161" s="598" t="n"/>
      <c r="G161" s="599" t="n"/>
      <c r="H161" s="600" t="n"/>
      <c r="I161" s="599" t="n"/>
      <c r="J161" s="601" t="n"/>
      <c r="K161" s="601" t="n"/>
      <c r="L161" s="601" t="n"/>
      <c r="M161" s="1099" t="n"/>
      <c r="N161" s="1100" t="n"/>
      <c r="O161" s="1101" t="n"/>
      <c r="P161" s="1102" t="n"/>
      <c r="Q161" s="1102" t="n"/>
      <c r="R161" s="1103" t="n"/>
      <c r="S161" s="1104" t="n"/>
      <c r="T161" s="1097" t="n"/>
      <c r="U161" s="988" t="n"/>
      <c r="V161" s="988" t="n"/>
      <c r="W161" s="988" t="n"/>
      <c r="X161" s="988" t="n"/>
    </row>
    <row r="162" ht="12" customFormat="1" customHeight="1" s="1089">
      <c r="A162" s="537" t="n"/>
      <c r="B162" s="1098" t="n"/>
      <c r="C162" s="1098" t="n"/>
      <c r="D162" s="1098" t="n"/>
      <c r="E162" s="306" t="n"/>
      <c r="F162" s="598" t="n"/>
      <c r="G162" s="599" t="n"/>
      <c r="H162" s="600" t="n"/>
      <c r="I162" s="599" t="n"/>
      <c r="J162" s="601" t="n"/>
      <c r="K162" s="601" t="n"/>
      <c r="L162" s="601" t="n"/>
      <c r="M162" s="1099" t="n"/>
      <c r="N162" s="1100" t="n"/>
      <c r="O162" s="1101" t="n"/>
      <c r="P162" s="1102" t="n"/>
      <c r="Q162" s="1102" t="n"/>
      <c r="R162" s="1103" t="n"/>
      <c r="S162" s="1104" t="n"/>
      <c r="T162" s="1097" t="n"/>
      <c r="U162" s="988" t="n"/>
      <c r="V162" s="988" t="n"/>
      <c r="W162" s="988" t="n"/>
      <c r="X162" s="988" t="n"/>
    </row>
    <row r="163" ht="11.25" customFormat="1" customHeight="1" s="989">
      <c r="A163" s="537" t="n"/>
      <c r="B163" s="1098" t="n"/>
      <c r="C163" s="1098" t="n"/>
      <c r="D163" s="1098" t="n"/>
      <c r="E163" s="306" t="n"/>
      <c r="F163" s="598" t="n"/>
      <c r="G163" s="599" t="n"/>
      <c r="H163" s="600" t="n"/>
      <c r="I163" s="599" t="n"/>
      <c r="J163" s="601" t="n"/>
      <c r="K163" s="601" t="n"/>
      <c r="L163" s="601" t="n"/>
      <c r="M163" s="1099" t="n"/>
      <c r="N163" s="1100" t="n"/>
      <c r="O163" s="1101" t="n"/>
      <c r="P163" s="1102" t="n"/>
      <c r="Q163" s="1102" t="n"/>
      <c r="R163" s="1103" t="n"/>
      <c r="S163" s="1104" t="n"/>
      <c r="T163" s="1097" t="n"/>
      <c r="U163" s="988" t="n"/>
      <c r="V163" s="988" t="n"/>
      <c r="W163" s="988" t="n"/>
      <c r="X163" s="988" t="n"/>
    </row>
    <row r="164" ht="11.25" customFormat="1" customHeight="1" s="989">
      <c r="A164" s="537" t="n"/>
      <c r="B164" s="1098" t="n"/>
      <c r="C164" s="1098" t="n"/>
      <c r="D164" s="1098" t="n"/>
      <c r="E164" s="306" t="n"/>
      <c r="F164" s="598" t="n"/>
      <c r="G164" s="599" t="n"/>
      <c r="H164" s="600" t="n"/>
      <c r="I164" s="599" t="n"/>
      <c r="J164" s="601" t="n"/>
      <c r="K164" s="601" t="n"/>
      <c r="L164" s="601" t="n"/>
      <c r="M164" s="1099" t="n"/>
      <c r="N164" s="1100" t="n"/>
      <c r="O164" s="1101" t="n"/>
      <c r="P164" s="1102" t="n"/>
      <c r="Q164" s="1102" t="n"/>
      <c r="R164" s="1103" t="n"/>
      <c r="S164" s="1104" t="n"/>
      <c r="T164" s="1097" t="n"/>
      <c r="U164" s="988" t="n"/>
      <c r="V164" s="988" t="n"/>
      <c r="W164" s="988" t="n"/>
      <c r="X164" s="988" t="n"/>
    </row>
    <row r="165" ht="11.25" customFormat="1" customHeight="1" s="989">
      <c r="A165" s="537" t="n"/>
      <c r="B165" s="1098" t="n"/>
      <c r="C165" s="1098" t="n"/>
      <c r="D165" s="1098" t="n"/>
      <c r="E165" s="306" t="n"/>
      <c r="F165" s="598" t="n"/>
      <c r="G165" s="599" t="n"/>
      <c r="H165" s="600" t="n"/>
      <c r="I165" s="599" t="n"/>
      <c r="J165" s="601" t="n"/>
      <c r="K165" s="601" t="n"/>
      <c r="L165" s="601" t="n"/>
      <c r="M165" s="1099" t="n"/>
      <c r="N165" s="1100" t="n"/>
      <c r="O165" s="1101" t="n"/>
      <c r="P165" s="1102" t="n"/>
      <c r="Q165" s="1102" t="n"/>
      <c r="R165" s="1103" t="n"/>
      <c r="S165" s="1104" t="n"/>
      <c r="T165" s="1097" t="n"/>
      <c r="U165" s="988" t="n"/>
      <c r="V165" s="988" t="n"/>
      <c r="W165" s="988" t="n"/>
      <c r="X165" s="988" t="n"/>
    </row>
    <row r="166" ht="11.25" customFormat="1" customHeight="1" s="989">
      <c r="A166" s="537" t="n"/>
      <c r="B166" s="1098" t="n"/>
      <c r="C166" s="1098" t="n"/>
      <c r="D166" s="1098" t="n"/>
      <c r="E166" s="306" t="n"/>
      <c r="F166" s="598" t="n"/>
      <c r="G166" s="599" t="n"/>
      <c r="H166" s="600" t="n"/>
      <c r="I166" s="599" t="n"/>
      <c r="J166" s="601" t="n"/>
      <c r="K166" s="601" t="n"/>
      <c r="L166" s="601" t="n"/>
      <c r="M166" s="1099" t="n"/>
      <c r="N166" s="1100" t="n"/>
      <c r="O166" s="1101" t="n"/>
      <c r="P166" s="1102" t="n"/>
      <c r="Q166" s="1102" t="n"/>
      <c r="R166" s="1103" t="n"/>
      <c r="S166" s="1104" t="n"/>
      <c r="T166" s="1097" t="n"/>
      <c r="U166" s="988" t="n"/>
      <c r="V166" s="988" t="n"/>
      <c r="W166" s="988" t="n"/>
      <c r="X166" s="988" t="n"/>
    </row>
    <row r="167" ht="11.25" customFormat="1" customHeight="1" s="989">
      <c r="A167" s="537" t="n"/>
      <c r="B167" s="1098" t="n"/>
      <c r="C167" s="1098" t="n"/>
      <c r="D167" s="1098" t="n"/>
      <c r="E167" s="306" t="n"/>
      <c r="F167" s="598" t="n"/>
      <c r="G167" s="599" t="n"/>
      <c r="H167" s="600" t="n"/>
      <c r="I167" s="599" t="n"/>
      <c r="J167" s="601" t="n"/>
      <c r="K167" s="601" t="n"/>
      <c r="L167" s="601" t="n"/>
      <c r="M167" s="1099" t="n"/>
      <c r="N167" s="1100" t="n"/>
      <c r="O167" s="1101" t="n"/>
      <c r="P167" s="1102" t="n"/>
      <c r="Q167" s="1102" t="n"/>
      <c r="R167" s="1103" t="n"/>
      <c r="S167" s="1104" t="n"/>
      <c r="T167" s="1097" t="n"/>
      <c r="U167" s="988" t="n"/>
      <c r="V167" s="988" t="n"/>
      <c r="W167" s="988" t="n"/>
      <c r="X167" s="988" t="n"/>
    </row>
    <row r="168" ht="11.25" customFormat="1" customHeight="1" s="989">
      <c r="A168" s="537" t="n"/>
      <c r="B168" s="1098" t="n"/>
      <c r="C168" s="1098" t="n"/>
      <c r="D168" s="1098" t="n"/>
      <c r="E168" s="306" t="n"/>
      <c r="F168" s="598" t="n"/>
      <c r="G168" s="599" t="n"/>
      <c r="H168" s="600" t="n"/>
      <c r="I168" s="599" t="n"/>
      <c r="J168" s="601" t="n"/>
      <c r="K168" s="601" t="n"/>
      <c r="L168" s="601" t="n"/>
      <c r="M168" s="1099" t="n"/>
      <c r="N168" s="1100" t="n"/>
      <c r="O168" s="1101" t="n"/>
      <c r="P168" s="1102" t="n"/>
      <c r="Q168" s="1102" t="n"/>
      <c r="R168" s="1103" t="n"/>
      <c r="S168" s="1104" t="n"/>
      <c r="T168" s="1097" t="n"/>
      <c r="U168" s="988" t="n"/>
      <c r="V168" s="988" t="n"/>
      <c r="W168" s="988" t="n"/>
      <c r="X168" s="988" t="n"/>
    </row>
    <row r="169" ht="12" customFormat="1" customHeight="1" s="1089">
      <c r="A169" s="537" t="n"/>
      <c r="B169" s="1098" t="n"/>
      <c r="C169" s="1098" t="n"/>
      <c r="D169" s="1098" t="n"/>
      <c r="E169" s="306" t="n"/>
      <c r="F169" s="598" t="n"/>
      <c r="G169" s="599" t="n"/>
      <c r="H169" s="600" t="n"/>
      <c r="I169" s="599" t="n"/>
      <c r="J169" s="601" t="n"/>
      <c r="K169" s="601" t="n"/>
      <c r="L169" s="601" t="n"/>
      <c r="M169" s="1099" t="n"/>
      <c r="N169" s="1100" t="n"/>
      <c r="O169" s="1101" t="n"/>
      <c r="P169" s="1102" t="n"/>
      <c r="Q169" s="1102" t="n"/>
      <c r="R169" s="1103" t="n"/>
      <c r="S169" s="1104" t="n"/>
      <c r="T169" s="1097" t="n"/>
      <c r="U169" s="988" t="n"/>
      <c r="V169" s="988" t="n"/>
      <c r="W169" s="988" t="n"/>
      <c r="X169" s="988" t="n"/>
    </row>
    <row r="170" ht="12" customFormat="1" customHeight="1" s="1089">
      <c r="A170" s="537" t="n"/>
      <c r="B170" s="1098" t="n"/>
      <c r="C170" s="1098" t="n"/>
      <c r="D170" s="1098" t="n"/>
      <c r="E170" s="306" t="n"/>
      <c r="F170" s="598" t="n"/>
      <c r="G170" s="599" t="n"/>
      <c r="H170" s="600" t="n"/>
      <c r="I170" s="599" t="n"/>
      <c r="J170" s="601" t="n"/>
      <c r="K170" s="601" t="n"/>
      <c r="L170" s="601" t="n"/>
      <c r="M170" s="1099" t="n"/>
      <c r="N170" s="1100" t="n"/>
      <c r="O170" s="1101" t="n"/>
      <c r="P170" s="1102" t="n"/>
      <c r="Q170" s="1102" t="n"/>
      <c r="R170" s="1103" t="n"/>
      <c r="S170" s="1104" t="n"/>
      <c r="T170" s="1097" t="n"/>
      <c r="U170" s="988" t="n"/>
      <c r="V170" s="988" t="n"/>
      <c r="W170" s="988" t="n"/>
      <c r="X170" s="988" t="n"/>
    </row>
    <row r="171" ht="11.25" customFormat="1" customHeight="1" s="989">
      <c r="A171" s="537" t="n"/>
      <c r="B171" s="1098" t="n"/>
      <c r="C171" s="1098" t="n"/>
      <c r="D171" s="1098" t="n"/>
      <c r="E171" s="306" t="n"/>
      <c r="F171" s="598" t="n"/>
      <c r="G171" s="599" t="n"/>
      <c r="H171" s="600" t="n"/>
      <c r="I171" s="599" t="n"/>
      <c r="J171" s="601" t="n"/>
      <c r="K171" s="601" t="n"/>
      <c r="L171" s="601" t="n"/>
      <c r="M171" s="1099" t="n"/>
      <c r="N171" s="1100" t="n"/>
      <c r="O171" s="1101" t="n"/>
      <c r="P171" s="1102" t="n"/>
      <c r="Q171" s="1102" t="n"/>
      <c r="R171" s="1103" t="n"/>
      <c r="S171" s="1104" t="n"/>
      <c r="T171" s="1097" t="n"/>
      <c r="U171" s="988" t="n"/>
      <c r="V171" s="988" t="n"/>
      <c r="W171" s="988" t="n"/>
      <c r="X171" s="988" t="n"/>
    </row>
    <row r="172" ht="11.25" customFormat="1" customHeight="1" s="989">
      <c r="A172" s="537" t="n"/>
      <c r="B172" s="1098" t="n"/>
      <c r="C172" s="1098" t="n"/>
      <c r="D172" s="1098" t="n"/>
      <c r="E172" s="306" t="n"/>
      <c r="F172" s="598" t="n"/>
      <c r="G172" s="599" t="n"/>
      <c r="H172" s="600" t="n"/>
      <c r="I172" s="599" t="n"/>
      <c r="J172" s="601" t="n"/>
      <c r="K172" s="601" t="n"/>
      <c r="L172" s="601" t="n"/>
      <c r="M172" s="1099" t="n"/>
      <c r="N172" s="1100" t="n"/>
      <c r="O172" s="1101" t="n"/>
      <c r="P172" s="1102" t="n"/>
      <c r="Q172" s="1102" t="n"/>
      <c r="R172" s="1103" t="n"/>
      <c r="S172" s="1104" t="n"/>
      <c r="T172" s="1097" t="n"/>
      <c r="U172" s="988" t="n"/>
      <c r="V172" s="988" t="n"/>
      <c r="W172" s="988" t="n"/>
      <c r="X172" s="988" t="n"/>
    </row>
    <row r="173" ht="11.25" customFormat="1" customHeight="1" s="989">
      <c r="A173" s="537" t="n"/>
      <c r="B173" s="1098" t="n"/>
      <c r="C173" s="1098" t="n"/>
      <c r="D173" s="1098" t="n"/>
      <c r="E173" s="306" t="n"/>
      <c r="F173" s="598" t="n"/>
      <c r="G173" s="599" t="n"/>
      <c r="H173" s="600" t="n"/>
      <c r="I173" s="599" t="n"/>
      <c r="J173" s="601" t="n"/>
      <c r="K173" s="601" t="n"/>
      <c r="L173" s="601" t="n"/>
      <c r="M173" s="1099" t="n"/>
      <c r="N173" s="1100" t="n"/>
      <c r="O173" s="1101" t="n"/>
      <c r="P173" s="1102" t="n"/>
      <c r="Q173" s="1102" t="n"/>
      <c r="R173" s="1103" t="n"/>
      <c r="S173" s="1104" t="n"/>
      <c r="T173" s="1097" t="n"/>
      <c r="U173" s="988" t="n"/>
      <c r="V173" s="988" t="n"/>
      <c r="W173" s="988" t="n"/>
      <c r="X173" s="988" t="n"/>
    </row>
    <row r="174" ht="11.25" customFormat="1" customHeight="1" s="989">
      <c r="A174" s="537" t="n"/>
      <c r="B174" s="1098" t="n"/>
      <c r="C174" s="1098" t="n"/>
      <c r="D174" s="1098" t="n"/>
      <c r="E174" s="306" t="n"/>
      <c r="F174" s="598" t="n"/>
      <c r="G174" s="599" t="n"/>
      <c r="H174" s="600" t="n"/>
      <c r="I174" s="599" t="n"/>
      <c r="J174" s="601" t="n"/>
      <c r="K174" s="601" t="n"/>
      <c r="L174" s="601" t="n"/>
      <c r="M174" s="1099" t="n"/>
      <c r="N174" s="1100" t="n"/>
      <c r="O174" s="1101" t="n"/>
      <c r="P174" s="1102" t="n"/>
      <c r="Q174" s="1102" t="n"/>
      <c r="R174" s="1103" t="n"/>
      <c r="S174" s="1104" t="n"/>
      <c r="T174" s="1097" t="n"/>
      <c r="U174" s="988" t="n"/>
      <c r="V174" s="988" t="n"/>
      <c r="W174" s="988" t="n"/>
      <c r="X174" s="988" t="n"/>
    </row>
    <row r="175" ht="11.25" customFormat="1" customHeight="1" s="989">
      <c r="A175" s="537" t="n"/>
      <c r="B175" s="1098" t="n"/>
      <c r="C175" s="1098" t="n"/>
      <c r="D175" s="1098" t="n"/>
      <c r="E175" s="306" t="n"/>
      <c r="F175" s="598" t="n"/>
      <c r="G175" s="599" t="n"/>
      <c r="H175" s="600" t="n"/>
      <c r="I175" s="599" t="n"/>
      <c r="J175" s="601" t="n"/>
      <c r="K175" s="601" t="n"/>
      <c r="L175" s="601" t="n"/>
      <c r="M175" s="1099" t="n"/>
      <c r="N175" s="1100" t="n"/>
      <c r="O175" s="1101" t="n"/>
      <c r="P175" s="1102" t="n"/>
      <c r="Q175" s="1102" t="n"/>
      <c r="R175" s="1103" t="n"/>
      <c r="S175" s="1104" t="n"/>
      <c r="T175" s="1097" t="n"/>
      <c r="U175" s="988" t="n"/>
      <c r="V175" s="988" t="n"/>
      <c r="W175" s="988" t="n"/>
      <c r="X175" s="988" t="n"/>
    </row>
    <row r="176" ht="11.25" customFormat="1" customHeight="1" s="989">
      <c r="A176" s="537" t="n"/>
      <c r="B176" s="1098" t="n"/>
      <c r="C176" s="1098" t="n"/>
      <c r="D176" s="1098" t="n"/>
      <c r="E176" s="306" t="n"/>
      <c r="F176" s="598" t="n"/>
      <c r="G176" s="599" t="n"/>
      <c r="H176" s="600" t="n"/>
      <c r="I176" s="599" t="n"/>
      <c r="J176" s="601" t="n"/>
      <c r="K176" s="601" t="n"/>
      <c r="L176" s="601" t="n"/>
      <c r="M176" s="1099" t="n"/>
      <c r="N176" s="1100" t="n"/>
      <c r="O176" s="1101" t="n"/>
      <c r="P176" s="1102" t="n"/>
      <c r="Q176" s="1102" t="n"/>
      <c r="R176" s="1103" t="n"/>
      <c r="S176" s="1104" t="n"/>
      <c r="T176" s="1097" t="n"/>
      <c r="U176" s="988" t="n"/>
      <c r="V176" s="988" t="n"/>
      <c r="W176" s="988" t="n"/>
      <c r="X176" s="988" t="n"/>
    </row>
    <row r="177" ht="12" customFormat="1" customHeight="1" s="1089">
      <c r="A177" s="537" t="n"/>
      <c r="B177" s="1098" t="n"/>
      <c r="C177" s="1098" t="n"/>
      <c r="D177" s="1098" t="n"/>
      <c r="E177" s="306" t="n"/>
      <c r="F177" s="598" t="n"/>
      <c r="G177" s="599" t="n"/>
      <c r="H177" s="600" t="n"/>
      <c r="I177" s="599" t="n"/>
      <c r="J177" s="601" t="n"/>
      <c r="K177" s="601" t="n"/>
      <c r="L177" s="601" t="n"/>
      <c r="M177" s="1099" t="n"/>
      <c r="N177" s="1100" t="n"/>
      <c r="O177" s="1101" t="n"/>
      <c r="P177" s="1102" t="n"/>
      <c r="Q177" s="1102" t="n"/>
      <c r="R177" s="1103" t="n"/>
      <c r="S177" s="1104" t="n"/>
      <c r="T177" s="1097" t="n"/>
      <c r="U177" s="988" t="n"/>
      <c r="V177" s="988" t="n"/>
      <c r="W177" s="988" t="n"/>
      <c r="X177" s="988" t="n"/>
    </row>
    <row r="178" ht="12" customFormat="1" customHeight="1" s="1089">
      <c r="A178" s="537" t="n"/>
      <c r="B178" s="1098" t="n"/>
      <c r="C178" s="1098" t="n"/>
      <c r="D178" s="1098" t="n"/>
      <c r="E178" s="306" t="n"/>
      <c r="F178" s="598" t="n"/>
      <c r="G178" s="599" t="n"/>
      <c r="H178" s="600" t="n"/>
      <c r="I178" s="599" t="n"/>
      <c r="J178" s="601" t="n"/>
      <c r="K178" s="601" t="n"/>
      <c r="L178" s="601" t="n"/>
      <c r="M178" s="1099" t="n"/>
      <c r="N178" s="1100" t="n"/>
      <c r="O178" s="1101" t="n"/>
      <c r="P178" s="1102" t="n"/>
      <c r="Q178" s="1102" t="n"/>
      <c r="R178" s="1103" t="n"/>
      <c r="S178" s="1104" t="n"/>
      <c r="T178" s="1097" t="n"/>
      <c r="U178" s="988" t="n"/>
      <c r="V178" s="988" t="n"/>
      <c r="W178" s="988" t="n"/>
      <c r="X178" s="988" t="n"/>
    </row>
    <row r="179" ht="11.25" customFormat="1" customHeight="1" s="989">
      <c r="A179" s="537" t="n"/>
      <c r="B179" s="1098" t="n"/>
      <c r="C179" s="1098" t="n"/>
      <c r="D179" s="1098" t="n"/>
      <c r="E179" s="306" t="n"/>
      <c r="F179" s="598" t="n"/>
      <c r="G179" s="599" t="n"/>
      <c r="H179" s="600" t="n"/>
      <c r="I179" s="599" t="n"/>
      <c r="J179" s="601" t="n"/>
      <c r="K179" s="601" t="n"/>
      <c r="L179" s="601" t="n"/>
      <c r="M179" s="1099" t="n"/>
      <c r="N179" s="1100" t="n"/>
      <c r="O179" s="1101" t="n"/>
      <c r="P179" s="1102" t="n"/>
      <c r="Q179" s="1102" t="n"/>
      <c r="R179" s="1103" t="n"/>
      <c r="S179" s="1104" t="n"/>
      <c r="T179" s="1097" t="n"/>
      <c r="U179" s="988" t="n"/>
      <c r="V179" s="988" t="n"/>
      <c r="W179" s="988" t="n"/>
      <c r="X179" s="988" t="n"/>
    </row>
    <row r="180" ht="11.25" customFormat="1" customHeight="1" s="989">
      <c r="A180" s="537" t="n"/>
      <c r="B180" s="1098" t="n"/>
      <c r="C180" s="1098" t="n"/>
      <c r="D180" s="1098" t="n"/>
      <c r="E180" s="306" t="n"/>
      <c r="F180" s="598" t="n"/>
      <c r="G180" s="599" t="n"/>
      <c r="H180" s="600" t="n"/>
      <c r="I180" s="599" t="n"/>
      <c r="J180" s="601" t="n"/>
      <c r="K180" s="601" t="n"/>
      <c r="L180" s="601" t="n"/>
      <c r="M180" s="1099" t="n"/>
      <c r="N180" s="1100" t="n"/>
      <c r="O180" s="1101" t="n"/>
      <c r="P180" s="1102" t="n"/>
      <c r="Q180" s="1102" t="n"/>
      <c r="R180" s="1103" t="n"/>
      <c r="S180" s="1104" t="n"/>
      <c r="T180" s="1097" t="n"/>
      <c r="U180" s="988" t="n"/>
      <c r="V180" s="988" t="n"/>
      <c r="W180" s="988" t="n"/>
      <c r="X180" s="988" t="n"/>
    </row>
    <row r="181" ht="11.25" customFormat="1" customHeight="1" s="989">
      <c r="A181" s="537" t="n"/>
      <c r="B181" s="1098" t="n"/>
      <c r="C181" s="1098" t="n"/>
      <c r="D181" s="1098" t="n"/>
      <c r="E181" s="306" t="n"/>
      <c r="F181" s="598" t="n"/>
      <c r="G181" s="599" t="n"/>
      <c r="H181" s="600" t="n"/>
      <c r="I181" s="599" t="n"/>
      <c r="J181" s="601" t="n"/>
      <c r="K181" s="601" t="n"/>
      <c r="L181" s="601" t="n"/>
      <c r="M181" s="1099" t="n"/>
      <c r="N181" s="1100" t="n"/>
      <c r="O181" s="1101" t="n"/>
      <c r="P181" s="1102" t="n"/>
      <c r="Q181" s="1102" t="n"/>
      <c r="R181" s="1103" t="n"/>
      <c r="S181" s="1104" t="n"/>
      <c r="T181" s="1097" t="n"/>
      <c r="U181" s="988" t="n"/>
      <c r="V181" s="988" t="n"/>
      <c r="W181" s="988" t="n"/>
      <c r="X181" s="988" t="n"/>
    </row>
    <row r="182" ht="11.25" customFormat="1" customHeight="1" s="989">
      <c r="A182" s="537" t="n"/>
      <c r="B182" s="1098" t="n"/>
      <c r="C182" s="1098" t="n"/>
      <c r="D182" s="1098" t="n"/>
      <c r="E182" s="306" t="n"/>
      <c r="F182" s="598" t="n"/>
      <c r="G182" s="599" t="n"/>
      <c r="H182" s="600" t="n"/>
      <c r="I182" s="599" t="n"/>
      <c r="J182" s="601" t="n"/>
      <c r="K182" s="601" t="n"/>
      <c r="L182" s="601" t="n"/>
      <c r="M182" s="1099" t="n"/>
      <c r="N182" s="1100" t="n"/>
      <c r="O182" s="1101" t="n"/>
      <c r="P182" s="1102" t="n"/>
      <c r="Q182" s="1102" t="n"/>
      <c r="R182" s="1103" t="n"/>
      <c r="S182" s="1104" t="n"/>
      <c r="T182" s="1097" t="n"/>
      <c r="U182" s="988" t="n"/>
      <c r="V182" s="988" t="n"/>
      <c r="W182" s="988" t="n"/>
      <c r="X182" s="988" t="n"/>
    </row>
    <row r="183" ht="11.25" customFormat="1" customHeight="1" s="989">
      <c r="A183" s="537" t="n"/>
      <c r="B183" s="1098" t="n"/>
      <c r="C183" s="1098" t="n"/>
      <c r="D183" s="1098" t="n"/>
      <c r="E183" s="306" t="n"/>
      <c r="F183" s="598" t="n"/>
      <c r="G183" s="599" t="n"/>
      <c r="H183" s="600" t="n"/>
      <c r="I183" s="599" t="n"/>
      <c r="J183" s="601" t="n"/>
      <c r="K183" s="601" t="n"/>
      <c r="L183" s="601" t="n"/>
      <c r="M183" s="1099" t="n"/>
      <c r="N183" s="1100" t="n"/>
      <c r="O183" s="1101" t="n"/>
      <c r="P183" s="1102" t="n"/>
      <c r="Q183" s="1102" t="n"/>
      <c r="R183" s="1103" t="n"/>
      <c r="S183" s="1104" t="n"/>
      <c r="T183" s="1097" t="n"/>
      <c r="U183" s="988" t="n"/>
      <c r="V183" s="988" t="n"/>
      <c r="W183" s="988" t="n"/>
      <c r="X183" s="988" t="n"/>
    </row>
    <row r="184" ht="11.25" customFormat="1" customHeight="1" s="989">
      <c r="A184" s="537" t="n"/>
      <c r="B184" s="1098" t="n"/>
      <c r="C184" s="1098" t="n"/>
      <c r="D184" s="1098" t="n"/>
      <c r="E184" s="306" t="n"/>
      <c r="F184" s="598" t="n"/>
      <c r="G184" s="599" t="n"/>
      <c r="H184" s="600" t="n"/>
      <c r="I184" s="599" t="n"/>
      <c r="J184" s="601" t="n"/>
      <c r="K184" s="601" t="n"/>
      <c r="L184" s="601" t="n"/>
      <c r="M184" s="1099" t="n"/>
      <c r="N184" s="1100" t="n"/>
      <c r="O184" s="1101" t="n"/>
      <c r="P184" s="1102" t="n"/>
      <c r="Q184" s="1102" t="n"/>
      <c r="R184" s="1103" t="n"/>
      <c r="S184" s="1104" t="n"/>
      <c r="T184" s="1097" t="n"/>
      <c r="U184" s="988" t="n"/>
      <c r="V184" s="988" t="n"/>
      <c r="W184" s="988" t="n"/>
      <c r="X184" s="988" t="n"/>
    </row>
    <row r="185" ht="11.25" customFormat="1" customHeight="1" s="989">
      <c r="A185" s="537" t="n"/>
      <c r="B185" s="1098" t="n"/>
      <c r="C185" s="1098" t="n"/>
      <c r="D185" s="1098" t="n"/>
      <c r="E185" s="306" t="n"/>
      <c r="F185" s="598" t="n"/>
      <c r="G185" s="599" t="n"/>
      <c r="H185" s="600" t="n"/>
      <c r="I185" s="599" t="n"/>
      <c r="J185" s="601" t="n"/>
      <c r="K185" s="601" t="n"/>
      <c r="L185" s="601" t="n"/>
      <c r="M185" s="1099" t="n"/>
      <c r="N185" s="1100" t="n"/>
      <c r="O185" s="1101" t="n"/>
      <c r="P185" s="1102" t="n"/>
      <c r="Q185" s="1102" t="n"/>
      <c r="R185" s="1103" t="n"/>
      <c r="S185" s="1104" t="n"/>
      <c r="T185" s="1097" t="n"/>
      <c r="U185" s="988" t="n"/>
      <c r="V185" s="988" t="n"/>
      <c r="W185" s="988" t="n"/>
      <c r="X185" s="988" t="n"/>
    </row>
    <row r="186" ht="11.25" customFormat="1" customHeight="1" s="989">
      <c r="A186" s="537" t="n"/>
      <c r="B186" s="1098" t="n"/>
      <c r="C186" s="1098" t="n"/>
      <c r="D186" s="1098" t="n"/>
      <c r="E186" s="306" t="n"/>
      <c r="F186" s="598" t="n"/>
      <c r="G186" s="599" t="n"/>
      <c r="H186" s="600" t="n"/>
      <c r="I186" s="599" t="n"/>
      <c r="J186" s="601" t="n"/>
      <c r="K186" s="601" t="n"/>
      <c r="L186" s="601" t="n"/>
      <c r="M186" s="1099" t="n"/>
      <c r="N186" s="1100" t="n"/>
      <c r="O186" s="1101" t="n"/>
      <c r="P186" s="1102" t="n"/>
      <c r="Q186" s="1102" t="n"/>
      <c r="R186" s="1103" t="n"/>
      <c r="S186" s="1104" t="n"/>
      <c r="T186" s="1097" t="n"/>
      <c r="U186" s="988" t="n"/>
      <c r="V186" s="988" t="n"/>
      <c r="W186" s="988" t="n"/>
      <c r="X186" s="988" t="n"/>
    </row>
    <row r="187" ht="11.25" customFormat="1" customHeight="1" s="989">
      <c r="A187" s="537" t="n"/>
      <c r="B187" s="1098" t="n"/>
      <c r="C187" s="1098" t="n"/>
      <c r="D187" s="1098" t="n"/>
      <c r="E187" s="306" t="n"/>
      <c r="F187" s="598" t="n"/>
      <c r="G187" s="599" t="n"/>
      <c r="H187" s="600" t="n"/>
      <c r="I187" s="599" t="n"/>
      <c r="J187" s="601" t="n"/>
      <c r="K187" s="601" t="n"/>
      <c r="L187" s="601" t="n"/>
      <c r="M187" s="1099" t="n"/>
      <c r="N187" s="1100" t="n"/>
      <c r="O187" s="1101" t="n"/>
      <c r="P187" s="1102" t="n"/>
      <c r="Q187" s="1102" t="n"/>
      <c r="R187" s="1103" t="n"/>
      <c r="S187" s="1104" t="n"/>
      <c r="T187" s="1097" t="n"/>
      <c r="U187" s="988" t="n"/>
      <c r="V187" s="988" t="n"/>
      <c r="W187" s="988" t="n"/>
      <c r="X187" s="988" t="n"/>
    </row>
    <row r="188" ht="12" customFormat="1" customHeight="1" s="1089">
      <c r="A188" s="537" t="n"/>
      <c r="B188" s="1098" t="n"/>
      <c r="C188" s="1098" t="n"/>
      <c r="D188" s="1098" t="n"/>
      <c r="E188" s="306" t="n"/>
      <c r="F188" s="598" t="n"/>
      <c r="G188" s="599" t="n"/>
      <c r="H188" s="600" t="n"/>
      <c r="I188" s="599" t="n"/>
      <c r="J188" s="601" t="n"/>
      <c r="K188" s="601" t="n"/>
      <c r="L188" s="601" t="n"/>
      <c r="M188" s="1099" t="n"/>
      <c r="N188" s="1100" t="n"/>
      <c r="O188" s="1101" t="n"/>
      <c r="P188" s="1102" t="n"/>
      <c r="Q188" s="1102" t="n"/>
      <c r="R188" s="1103" t="n"/>
      <c r="S188" s="1104" t="n"/>
      <c r="T188" s="1097" t="n"/>
      <c r="U188" s="988" t="n"/>
      <c r="V188" s="988" t="n"/>
      <c r="W188" s="988" t="n"/>
      <c r="X188" s="988" t="n"/>
    </row>
    <row r="189" ht="12" customFormat="1" customHeight="1" s="1089">
      <c r="A189" s="537" t="n"/>
      <c r="B189" s="1098" t="n"/>
      <c r="C189" s="1098" t="n"/>
      <c r="D189" s="1098" t="n"/>
      <c r="E189" s="306" t="n"/>
      <c r="F189" s="598" t="n"/>
      <c r="G189" s="599" t="n"/>
      <c r="H189" s="600" t="n"/>
      <c r="I189" s="599" t="n"/>
      <c r="J189" s="601" t="n"/>
      <c r="K189" s="601" t="n"/>
      <c r="L189" s="601" t="n"/>
      <c r="M189" s="1099" t="n"/>
      <c r="N189" s="1100" t="n"/>
      <c r="O189" s="1101" t="n"/>
      <c r="P189" s="1102" t="n"/>
      <c r="Q189" s="1102" t="n"/>
      <c r="R189" s="1103" t="n"/>
      <c r="S189" s="1104" t="n"/>
      <c r="T189" s="1097" t="n"/>
      <c r="U189" s="988" t="n"/>
      <c r="V189" s="988" t="n"/>
      <c r="W189" s="988" t="n"/>
      <c r="X189" s="988" t="n"/>
    </row>
    <row r="190" ht="11.25" customFormat="1" customHeight="1" s="989">
      <c r="A190" s="537" t="n"/>
      <c r="B190" s="1098" t="n"/>
      <c r="C190" s="1098" t="n"/>
      <c r="D190" s="1098" t="n"/>
      <c r="E190" s="306" t="n"/>
      <c r="F190" s="598" t="n"/>
      <c r="G190" s="599" t="n"/>
      <c r="H190" s="600" t="n"/>
      <c r="I190" s="599" t="n"/>
      <c r="J190" s="601" t="n"/>
      <c r="K190" s="601" t="n"/>
      <c r="L190" s="601" t="n"/>
      <c r="M190" s="1099" t="n"/>
      <c r="N190" s="1100" t="n"/>
      <c r="O190" s="1101" t="n"/>
      <c r="P190" s="1102" t="n"/>
      <c r="Q190" s="1102" t="n"/>
      <c r="R190" s="1103" t="n"/>
      <c r="S190" s="1104" t="n"/>
      <c r="T190" s="1097" t="n"/>
      <c r="U190" s="988" t="n"/>
      <c r="V190" s="988" t="n"/>
      <c r="W190" s="988" t="n"/>
      <c r="X190" s="988" t="n"/>
    </row>
    <row r="191" ht="11.25" customFormat="1" customHeight="1" s="989">
      <c r="A191" s="537" t="n"/>
      <c r="B191" s="1098" t="n"/>
      <c r="C191" s="1098" t="n"/>
      <c r="D191" s="1098" t="n"/>
      <c r="E191" s="306" t="n"/>
      <c r="F191" s="598" t="n"/>
      <c r="G191" s="599" t="n"/>
      <c r="H191" s="600" t="n"/>
      <c r="I191" s="599" t="n"/>
      <c r="J191" s="601" t="n"/>
      <c r="K191" s="601" t="n"/>
      <c r="L191" s="601" t="n"/>
      <c r="M191" s="1099" t="n"/>
      <c r="N191" s="1100" t="n"/>
      <c r="O191" s="1101" t="n"/>
      <c r="P191" s="1102" t="n"/>
      <c r="Q191" s="1102" t="n"/>
      <c r="R191" s="1103" t="n"/>
      <c r="S191" s="1104" t="n"/>
      <c r="T191" s="1097" t="n"/>
      <c r="U191" s="988" t="n"/>
      <c r="V191" s="988" t="n"/>
      <c r="W191" s="988" t="n"/>
      <c r="X191" s="988" t="n"/>
    </row>
    <row r="192" ht="11.25" customFormat="1" customHeight="1" s="989">
      <c r="A192" s="537" t="n"/>
      <c r="B192" s="1098" t="n"/>
      <c r="C192" s="1098" t="n"/>
      <c r="D192" s="1098" t="n"/>
      <c r="E192" s="306" t="n"/>
      <c r="F192" s="598" t="n"/>
      <c r="G192" s="599" t="n"/>
      <c r="H192" s="600" t="n"/>
      <c r="I192" s="599" t="n"/>
      <c r="J192" s="601" t="n"/>
      <c r="K192" s="601" t="n"/>
      <c r="L192" s="601" t="n"/>
      <c r="M192" s="1099" t="n"/>
      <c r="N192" s="1100" t="n"/>
      <c r="O192" s="1101" t="n"/>
      <c r="P192" s="1102" t="n"/>
      <c r="Q192" s="1102" t="n"/>
      <c r="R192" s="1103" t="n"/>
      <c r="S192" s="1104" t="n"/>
      <c r="T192" s="1097" t="n"/>
      <c r="U192" s="988" t="n"/>
      <c r="V192" s="988" t="n"/>
      <c r="W192" s="988" t="n"/>
      <c r="X192" s="988" t="n"/>
    </row>
    <row r="193" ht="11.25" customFormat="1" customHeight="1" s="989">
      <c r="A193" s="537" t="n"/>
      <c r="B193" s="1098" t="n"/>
      <c r="C193" s="1098" t="n"/>
      <c r="D193" s="1098" t="n"/>
      <c r="E193" s="306" t="n"/>
      <c r="F193" s="598" t="n"/>
      <c r="G193" s="599" t="n"/>
      <c r="H193" s="600" t="n"/>
      <c r="I193" s="599" t="n"/>
      <c r="J193" s="601" t="n"/>
      <c r="K193" s="601" t="n"/>
      <c r="L193" s="601" t="n"/>
      <c r="M193" s="1099" t="n"/>
      <c r="N193" s="1100" t="n"/>
      <c r="O193" s="1101" t="n"/>
      <c r="P193" s="1102" t="n"/>
      <c r="Q193" s="1102" t="n"/>
      <c r="R193" s="1103" t="n"/>
      <c r="S193" s="1104" t="n"/>
      <c r="T193" s="1097" t="n"/>
      <c r="U193" s="988" t="n"/>
      <c r="V193" s="988" t="n"/>
      <c r="W193" s="988" t="n"/>
      <c r="X193" s="988" t="n"/>
    </row>
    <row r="194" ht="11.25" customFormat="1" customHeight="1" s="989">
      <c r="A194" s="537" t="n"/>
      <c r="B194" s="1098" t="n"/>
      <c r="C194" s="1098" t="n"/>
      <c r="D194" s="1098" t="n"/>
      <c r="E194" s="306" t="n"/>
      <c r="F194" s="598" t="n"/>
      <c r="G194" s="599" t="n"/>
      <c r="H194" s="600" t="n"/>
      <c r="I194" s="599" t="n"/>
      <c r="J194" s="601" t="n"/>
      <c r="K194" s="601" t="n"/>
      <c r="L194" s="601" t="n"/>
      <c r="M194" s="1099" t="n"/>
      <c r="N194" s="1100" t="n"/>
      <c r="O194" s="1101" t="n"/>
      <c r="P194" s="1102" t="n"/>
      <c r="Q194" s="1102" t="n"/>
      <c r="R194" s="1103" t="n"/>
      <c r="S194" s="1104" t="n"/>
      <c r="T194" s="1097" t="n"/>
      <c r="U194" s="988" t="n"/>
      <c r="V194" s="988" t="n"/>
      <c r="W194" s="988" t="n"/>
      <c r="X194" s="988" t="n"/>
    </row>
    <row r="195" ht="11.25" customFormat="1" customHeight="1" s="989">
      <c r="A195" s="537" t="n"/>
      <c r="B195" s="1098" t="n"/>
      <c r="C195" s="1098" t="n"/>
      <c r="D195" s="1098" t="n"/>
      <c r="E195" s="306" t="n"/>
      <c r="F195" s="598" t="n"/>
      <c r="G195" s="599" t="n"/>
      <c r="H195" s="600" t="n"/>
      <c r="I195" s="599" t="n"/>
      <c r="J195" s="601" t="n"/>
      <c r="K195" s="601" t="n"/>
      <c r="L195" s="601" t="n"/>
      <c r="M195" s="1099" t="n"/>
      <c r="N195" s="1100" t="n"/>
      <c r="O195" s="1101" t="n"/>
      <c r="P195" s="1102" t="n"/>
      <c r="Q195" s="1102" t="n"/>
      <c r="R195" s="1103" t="n"/>
      <c r="S195" s="1104" t="n"/>
      <c r="T195" s="1097" t="n"/>
      <c r="U195" s="988" t="n"/>
      <c r="V195" s="988" t="n"/>
      <c r="W195" s="988" t="n"/>
      <c r="X195" s="988" t="n"/>
    </row>
    <row r="196" ht="12" customFormat="1" customHeight="1" s="1089">
      <c r="A196" s="537" t="n"/>
      <c r="B196" s="1098" t="n"/>
      <c r="C196" s="1098" t="n"/>
      <c r="D196" s="1098" t="n"/>
      <c r="E196" s="306" t="n"/>
      <c r="F196" s="598" t="n"/>
      <c r="G196" s="599" t="n"/>
      <c r="H196" s="600" t="n"/>
      <c r="I196" s="599" t="n"/>
      <c r="J196" s="601" t="n"/>
      <c r="K196" s="601" t="n"/>
      <c r="L196" s="601" t="n"/>
      <c r="M196" s="1099" t="n"/>
      <c r="N196" s="1100" t="n"/>
      <c r="O196" s="1101" t="n"/>
      <c r="P196" s="1102" t="n"/>
      <c r="Q196" s="1102" t="n"/>
      <c r="R196" s="1103" t="n"/>
      <c r="S196" s="1104" t="n"/>
      <c r="T196" s="1097" t="n"/>
      <c r="U196" s="988" t="n"/>
      <c r="V196" s="988" t="n"/>
      <c r="W196" s="988" t="n"/>
      <c r="X196" s="988" t="n"/>
    </row>
    <row r="197" ht="12" customFormat="1" customHeight="1" s="1089">
      <c r="A197" s="537" t="n"/>
      <c r="B197" s="1098" t="n"/>
      <c r="C197" s="1098" t="n"/>
      <c r="D197" s="1098" t="n"/>
      <c r="E197" s="306" t="n"/>
      <c r="F197" s="598" t="n"/>
      <c r="G197" s="599" t="n"/>
      <c r="H197" s="600" t="n"/>
      <c r="I197" s="599" t="n"/>
      <c r="J197" s="601" t="n"/>
      <c r="K197" s="601" t="n"/>
      <c r="L197" s="601" t="n"/>
      <c r="M197" s="1099" t="n"/>
      <c r="N197" s="1100" t="n"/>
      <c r="O197" s="1101" t="n"/>
      <c r="P197" s="1102" t="n"/>
      <c r="Q197" s="1102" t="n"/>
      <c r="R197" s="1103" t="n"/>
      <c r="S197" s="1104" t="n"/>
      <c r="T197" s="1097" t="n"/>
      <c r="U197" s="988" t="n"/>
      <c r="V197" s="988" t="n"/>
      <c r="W197" s="988" t="n"/>
      <c r="X197" s="988" t="n"/>
    </row>
    <row r="198" ht="11.25" customFormat="1" customHeight="1" s="989">
      <c r="A198" s="537" t="n"/>
      <c r="B198" s="1098" t="n"/>
      <c r="C198" s="1098" t="n"/>
      <c r="D198" s="1098" t="n"/>
      <c r="E198" s="306" t="n"/>
      <c r="F198" s="598" t="n"/>
      <c r="G198" s="599" t="n"/>
      <c r="H198" s="600" t="n"/>
      <c r="I198" s="599" t="n"/>
      <c r="J198" s="601" t="n"/>
      <c r="K198" s="601" t="n"/>
      <c r="L198" s="601" t="n"/>
      <c r="M198" s="1099" t="n"/>
      <c r="N198" s="1100" t="n"/>
      <c r="O198" s="1101" t="n"/>
      <c r="P198" s="1102" t="n"/>
      <c r="Q198" s="1102" t="n"/>
      <c r="R198" s="1103" t="n"/>
      <c r="S198" s="1104" t="n"/>
      <c r="T198" s="1097" t="n"/>
      <c r="U198" s="988" t="n"/>
      <c r="V198" s="988" t="n"/>
      <c r="W198" s="988" t="n"/>
      <c r="X198" s="988" t="n"/>
    </row>
    <row r="199" ht="11.25" customFormat="1" customHeight="1" s="989">
      <c r="A199" s="537" t="n"/>
      <c r="B199" s="1098" t="n"/>
      <c r="C199" s="1098" t="n"/>
      <c r="D199" s="1098" t="n"/>
      <c r="E199" s="306" t="n"/>
      <c r="F199" s="598" t="n"/>
      <c r="G199" s="599" t="n"/>
      <c r="H199" s="600" t="n"/>
      <c r="I199" s="599" t="n"/>
      <c r="J199" s="601" t="n"/>
      <c r="K199" s="601" t="n"/>
      <c r="L199" s="601" t="n"/>
      <c r="M199" s="1099" t="n"/>
      <c r="N199" s="1100" t="n"/>
      <c r="O199" s="1101" t="n"/>
      <c r="P199" s="1102" t="n"/>
      <c r="Q199" s="1102" t="n"/>
      <c r="R199" s="1103" t="n"/>
      <c r="S199" s="1104" t="n"/>
      <c r="T199" s="1097" t="n"/>
      <c r="U199" s="988" t="n"/>
      <c r="V199" s="988" t="n"/>
      <c r="W199" s="988" t="n"/>
      <c r="X199" s="988" t="n"/>
    </row>
    <row r="200" ht="11.25" customFormat="1" customHeight="1" s="989">
      <c r="A200" s="537" t="n"/>
      <c r="B200" s="1098" t="n"/>
      <c r="C200" s="1098" t="n"/>
      <c r="D200" s="1098" t="n"/>
      <c r="E200" s="306" t="n"/>
      <c r="F200" s="598" t="n"/>
      <c r="G200" s="599" t="n"/>
      <c r="H200" s="600" t="n"/>
      <c r="I200" s="599" t="n"/>
      <c r="J200" s="601" t="n"/>
      <c r="K200" s="601" t="n"/>
      <c r="L200" s="601" t="n"/>
      <c r="M200" s="1099" t="n"/>
      <c r="N200" s="1100" t="n"/>
      <c r="O200" s="1101" t="n"/>
      <c r="P200" s="1102" t="n"/>
      <c r="Q200" s="1102" t="n"/>
      <c r="R200" s="1103" t="n"/>
      <c r="S200" s="1104" t="n"/>
      <c r="T200" s="1097" t="n"/>
      <c r="U200" s="988" t="n"/>
      <c r="V200" s="988" t="n"/>
      <c r="W200" s="988" t="n"/>
      <c r="X200" s="988" t="n"/>
    </row>
    <row r="201" ht="11.25" customFormat="1" customHeight="1" s="989">
      <c r="A201" s="537" t="n"/>
      <c r="B201" s="1098" t="n"/>
      <c r="C201" s="1098" t="n"/>
      <c r="D201" s="1098" t="n"/>
      <c r="E201" s="306" t="n"/>
      <c r="F201" s="598" t="n"/>
      <c r="G201" s="599" t="n"/>
      <c r="H201" s="600" t="n"/>
      <c r="I201" s="599" t="n"/>
      <c r="J201" s="601" t="n"/>
      <c r="K201" s="601" t="n"/>
      <c r="L201" s="601" t="n"/>
      <c r="M201" s="1099" t="n"/>
      <c r="N201" s="1100" t="n"/>
      <c r="O201" s="1101" t="n"/>
      <c r="P201" s="1102" t="n"/>
      <c r="Q201" s="1102" t="n"/>
      <c r="R201" s="1103" t="n"/>
      <c r="S201" s="1104" t="n"/>
      <c r="T201" s="1097" t="n"/>
      <c r="U201" s="988" t="n"/>
      <c r="V201" s="988" t="n"/>
      <c r="W201" s="988" t="n"/>
      <c r="X201" s="988" t="n"/>
    </row>
    <row r="202" ht="11.25" customFormat="1" customHeight="1" s="989">
      <c r="A202" s="537" t="n"/>
      <c r="B202" s="1098" t="n"/>
      <c r="C202" s="1098" t="n"/>
      <c r="D202" s="1098" t="n"/>
      <c r="E202" s="306" t="n"/>
      <c r="F202" s="598" t="n"/>
      <c r="G202" s="599" t="n"/>
      <c r="H202" s="600" t="n"/>
      <c r="I202" s="599" t="n"/>
      <c r="J202" s="601" t="n"/>
      <c r="K202" s="601" t="n"/>
      <c r="L202" s="601" t="n"/>
      <c r="M202" s="1099" t="n"/>
      <c r="N202" s="1100" t="n"/>
      <c r="O202" s="1101" t="n"/>
      <c r="P202" s="1102" t="n"/>
      <c r="Q202" s="1102" t="n"/>
      <c r="R202" s="1103" t="n"/>
      <c r="S202" s="1104" t="n"/>
      <c r="T202" s="1097" t="n"/>
      <c r="U202" s="988" t="n"/>
      <c r="V202" s="988" t="n"/>
      <c r="W202" s="988" t="n"/>
      <c r="X202" s="988" t="n"/>
    </row>
    <row r="203" ht="11.25" customFormat="1" customHeight="1" s="989">
      <c r="A203" s="537" t="n"/>
      <c r="B203" s="1098" t="n"/>
      <c r="C203" s="1098" t="n"/>
      <c r="D203" s="1098" t="n"/>
      <c r="E203" s="306" t="n"/>
      <c r="F203" s="598" t="n"/>
      <c r="G203" s="599" t="n"/>
      <c r="H203" s="600" t="n"/>
      <c r="I203" s="599" t="n"/>
      <c r="J203" s="601" t="n"/>
      <c r="K203" s="601" t="n"/>
      <c r="L203" s="601" t="n"/>
      <c r="M203" s="1099" t="n"/>
      <c r="N203" s="1100" t="n"/>
      <c r="O203" s="1101" t="n"/>
      <c r="P203" s="1102" t="n"/>
      <c r="Q203" s="1102" t="n"/>
      <c r="R203" s="1103" t="n"/>
      <c r="S203" s="1104" t="n"/>
      <c r="T203" s="1097" t="n"/>
      <c r="U203" s="988" t="n"/>
      <c r="V203" s="988" t="n"/>
      <c r="W203" s="988" t="n"/>
      <c r="X203" s="988" t="n"/>
    </row>
    <row r="204" ht="12" customFormat="1" customHeight="1" s="1089">
      <c r="A204" s="537" t="n"/>
      <c r="B204" s="1098" t="n"/>
      <c r="C204" s="1098" t="n"/>
      <c r="D204" s="1098" t="n"/>
      <c r="E204" s="306" t="n"/>
      <c r="F204" s="598" t="n"/>
      <c r="G204" s="599" t="n"/>
      <c r="H204" s="600" t="n"/>
      <c r="I204" s="599" t="n"/>
      <c r="J204" s="601" t="n"/>
      <c r="K204" s="601" t="n"/>
      <c r="L204" s="601" t="n"/>
      <c r="M204" s="1099" t="n"/>
      <c r="N204" s="1100" t="n"/>
      <c r="O204" s="1101" t="n"/>
      <c r="P204" s="1102" t="n"/>
      <c r="Q204" s="1102" t="n"/>
      <c r="R204" s="1103" t="n"/>
      <c r="S204" s="1104" t="n"/>
      <c r="T204" s="1097" t="n"/>
      <c r="U204" s="988" t="n"/>
      <c r="V204" s="988" t="n"/>
      <c r="W204" s="988" t="n"/>
      <c r="X204" s="988" t="n"/>
    </row>
    <row r="205" ht="12" customFormat="1" customHeight="1" s="1089">
      <c r="A205" s="537" t="n"/>
      <c r="B205" s="1098" t="n"/>
      <c r="C205" s="1098" t="n"/>
      <c r="D205" s="1098" t="n"/>
      <c r="E205" s="306" t="n"/>
      <c r="F205" s="598" t="n"/>
      <c r="G205" s="599" t="n"/>
      <c r="H205" s="600" t="n"/>
      <c r="I205" s="599" t="n"/>
      <c r="J205" s="601" t="n"/>
      <c r="K205" s="601" t="n"/>
      <c r="L205" s="601" t="n"/>
      <c r="M205" s="1099" t="n"/>
      <c r="N205" s="1100" t="n"/>
      <c r="O205" s="1101" t="n"/>
      <c r="P205" s="1102" t="n"/>
      <c r="Q205" s="1102" t="n"/>
      <c r="R205" s="1103" t="n"/>
      <c r="S205" s="1104" t="n"/>
      <c r="T205" s="1097" t="n"/>
      <c r="U205" s="988" t="n"/>
      <c r="V205" s="988" t="n"/>
      <c r="W205" s="988" t="n"/>
      <c r="X205" s="988" t="n"/>
    </row>
    <row r="206" ht="11.25" customFormat="1" customHeight="1" s="989">
      <c r="A206" s="537" t="n"/>
      <c r="B206" s="1098" t="n"/>
      <c r="C206" s="1098" t="n"/>
      <c r="D206" s="1098" t="n"/>
      <c r="E206" s="306" t="n"/>
      <c r="F206" s="598" t="n"/>
      <c r="G206" s="599" t="n"/>
      <c r="H206" s="600" t="n"/>
      <c r="I206" s="599" t="n"/>
      <c r="J206" s="601" t="n"/>
      <c r="K206" s="601" t="n"/>
      <c r="L206" s="601" t="n"/>
      <c r="M206" s="1099" t="n"/>
      <c r="N206" s="1100" t="n"/>
      <c r="O206" s="1101" t="n"/>
      <c r="P206" s="1102" t="n"/>
      <c r="Q206" s="1102" t="n"/>
      <c r="R206" s="1103" t="n"/>
      <c r="S206" s="1104" t="n"/>
      <c r="T206" s="1097" t="n"/>
      <c r="U206" s="988" t="n"/>
      <c r="V206" s="988" t="n"/>
      <c r="W206" s="988" t="n"/>
      <c r="X206" s="988" t="n"/>
    </row>
    <row r="207" ht="11.25" customFormat="1" customHeight="1" s="989">
      <c r="A207" s="537" t="n"/>
      <c r="B207" s="1098" t="n"/>
      <c r="C207" s="1098" t="n"/>
      <c r="D207" s="1098" t="n"/>
      <c r="E207" s="306" t="n"/>
      <c r="F207" s="598" t="n"/>
      <c r="G207" s="599" t="n"/>
      <c r="H207" s="600" t="n"/>
      <c r="I207" s="599" t="n"/>
      <c r="J207" s="601" t="n"/>
      <c r="K207" s="601" t="n"/>
      <c r="L207" s="601" t="n"/>
      <c r="M207" s="1099" t="n"/>
      <c r="N207" s="1100" t="n"/>
      <c r="O207" s="1101" t="n"/>
      <c r="P207" s="1102" t="n"/>
      <c r="Q207" s="1102" t="n"/>
      <c r="R207" s="1103" t="n"/>
      <c r="S207" s="1104" t="n"/>
      <c r="T207" s="1097" t="n"/>
      <c r="U207" s="988" t="n"/>
      <c r="V207" s="988" t="n"/>
      <c r="W207" s="988" t="n"/>
      <c r="X207" s="988" t="n"/>
    </row>
    <row r="208" ht="11.25" customFormat="1" customHeight="1" s="989">
      <c r="A208" s="537" t="n"/>
      <c r="B208" s="1098" t="n"/>
      <c r="C208" s="1098" t="n"/>
      <c r="D208" s="1098" t="n"/>
      <c r="E208" s="306" t="n"/>
      <c r="F208" s="598" t="n"/>
      <c r="G208" s="599" t="n"/>
      <c r="H208" s="600" t="n"/>
      <c r="I208" s="599" t="n"/>
      <c r="J208" s="601" t="n"/>
      <c r="K208" s="601" t="n"/>
      <c r="L208" s="601" t="n"/>
      <c r="M208" s="1099" t="n"/>
      <c r="N208" s="1100" t="n"/>
      <c r="O208" s="1101" t="n"/>
      <c r="P208" s="1102" t="n"/>
      <c r="Q208" s="1102" t="n"/>
      <c r="R208" s="1103" t="n"/>
      <c r="S208" s="1104" t="n"/>
      <c r="T208" s="1097" t="n"/>
      <c r="U208" s="988" t="n"/>
      <c r="V208" s="988" t="n"/>
      <c r="W208" s="988" t="n"/>
      <c r="X208" s="988" t="n"/>
    </row>
    <row r="209" ht="11.25" customFormat="1" customHeight="1" s="989">
      <c r="A209" s="537" t="n"/>
      <c r="B209" s="1098" t="n"/>
      <c r="C209" s="1098" t="n"/>
      <c r="D209" s="1098" t="n"/>
      <c r="E209" s="306" t="n"/>
      <c r="F209" s="598" t="n"/>
      <c r="G209" s="599" t="n"/>
      <c r="H209" s="600" t="n"/>
      <c r="I209" s="599" t="n"/>
      <c r="J209" s="601" t="n"/>
      <c r="K209" s="601" t="n"/>
      <c r="L209" s="601" t="n"/>
      <c r="M209" s="1099" t="n"/>
      <c r="N209" s="1100" t="n"/>
      <c r="O209" s="1101" t="n"/>
      <c r="P209" s="1102" t="n"/>
      <c r="Q209" s="1102" t="n"/>
      <c r="R209" s="1103" t="n"/>
      <c r="S209" s="1104" t="n"/>
      <c r="T209" s="1097" t="n"/>
      <c r="U209" s="988" t="n"/>
      <c r="V209" s="988" t="n"/>
      <c r="W209" s="988" t="n"/>
      <c r="X209" s="988" t="n"/>
    </row>
    <row r="210" ht="11.25" customFormat="1" customHeight="1" s="989">
      <c r="A210" s="537" t="n"/>
      <c r="B210" s="1098" t="n"/>
      <c r="C210" s="1098" t="n"/>
      <c r="D210" s="1098" t="n"/>
      <c r="E210" s="306" t="n"/>
      <c r="F210" s="598" t="n"/>
      <c r="G210" s="599" t="n"/>
      <c r="H210" s="600" t="n"/>
      <c r="I210" s="599" t="n"/>
      <c r="J210" s="601" t="n"/>
      <c r="K210" s="601" t="n"/>
      <c r="L210" s="601" t="n"/>
      <c r="M210" s="1099" t="n"/>
      <c r="N210" s="1100" t="n"/>
      <c r="O210" s="1101" t="n"/>
      <c r="P210" s="1102" t="n"/>
      <c r="Q210" s="1102" t="n"/>
      <c r="R210" s="1103" t="n"/>
      <c r="S210" s="1104" t="n"/>
      <c r="T210" s="1097" t="n"/>
      <c r="U210" s="988" t="n"/>
      <c r="V210" s="988" t="n"/>
      <c r="W210" s="988" t="n"/>
      <c r="X210" s="988" t="n"/>
    </row>
    <row r="211" ht="11.25" customFormat="1" customHeight="1" s="989">
      <c r="A211" s="537" t="n"/>
      <c r="B211" s="1098" t="n"/>
      <c r="C211" s="1098" t="n"/>
      <c r="D211" s="1098" t="n"/>
      <c r="E211" s="306" t="n"/>
      <c r="F211" s="598" t="n"/>
      <c r="G211" s="599" t="n"/>
      <c r="H211" s="600" t="n"/>
      <c r="I211" s="599" t="n"/>
      <c r="J211" s="601" t="n"/>
      <c r="K211" s="601" t="n"/>
      <c r="L211" s="601" t="n"/>
      <c r="M211" s="1099" t="n"/>
      <c r="N211" s="1100" t="n"/>
      <c r="O211" s="1101" t="n"/>
      <c r="P211" s="1102" t="n"/>
      <c r="Q211" s="1102" t="n"/>
      <c r="R211" s="1103" t="n"/>
      <c r="S211" s="1104" t="n"/>
      <c r="T211" s="1097" t="n"/>
      <c r="U211" s="988" t="n"/>
      <c r="V211" s="988" t="n"/>
      <c r="W211" s="988" t="n"/>
      <c r="X211" s="988" t="n"/>
    </row>
    <row r="212" ht="11.25" customFormat="1" customHeight="1" s="989">
      <c r="A212" s="537" t="n"/>
      <c r="B212" s="1098" t="n"/>
      <c r="C212" s="1098" t="n"/>
      <c r="D212" s="1098" t="n"/>
      <c r="E212" s="306" t="n"/>
      <c r="F212" s="598" t="n"/>
      <c r="G212" s="599" t="n"/>
      <c r="H212" s="600" t="n"/>
      <c r="I212" s="599" t="n"/>
      <c r="J212" s="601" t="n"/>
      <c r="K212" s="601" t="n"/>
      <c r="L212" s="601" t="n"/>
      <c r="M212" s="1099" t="n"/>
      <c r="N212" s="1100" t="n"/>
      <c r="O212" s="1101" t="n"/>
      <c r="P212" s="1102" t="n"/>
      <c r="Q212" s="1102" t="n"/>
      <c r="R212" s="1103" t="n"/>
      <c r="S212" s="1104" t="n"/>
      <c r="T212" s="1097" t="n"/>
      <c r="U212" s="988" t="n"/>
      <c r="V212" s="988" t="n"/>
      <c r="W212" s="988" t="n"/>
      <c r="X212" s="988" t="n"/>
    </row>
    <row r="213" ht="11.25" customFormat="1" customHeight="1" s="989">
      <c r="A213" s="537" t="n"/>
      <c r="B213" s="1098" t="n"/>
      <c r="C213" s="1098" t="n"/>
      <c r="D213" s="1098" t="n"/>
      <c r="E213" s="306" t="n"/>
      <c r="F213" s="598" t="n"/>
      <c r="G213" s="599" t="n"/>
      <c r="H213" s="600" t="n"/>
      <c r="I213" s="599" t="n"/>
      <c r="J213" s="601" t="n"/>
      <c r="K213" s="601" t="n"/>
      <c r="L213" s="601" t="n"/>
      <c r="M213" s="1099" t="n"/>
      <c r="N213" s="1100" t="n"/>
      <c r="O213" s="1101" t="n"/>
      <c r="P213" s="1102" t="n"/>
      <c r="Q213" s="1102" t="n"/>
      <c r="R213" s="1103" t="n"/>
      <c r="S213" s="1104" t="n"/>
      <c r="T213" s="1097" t="n"/>
      <c r="U213" s="988" t="n"/>
      <c r="V213" s="988" t="n"/>
      <c r="W213" s="988" t="n"/>
      <c r="X213" s="988" t="n"/>
    </row>
    <row r="214" ht="11.25" customFormat="1" customHeight="1" s="989">
      <c r="A214" s="537" t="n"/>
      <c r="B214" s="1098" t="n"/>
      <c r="C214" s="1098" t="n"/>
      <c r="D214" s="1098" t="n"/>
      <c r="E214" s="306" t="n"/>
      <c r="F214" s="598" t="n"/>
      <c r="G214" s="599" t="n"/>
      <c r="H214" s="600" t="n"/>
      <c r="I214" s="599" t="n"/>
      <c r="J214" s="601" t="n"/>
      <c r="K214" s="601" t="n"/>
      <c r="L214" s="601" t="n"/>
      <c r="M214" s="1099" t="n"/>
      <c r="N214" s="1100" t="n"/>
      <c r="O214" s="1101" t="n"/>
      <c r="P214" s="1102" t="n"/>
      <c r="Q214" s="1102" t="n"/>
      <c r="R214" s="1103" t="n"/>
      <c r="S214" s="1104" t="n"/>
      <c r="T214" s="1097" t="n"/>
      <c r="U214" s="988" t="n"/>
      <c r="V214" s="988" t="n"/>
      <c r="W214" s="988" t="n"/>
      <c r="X214" s="988" t="n"/>
    </row>
    <row r="215" ht="12" customFormat="1" customHeight="1" s="1089">
      <c r="A215" s="537" t="n"/>
      <c r="B215" s="1098" t="n"/>
      <c r="C215" s="1098" t="n"/>
      <c r="D215" s="1098" t="n"/>
      <c r="E215" s="306" t="n"/>
      <c r="F215" s="598" t="n"/>
      <c r="G215" s="599" t="n"/>
      <c r="H215" s="600" t="n"/>
      <c r="I215" s="599" t="n"/>
      <c r="J215" s="601" t="n"/>
      <c r="K215" s="601" t="n"/>
      <c r="L215" s="601" t="n"/>
      <c r="M215" s="1099" t="n"/>
      <c r="N215" s="1100" t="n"/>
      <c r="O215" s="1101" t="n"/>
      <c r="P215" s="1102" t="n"/>
      <c r="Q215" s="1102" t="n"/>
      <c r="R215" s="1103" t="n"/>
      <c r="S215" s="1104" t="n"/>
      <c r="T215" s="1097" t="n"/>
      <c r="U215" s="988" t="n"/>
      <c r="V215" s="988" t="n"/>
      <c r="W215" s="988" t="n"/>
      <c r="X215" s="988" t="n"/>
    </row>
    <row r="216" ht="12" customFormat="1" customHeight="1" s="1089">
      <c r="A216" s="537" t="n"/>
      <c r="B216" s="1098" t="n"/>
      <c r="C216" s="1098" t="n"/>
      <c r="D216" s="1098" t="n"/>
      <c r="E216" s="306" t="n"/>
      <c r="F216" s="598" t="n"/>
      <c r="G216" s="599" t="n"/>
      <c r="H216" s="600" t="n"/>
      <c r="I216" s="599" t="n"/>
      <c r="J216" s="601" t="n"/>
      <c r="K216" s="601" t="n"/>
      <c r="L216" s="601" t="n"/>
      <c r="M216" s="1099" t="n"/>
      <c r="N216" s="1100" t="n"/>
      <c r="O216" s="1101" t="n"/>
      <c r="P216" s="1102" t="n"/>
      <c r="Q216" s="1102" t="n"/>
      <c r="R216" s="1103" t="n"/>
      <c r="S216" s="1104" t="n"/>
      <c r="T216" s="1097" t="n"/>
      <c r="U216" s="988" t="n"/>
      <c r="V216" s="988" t="n"/>
      <c r="W216" s="988" t="n"/>
      <c r="X216" s="988" t="n"/>
    </row>
    <row r="217" ht="11.25" customFormat="1" customHeight="1" s="989">
      <c r="A217" s="537" t="n"/>
      <c r="B217" s="1098" t="n"/>
      <c r="C217" s="1098" t="n"/>
      <c r="D217" s="1098" t="n"/>
      <c r="E217" s="306" t="n"/>
      <c r="F217" s="598" t="n"/>
      <c r="G217" s="599" t="n"/>
      <c r="H217" s="600" t="n"/>
      <c r="I217" s="599" t="n"/>
      <c r="J217" s="601" t="n"/>
      <c r="K217" s="601" t="n"/>
      <c r="L217" s="601" t="n"/>
      <c r="M217" s="1099" t="n"/>
      <c r="N217" s="1100" t="n"/>
      <c r="O217" s="1101" t="n"/>
      <c r="P217" s="1102" t="n"/>
      <c r="Q217" s="1102" t="n"/>
      <c r="R217" s="1103" t="n"/>
      <c r="S217" s="1104" t="n"/>
      <c r="T217" s="1097" t="n"/>
      <c r="U217" s="988" t="n"/>
      <c r="V217" s="988" t="n"/>
      <c r="W217" s="988" t="n"/>
      <c r="X217" s="988" t="n"/>
    </row>
    <row r="218" ht="11.25" customFormat="1" customHeight="1" s="989">
      <c r="A218" s="537" t="n"/>
      <c r="B218" s="1098" t="n"/>
      <c r="C218" s="1098" t="n"/>
      <c r="D218" s="1098" t="n"/>
      <c r="E218" s="306" t="n"/>
      <c r="F218" s="598" t="n"/>
      <c r="G218" s="599" t="n"/>
      <c r="H218" s="600" t="n"/>
      <c r="I218" s="599" t="n"/>
      <c r="J218" s="601" t="n"/>
      <c r="K218" s="601" t="n"/>
      <c r="L218" s="601" t="n"/>
      <c r="M218" s="1099" t="n"/>
      <c r="N218" s="1100" t="n"/>
      <c r="O218" s="1101" t="n"/>
      <c r="P218" s="1102" t="n"/>
      <c r="Q218" s="1102" t="n"/>
      <c r="R218" s="1103" t="n"/>
      <c r="S218" s="1104" t="n"/>
      <c r="T218" s="1097" t="n"/>
      <c r="U218" s="988" t="n"/>
      <c r="V218" s="988" t="n"/>
      <c r="W218" s="988" t="n"/>
      <c r="X218" s="988" t="n"/>
    </row>
    <row r="219" ht="11.25" customFormat="1" customHeight="1" s="989">
      <c r="A219" s="537" t="n"/>
      <c r="B219" s="1098" t="n"/>
      <c r="C219" s="1098" t="n"/>
      <c r="D219" s="1098" t="n"/>
      <c r="E219" s="306" t="n"/>
      <c r="F219" s="598" t="n"/>
      <c r="G219" s="599" t="n"/>
      <c r="H219" s="600" t="n"/>
      <c r="I219" s="599" t="n"/>
      <c r="J219" s="601" t="n"/>
      <c r="K219" s="601" t="n"/>
      <c r="L219" s="601" t="n"/>
      <c r="M219" s="1099" t="n"/>
      <c r="N219" s="1100" t="n"/>
      <c r="O219" s="1101" t="n"/>
      <c r="P219" s="1102" t="n"/>
      <c r="Q219" s="1102" t="n"/>
      <c r="R219" s="1103" t="n"/>
      <c r="S219" s="1104" t="n"/>
      <c r="T219" s="1097" t="n"/>
      <c r="U219" s="988" t="n"/>
      <c r="V219" s="988" t="n"/>
      <c r="W219" s="988" t="n"/>
      <c r="X219" s="988" t="n"/>
    </row>
    <row r="220" ht="11.25" customFormat="1" customHeight="1" s="989">
      <c r="A220" s="537" t="n"/>
      <c r="B220" s="1098" t="n"/>
      <c r="C220" s="1098" t="n"/>
      <c r="D220" s="1098" t="n"/>
      <c r="E220" s="306" t="n"/>
      <c r="F220" s="598" t="n"/>
      <c r="G220" s="599" t="n"/>
      <c r="H220" s="600" t="n"/>
      <c r="I220" s="599" t="n"/>
      <c r="J220" s="601" t="n"/>
      <c r="K220" s="601" t="n"/>
      <c r="L220" s="601" t="n"/>
      <c r="M220" s="1099" t="n"/>
      <c r="N220" s="1100" t="n"/>
      <c r="O220" s="1101" t="n"/>
      <c r="P220" s="1102" t="n"/>
      <c r="Q220" s="1102" t="n"/>
      <c r="R220" s="1103" t="n"/>
      <c r="S220" s="1104" t="n"/>
      <c r="T220" s="1097" t="n"/>
      <c r="U220" s="988" t="n"/>
      <c r="V220" s="988" t="n"/>
      <c r="W220" s="988" t="n"/>
      <c r="X220" s="988" t="n"/>
    </row>
    <row r="221" ht="11.25" customFormat="1" customHeight="1" s="989">
      <c r="A221" s="537" t="n"/>
      <c r="B221" s="1098" t="n"/>
      <c r="C221" s="1098" t="n"/>
      <c r="D221" s="1098" t="n"/>
      <c r="E221" s="306" t="n"/>
      <c r="F221" s="598" t="n"/>
      <c r="G221" s="599" t="n"/>
      <c r="H221" s="600" t="n"/>
      <c r="I221" s="599" t="n"/>
      <c r="J221" s="601" t="n"/>
      <c r="K221" s="601" t="n"/>
      <c r="L221" s="601" t="n"/>
      <c r="M221" s="1099" t="n"/>
      <c r="N221" s="1100" t="n"/>
      <c r="O221" s="1101" t="n"/>
      <c r="P221" s="1102" t="n"/>
      <c r="Q221" s="1102" t="n"/>
      <c r="R221" s="1103" t="n"/>
      <c r="S221" s="1104" t="n"/>
      <c r="T221" s="1097" t="n"/>
      <c r="U221" s="988" t="n"/>
      <c r="V221" s="988" t="n"/>
      <c r="W221" s="988" t="n"/>
      <c r="X221" s="988" t="n"/>
    </row>
    <row r="222" ht="11.25" customFormat="1" customHeight="1" s="989">
      <c r="A222" s="537" t="n"/>
      <c r="B222" s="1098" t="n"/>
      <c r="C222" s="1098" t="n"/>
      <c r="D222" s="1098" t="n"/>
      <c r="E222" s="306" t="n"/>
      <c r="F222" s="598" t="n"/>
      <c r="G222" s="599" t="n"/>
      <c r="H222" s="600" t="n"/>
      <c r="I222" s="599" t="n"/>
      <c r="J222" s="601" t="n"/>
      <c r="K222" s="601" t="n"/>
      <c r="L222" s="601" t="n"/>
      <c r="M222" s="1099" t="n"/>
      <c r="N222" s="1100" t="n"/>
      <c r="O222" s="1101" t="n"/>
      <c r="P222" s="1102" t="n"/>
      <c r="Q222" s="1102" t="n"/>
      <c r="R222" s="1103" t="n"/>
      <c r="S222" s="1104" t="n"/>
      <c r="T222" s="1097" t="n"/>
      <c r="U222" s="988" t="n"/>
      <c r="V222" s="988" t="n"/>
      <c r="W222" s="988" t="n"/>
      <c r="X222" s="988" t="n"/>
    </row>
    <row r="223" ht="12" customFormat="1" customHeight="1" s="1089">
      <c r="A223" s="537" t="n"/>
      <c r="B223" s="1098" t="n"/>
      <c r="C223" s="1098" t="n"/>
      <c r="D223" s="1098" t="n"/>
      <c r="E223" s="306" t="n"/>
      <c r="F223" s="598" t="n"/>
      <c r="G223" s="599" t="n"/>
      <c r="H223" s="600" t="n"/>
      <c r="I223" s="599" t="n"/>
      <c r="J223" s="601" t="n"/>
      <c r="K223" s="601" t="n"/>
      <c r="L223" s="601" t="n"/>
      <c r="M223" s="1099" t="n"/>
      <c r="N223" s="1100" t="n"/>
      <c r="O223" s="1101" t="n"/>
      <c r="P223" s="1102" t="n"/>
      <c r="Q223" s="1102" t="n"/>
      <c r="R223" s="1103" t="n"/>
      <c r="S223" s="1104" t="n"/>
      <c r="T223" s="1097" t="n"/>
      <c r="U223" s="988" t="n"/>
      <c r="V223" s="988" t="n"/>
      <c r="W223" s="988" t="n"/>
      <c r="X223" s="988" t="n"/>
    </row>
    <row r="224" ht="12" customFormat="1" customHeight="1" s="1089">
      <c r="A224" s="537" t="n"/>
      <c r="B224" s="1098" t="n"/>
      <c r="C224" s="1098" t="n"/>
      <c r="D224" s="1098" t="n"/>
      <c r="E224" s="306" t="n"/>
      <c r="F224" s="598" t="n"/>
      <c r="G224" s="599" t="n"/>
      <c r="H224" s="600" t="n"/>
      <c r="I224" s="599" t="n"/>
      <c r="J224" s="601" t="n"/>
      <c r="K224" s="601" t="n"/>
      <c r="L224" s="601" t="n"/>
      <c r="M224" s="1099" t="n"/>
      <c r="N224" s="1100" t="n"/>
      <c r="O224" s="1101" t="n"/>
      <c r="P224" s="1102" t="n"/>
      <c r="Q224" s="1102" t="n"/>
      <c r="R224" s="1103" t="n"/>
      <c r="S224" s="1104" t="n"/>
      <c r="T224" s="1097" t="n"/>
      <c r="U224" s="988" t="n"/>
      <c r="V224" s="988" t="n"/>
      <c r="W224" s="988" t="n"/>
      <c r="X224" s="988" t="n"/>
    </row>
    <row r="225" ht="11.25" customFormat="1" customHeight="1" s="989">
      <c r="A225" s="537" t="n"/>
      <c r="B225" s="1098" t="n"/>
      <c r="C225" s="1098" t="n"/>
      <c r="D225" s="1098" t="n"/>
      <c r="E225" s="306" t="n"/>
      <c r="F225" s="598" t="n"/>
      <c r="G225" s="599" t="n"/>
      <c r="H225" s="600" t="n"/>
      <c r="I225" s="599" t="n"/>
      <c r="J225" s="601" t="n"/>
      <c r="K225" s="601" t="n"/>
      <c r="L225" s="601" t="n"/>
      <c r="M225" s="1099" t="n"/>
      <c r="N225" s="1100" t="n"/>
      <c r="O225" s="1101" t="n"/>
      <c r="P225" s="1102" t="n"/>
      <c r="Q225" s="1102" t="n"/>
      <c r="R225" s="1103" t="n"/>
      <c r="S225" s="1104" t="n"/>
      <c r="T225" s="1097" t="n"/>
      <c r="U225" s="988" t="n"/>
      <c r="V225" s="988" t="n"/>
      <c r="W225" s="988" t="n"/>
      <c r="X225" s="988" t="n"/>
    </row>
    <row r="226" ht="11.25" customFormat="1" customHeight="1" s="989">
      <c r="A226" s="537" t="n"/>
      <c r="B226" s="1098" t="n"/>
      <c r="C226" s="1098" t="n"/>
      <c r="D226" s="1098" t="n"/>
      <c r="E226" s="306" t="n"/>
      <c r="F226" s="598" t="n"/>
      <c r="G226" s="599" t="n"/>
      <c r="H226" s="600" t="n"/>
      <c r="I226" s="599" t="n"/>
      <c r="J226" s="601" t="n"/>
      <c r="K226" s="601" t="n"/>
      <c r="L226" s="601" t="n"/>
      <c r="M226" s="1099" t="n"/>
      <c r="N226" s="1100" t="n"/>
      <c r="O226" s="1101" t="n"/>
      <c r="P226" s="1102" t="n"/>
      <c r="Q226" s="1102" t="n"/>
      <c r="R226" s="1103" t="n"/>
      <c r="S226" s="1104" t="n"/>
      <c r="T226" s="1097" t="n"/>
      <c r="U226" s="988" t="n"/>
      <c r="V226" s="988" t="n"/>
      <c r="W226" s="988" t="n"/>
      <c r="X226" s="988" t="n"/>
    </row>
    <row r="227" ht="11.25" customFormat="1" customHeight="1" s="989">
      <c r="A227" s="537" t="n"/>
      <c r="B227" s="1098" t="n"/>
      <c r="C227" s="1098" t="n"/>
      <c r="D227" s="1098" t="n"/>
      <c r="E227" s="306" t="n"/>
      <c r="F227" s="598" t="n"/>
      <c r="G227" s="599" t="n"/>
      <c r="H227" s="600" t="n"/>
      <c r="I227" s="599" t="n"/>
      <c r="J227" s="601" t="n"/>
      <c r="K227" s="601" t="n"/>
      <c r="L227" s="601" t="n"/>
      <c r="M227" s="1099" t="n"/>
      <c r="N227" s="1100" t="n"/>
      <c r="O227" s="1101" t="n"/>
      <c r="P227" s="1102" t="n"/>
      <c r="Q227" s="1102" t="n"/>
      <c r="R227" s="1103" t="n"/>
      <c r="S227" s="1104" t="n"/>
      <c r="T227" s="1097" t="n"/>
      <c r="U227" s="988" t="n"/>
      <c r="V227" s="988" t="n"/>
      <c r="W227" s="988" t="n"/>
      <c r="X227" s="988" t="n"/>
    </row>
    <row r="228" ht="11.25" customFormat="1" customHeight="1" s="989">
      <c r="A228" s="537" t="n"/>
      <c r="B228" s="1098" t="n"/>
      <c r="C228" s="1098" t="n"/>
      <c r="D228" s="1098" t="n"/>
      <c r="E228" s="306" t="n"/>
      <c r="F228" s="598" t="n"/>
      <c r="G228" s="599" t="n"/>
      <c r="H228" s="600" t="n"/>
      <c r="I228" s="599" t="n"/>
      <c r="J228" s="601" t="n"/>
      <c r="K228" s="601" t="n"/>
      <c r="L228" s="601" t="n"/>
      <c r="M228" s="1099" t="n"/>
      <c r="N228" s="1100" t="n"/>
      <c r="O228" s="1101" t="n"/>
      <c r="P228" s="1102" t="n"/>
      <c r="Q228" s="1102" t="n"/>
      <c r="R228" s="1103" t="n"/>
      <c r="S228" s="1104" t="n"/>
      <c r="T228" s="1097" t="n"/>
      <c r="U228" s="988" t="n"/>
      <c r="V228" s="988" t="n"/>
      <c r="W228" s="988" t="n"/>
      <c r="X228" s="988" t="n"/>
    </row>
    <row r="229" ht="11.25" customFormat="1" customHeight="1" s="989">
      <c r="A229" s="537" t="n"/>
      <c r="B229" s="1098" t="n"/>
      <c r="C229" s="1098" t="n"/>
      <c r="D229" s="1098" t="n"/>
      <c r="E229" s="306" t="n"/>
      <c r="F229" s="598" t="n"/>
      <c r="G229" s="599" t="n"/>
      <c r="H229" s="600" t="n"/>
      <c r="I229" s="599" t="n"/>
      <c r="J229" s="601" t="n"/>
      <c r="K229" s="601" t="n"/>
      <c r="L229" s="601" t="n"/>
      <c r="M229" s="1099" t="n"/>
      <c r="N229" s="1100" t="n"/>
      <c r="O229" s="1101" t="n"/>
      <c r="P229" s="1102" t="n"/>
      <c r="Q229" s="1102" t="n"/>
      <c r="R229" s="1103" t="n"/>
      <c r="S229" s="1104" t="n"/>
      <c r="T229" s="1097" t="n"/>
      <c r="U229" s="988" t="n"/>
      <c r="V229" s="988" t="n"/>
      <c r="W229" s="988" t="n"/>
      <c r="X229" s="988" t="n"/>
    </row>
    <row r="230" ht="11.25" customFormat="1" customHeight="1" s="989">
      <c r="A230" s="537" t="n"/>
      <c r="B230" s="1098" t="n"/>
      <c r="C230" s="1098" t="n"/>
      <c r="D230" s="1098" t="n"/>
      <c r="E230" s="306" t="n"/>
      <c r="F230" s="598" t="n"/>
      <c r="G230" s="599" t="n"/>
      <c r="H230" s="600" t="n"/>
      <c r="I230" s="599" t="n"/>
      <c r="J230" s="601" t="n"/>
      <c r="K230" s="601" t="n"/>
      <c r="L230" s="601" t="n"/>
      <c r="M230" s="1099" t="n"/>
      <c r="N230" s="1100" t="n"/>
      <c r="O230" s="1101" t="n"/>
      <c r="P230" s="1102" t="n"/>
      <c r="Q230" s="1102" t="n"/>
      <c r="R230" s="1103" t="n"/>
      <c r="S230" s="1104" t="n"/>
      <c r="T230" s="1097" t="n"/>
      <c r="U230" s="988" t="n"/>
      <c r="V230" s="988" t="n"/>
      <c r="W230" s="988" t="n"/>
      <c r="X230" s="988" t="n"/>
    </row>
    <row r="231" ht="12" customFormat="1" customHeight="1" s="1089">
      <c r="A231" s="537" t="n"/>
      <c r="B231" s="1098" t="n"/>
      <c r="C231" s="1098" t="n"/>
      <c r="D231" s="1098" t="n"/>
      <c r="E231" s="306" t="n"/>
      <c r="F231" s="598" t="n"/>
      <c r="G231" s="599" t="n"/>
      <c r="H231" s="600" t="n"/>
      <c r="I231" s="599" t="n"/>
      <c r="J231" s="601" t="n"/>
      <c r="K231" s="601" t="n"/>
      <c r="L231" s="601" t="n"/>
      <c r="M231" s="1099" t="n"/>
      <c r="N231" s="1100" t="n"/>
      <c r="O231" s="1101" t="n"/>
      <c r="P231" s="1102" t="n"/>
      <c r="Q231" s="1102" t="n"/>
      <c r="R231" s="1103" t="n"/>
      <c r="S231" s="1104" t="n"/>
      <c r="T231" s="1097" t="n"/>
      <c r="U231" s="988" t="n"/>
      <c r="V231" s="988" t="n"/>
      <c r="W231" s="988" t="n"/>
      <c r="X231" s="988" t="n"/>
    </row>
    <row r="232" ht="12" customFormat="1" customHeight="1" s="1089">
      <c r="A232" s="537" t="n"/>
      <c r="B232" s="1098" t="n"/>
      <c r="C232" s="1098" t="n"/>
      <c r="D232" s="1098" t="n"/>
      <c r="E232" s="306" t="n"/>
      <c r="F232" s="598" t="n"/>
      <c r="G232" s="599" t="n"/>
      <c r="H232" s="600" t="n"/>
      <c r="I232" s="599" t="n"/>
      <c r="J232" s="601" t="n"/>
      <c r="K232" s="601" t="n"/>
      <c r="L232" s="601" t="n"/>
      <c r="M232" s="1099" t="n"/>
      <c r="N232" s="1100" t="n"/>
      <c r="O232" s="1101" t="n"/>
      <c r="P232" s="1102" t="n"/>
      <c r="Q232" s="1102" t="n"/>
      <c r="R232" s="1103" t="n"/>
      <c r="S232" s="1104" t="n"/>
      <c r="T232" s="1097" t="n"/>
      <c r="U232" s="988" t="n"/>
      <c r="V232" s="988" t="n"/>
      <c r="W232" s="988" t="n"/>
      <c r="X232" s="988" t="n"/>
    </row>
    <row r="233" ht="11.25" customFormat="1" customHeight="1" s="989">
      <c r="A233" s="537" t="n"/>
      <c r="B233" s="1098" t="n"/>
      <c r="C233" s="1098" t="n"/>
      <c r="D233" s="1098" t="n"/>
      <c r="E233" s="306" t="n"/>
      <c r="F233" s="598" t="n"/>
      <c r="G233" s="599" t="n"/>
      <c r="H233" s="600" t="n"/>
      <c r="I233" s="599" t="n"/>
      <c r="J233" s="601" t="n"/>
      <c r="K233" s="601" t="n"/>
      <c r="L233" s="601" t="n"/>
      <c r="M233" s="1099" t="n"/>
      <c r="N233" s="1100" t="n"/>
      <c r="O233" s="1101" t="n"/>
      <c r="P233" s="1102" t="n"/>
      <c r="Q233" s="1102" t="n"/>
      <c r="R233" s="1103" t="n"/>
      <c r="S233" s="1104" t="n"/>
      <c r="T233" s="1097" t="n"/>
      <c r="U233" s="988" t="n"/>
      <c r="V233" s="988" t="n"/>
      <c r="W233" s="988" t="n"/>
      <c r="X233" s="988" t="n"/>
    </row>
    <row r="234" ht="11.25" customFormat="1" customHeight="1" s="989">
      <c r="A234" s="537" t="n"/>
      <c r="B234" s="1098" t="n"/>
      <c r="C234" s="1098" t="n"/>
      <c r="D234" s="1098" t="n"/>
      <c r="E234" s="306" t="n"/>
      <c r="F234" s="598" t="n"/>
      <c r="G234" s="599" t="n"/>
      <c r="H234" s="600" t="n"/>
      <c r="I234" s="599" t="n"/>
      <c r="J234" s="601" t="n"/>
      <c r="K234" s="601" t="n"/>
      <c r="L234" s="601" t="n"/>
      <c r="M234" s="1099" t="n"/>
      <c r="N234" s="1100" t="n"/>
      <c r="O234" s="1101" t="n"/>
      <c r="P234" s="1102" t="n"/>
      <c r="Q234" s="1102" t="n"/>
      <c r="R234" s="1103" t="n"/>
      <c r="S234" s="1104" t="n"/>
      <c r="T234" s="1097" t="n"/>
      <c r="U234" s="988" t="n"/>
      <c r="V234" s="988" t="n"/>
      <c r="W234" s="988" t="n"/>
      <c r="X234" s="988" t="n"/>
    </row>
    <row r="235" ht="11.25" customFormat="1" customHeight="1" s="989">
      <c r="A235" s="537" t="n"/>
      <c r="B235" s="1098" t="n"/>
      <c r="C235" s="1098" t="n"/>
      <c r="D235" s="1098" t="n"/>
      <c r="E235" s="306" t="n"/>
      <c r="F235" s="598" t="n"/>
      <c r="G235" s="599" t="n"/>
      <c r="H235" s="600" t="n"/>
      <c r="I235" s="599" t="n"/>
      <c r="J235" s="601" t="n"/>
      <c r="K235" s="601" t="n"/>
      <c r="L235" s="601" t="n"/>
      <c r="M235" s="1099" t="n"/>
      <c r="N235" s="1100" t="n"/>
      <c r="O235" s="1101" t="n"/>
      <c r="P235" s="1102" t="n"/>
      <c r="Q235" s="1102" t="n"/>
      <c r="R235" s="1103" t="n"/>
      <c r="S235" s="1104" t="n"/>
      <c r="T235" s="1097" t="n"/>
      <c r="U235" s="988" t="n"/>
      <c r="V235" s="988" t="n"/>
      <c r="W235" s="988" t="n"/>
      <c r="X235" s="988" t="n"/>
    </row>
    <row r="236" ht="11.25" customFormat="1" customHeight="1" s="989">
      <c r="A236" s="537" t="n"/>
      <c r="B236" s="1098" t="n"/>
      <c r="C236" s="1098" t="n"/>
      <c r="D236" s="1098" t="n"/>
      <c r="E236" s="306" t="n"/>
      <c r="F236" s="598" t="n"/>
      <c r="G236" s="599" t="n"/>
      <c r="H236" s="600" t="n"/>
      <c r="I236" s="599" t="n"/>
      <c r="J236" s="601" t="n"/>
      <c r="K236" s="601" t="n"/>
      <c r="L236" s="601" t="n"/>
      <c r="M236" s="1099" t="n"/>
      <c r="N236" s="1100" t="n"/>
      <c r="O236" s="1101" t="n"/>
      <c r="P236" s="1102" t="n"/>
      <c r="Q236" s="1102" t="n"/>
      <c r="R236" s="1103" t="n"/>
      <c r="S236" s="1104" t="n"/>
      <c r="T236" s="1097" t="n"/>
      <c r="U236" s="988" t="n"/>
      <c r="V236" s="988" t="n"/>
      <c r="W236" s="988" t="n"/>
      <c r="X236" s="988" t="n"/>
    </row>
    <row r="237" ht="11.25" customFormat="1" customHeight="1" s="989">
      <c r="A237" s="537" t="n"/>
      <c r="B237" s="1098" t="n"/>
      <c r="C237" s="1098" t="n"/>
      <c r="D237" s="1098" t="n"/>
      <c r="E237" s="306" t="n"/>
      <c r="F237" s="598" t="n"/>
      <c r="G237" s="599" t="n"/>
      <c r="H237" s="600" t="n"/>
      <c r="I237" s="599" t="n"/>
      <c r="J237" s="601" t="n"/>
      <c r="K237" s="601" t="n"/>
      <c r="L237" s="601" t="n"/>
      <c r="M237" s="1099" t="n"/>
      <c r="N237" s="1100" t="n"/>
      <c r="O237" s="1101" t="n"/>
      <c r="P237" s="1102" t="n"/>
      <c r="Q237" s="1102" t="n"/>
      <c r="R237" s="1103" t="n"/>
      <c r="S237" s="1104" t="n"/>
      <c r="T237" s="1097" t="n"/>
      <c r="U237" s="988" t="n"/>
      <c r="V237" s="988" t="n"/>
      <c r="W237" s="988" t="n"/>
      <c r="X237" s="988" t="n"/>
    </row>
    <row r="238" ht="11.25" customFormat="1" customHeight="1" s="989">
      <c r="A238" s="537" t="n"/>
      <c r="B238" s="1098" t="n"/>
      <c r="C238" s="1098" t="n"/>
      <c r="D238" s="1098" t="n"/>
      <c r="E238" s="306" t="n"/>
      <c r="F238" s="598" t="n"/>
      <c r="G238" s="599" t="n"/>
      <c r="H238" s="600" t="n"/>
      <c r="I238" s="599" t="n"/>
      <c r="J238" s="601" t="n"/>
      <c r="K238" s="601" t="n"/>
      <c r="L238" s="601" t="n"/>
      <c r="M238" s="1099" t="n"/>
      <c r="N238" s="1100" t="n"/>
      <c r="O238" s="1101" t="n"/>
      <c r="P238" s="1102" t="n"/>
      <c r="Q238" s="1102" t="n"/>
      <c r="R238" s="1103" t="n"/>
      <c r="S238" s="1104" t="n"/>
      <c r="T238" s="1097" t="n"/>
      <c r="U238" s="988" t="n"/>
      <c r="V238" s="988" t="n"/>
      <c r="W238" s="988" t="n"/>
      <c r="X238" s="988" t="n"/>
    </row>
    <row r="239" ht="11.25" customFormat="1" customHeight="1" s="989">
      <c r="A239" s="537" t="n"/>
      <c r="B239" s="1098" t="n"/>
      <c r="C239" s="1098" t="n"/>
      <c r="D239" s="1098" t="n"/>
      <c r="E239" s="306" t="n"/>
      <c r="F239" s="598" t="n"/>
      <c r="G239" s="599" t="n"/>
      <c r="H239" s="600" t="n"/>
      <c r="I239" s="599" t="n"/>
      <c r="J239" s="601" t="n"/>
      <c r="K239" s="601" t="n"/>
      <c r="L239" s="601" t="n"/>
      <c r="M239" s="1099" t="n"/>
      <c r="N239" s="1100" t="n"/>
      <c r="O239" s="1101" t="n"/>
      <c r="P239" s="1102" t="n"/>
      <c r="Q239" s="1102" t="n"/>
      <c r="R239" s="1103" t="n"/>
      <c r="S239" s="1104" t="n"/>
      <c r="T239" s="1097" t="n"/>
      <c r="U239" s="988" t="n"/>
      <c r="V239" s="988" t="n"/>
      <c r="W239" s="988" t="n"/>
      <c r="X239" s="988" t="n"/>
    </row>
    <row r="240" ht="11.25" customFormat="1" customHeight="1" s="989">
      <c r="A240" s="537" t="n"/>
      <c r="B240" s="1098" t="n"/>
      <c r="C240" s="1098" t="n"/>
      <c r="D240" s="1098" t="n"/>
      <c r="E240" s="306" t="n"/>
      <c r="F240" s="598" t="n"/>
      <c r="G240" s="599" t="n"/>
      <c r="H240" s="600" t="n"/>
      <c r="I240" s="599" t="n"/>
      <c r="J240" s="601" t="n"/>
      <c r="K240" s="601" t="n"/>
      <c r="L240" s="601" t="n"/>
      <c r="M240" s="1099" t="n"/>
      <c r="N240" s="1100" t="n"/>
      <c r="O240" s="1101" t="n"/>
      <c r="P240" s="1102" t="n"/>
      <c r="Q240" s="1102" t="n"/>
      <c r="R240" s="1103" t="n"/>
      <c r="S240" s="1104" t="n"/>
      <c r="T240" s="1097" t="n"/>
      <c r="U240" s="988" t="n"/>
      <c r="V240" s="988" t="n"/>
      <c r="W240" s="988" t="n"/>
      <c r="X240" s="988" t="n"/>
    </row>
    <row r="241" ht="11.25" customFormat="1" customHeight="1" s="989">
      <c r="A241" s="537" t="n"/>
      <c r="B241" s="1098" t="n"/>
      <c r="C241" s="1098" t="n"/>
      <c r="D241" s="1098" t="n"/>
      <c r="E241" s="306" t="n"/>
      <c r="F241" s="598" t="n"/>
      <c r="G241" s="599" t="n"/>
      <c r="H241" s="600" t="n"/>
      <c r="I241" s="599" t="n"/>
      <c r="J241" s="601" t="n"/>
      <c r="K241" s="601" t="n"/>
      <c r="L241" s="601" t="n"/>
      <c r="M241" s="1099" t="n"/>
      <c r="N241" s="1100" t="n"/>
      <c r="O241" s="1101" t="n"/>
      <c r="P241" s="1102" t="n"/>
      <c r="Q241" s="1102" t="n"/>
      <c r="R241" s="1103" t="n"/>
      <c r="S241" s="1104" t="n"/>
      <c r="T241" s="1097" t="n"/>
      <c r="U241" s="988" t="n"/>
      <c r="V241" s="988" t="n"/>
      <c r="W241" s="988" t="n"/>
      <c r="X241" s="988" t="n"/>
    </row>
    <row r="242" ht="12" customFormat="1" customHeight="1" s="1089">
      <c r="A242" s="537" t="n"/>
      <c r="B242" s="1098" t="n"/>
      <c r="C242" s="1098" t="n"/>
      <c r="D242" s="1098" t="n"/>
      <c r="E242" s="306" t="n"/>
      <c r="F242" s="598" t="n"/>
      <c r="G242" s="599" t="n"/>
      <c r="H242" s="600" t="n"/>
      <c r="I242" s="599" t="n"/>
      <c r="J242" s="601" t="n"/>
      <c r="K242" s="601" t="n"/>
      <c r="L242" s="601" t="n"/>
      <c r="M242" s="1099" t="n"/>
      <c r="N242" s="1100" t="n"/>
      <c r="O242" s="1101" t="n"/>
      <c r="P242" s="1102" t="n"/>
      <c r="Q242" s="1102" t="n"/>
      <c r="R242" s="1103" t="n"/>
      <c r="S242" s="1104" t="n"/>
      <c r="T242" s="1097" t="n"/>
      <c r="U242" s="988" t="n"/>
      <c r="V242" s="988" t="n"/>
      <c r="W242" s="988" t="n"/>
      <c r="X242" s="988" t="n"/>
    </row>
    <row r="243" ht="12" customFormat="1" customHeight="1" s="1089">
      <c r="A243" s="537" t="n"/>
      <c r="B243" s="1098" t="n"/>
      <c r="C243" s="1098" t="n"/>
      <c r="D243" s="1098" t="n"/>
      <c r="E243" s="306" t="n"/>
      <c r="F243" s="598" t="n"/>
      <c r="G243" s="599" t="n"/>
      <c r="H243" s="600" t="n"/>
      <c r="I243" s="599" t="n"/>
      <c r="J243" s="601" t="n"/>
      <c r="K243" s="601" t="n"/>
      <c r="L243" s="601" t="n"/>
      <c r="M243" s="1099" t="n"/>
      <c r="N243" s="1100" t="n"/>
      <c r="O243" s="1101" t="n"/>
      <c r="P243" s="1102" t="n"/>
      <c r="Q243" s="1102" t="n"/>
      <c r="R243" s="1103" t="n"/>
      <c r="S243" s="1104" t="n"/>
      <c r="T243" s="1097" t="n"/>
      <c r="U243" s="988" t="n"/>
      <c r="V243" s="988" t="n"/>
      <c r="W243" s="988" t="n"/>
      <c r="X243" s="988" t="n"/>
    </row>
    <row r="244" ht="11.25" customFormat="1" customHeight="1" s="989">
      <c r="A244" s="537" t="n"/>
      <c r="B244" s="1098" t="n"/>
      <c r="C244" s="1098" t="n"/>
      <c r="D244" s="1098" t="n"/>
      <c r="E244" s="306" t="n"/>
      <c r="F244" s="598" t="n"/>
      <c r="G244" s="599" t="n"/>
      <c r="H244" s="600" t="n"/>
      <c r="I244" s="599" t="n"/>
      <c r="J244" s="601" t="n"/>
      <c r="K244" s="601" t="n"/>
      <c r="L244" s="601" t="n"/>
      <c r="M244" s="1099" t="n"/>
      <c r="N244" s="1100" t="n"/>
      <c r="O244" s="1101" t="n"/>
      <c r="P244" s="1102" t="n"/>
      <c r="Q244" s="1102" t="n"/>
      <c r="R244" s="1103" t="n"/>
      <c r="S244" s="1104" t="n"/>
      <c r="T244" s="1097" t="n"/>
      <c r="U244" s="988" t="n"/>
      <c r="V244" s="988" t="n"/>
      <c r="W244" s="988" t="n"/>
      <c r="X244" s="988" t="n"/>
    </row>
    <row r="245" ht="11.25" customFormat="1" customHeight="1" s="989">
      <c r="A245" s="537" t="n"/>
      <c r="B245" s="1098" t="n"/>
      <c r="C245" s="1098" t="n"/>
      <c r="D245" s="1098" t="n"/>
      <c r="E245" s="306" t="n"/>
      <c r="F245" s="598" t="n"/>
      <c r="G245" s="599" t="n"/>
      <c r="H245" s="600" t="n"/>
      <c r="I245" s="599" t="n"/>
      <c r="J245" s="601" t="n"/>
      <c r="K245" s="601" t="n"/>
      <c r="L245" s="601" t="n"/>
      <c r="M245" s="1099" t="n"/>
      <c r="N245" s="1100" t="n"/>
      <c r="O245" s="1101" t="n"/>
      <c r="P245" s="1102" t="n"/>
      <c r="Q245" s="1102" t="n"/>
      <c r="R245" s="1103" t="n"/>
      <c r="S245" s="1104" t="n"/>
      <c r="T245" s="1097" t="n"/>
      <c r="U245" s="988" t="n"/>
      <c r="V245" s="988" t="n"/>
      <c r="W245" s="988" t="n"/>
      <c r="X245" s="988" t="n"/>
    </row>
    <row r="246" ht="11.25" customFormat="1" customHeight="1" s="989">
      <c r="A246" s="537" t="n"/>
      <c r="B246" s="1098" t="n"/>
      <c r="C246" s="1098" t="n"/>
      <c r="D246" s="1098" t="n"/>
      <c r="E246" s="306" t="n"/>
      <c r="F246" s="598" t="n"/>
      <c r="G246" s="599" t="n"/>
      <c r="H246" s="600" t="n"/>
      <c r="I246" s="599" t="n"/>
      <c r="J246" s="601" t="n"/>
      <c r="K246" s="601" t="n"/>
      <c r="L246" s="601" t="n"/>
      <c r="M246" s="1099" t="n"/>
      <c r="N246" s="1100" t="n"/>
      <c r="O246" s="1101" t="n"/>
      <c r="P246" s="1102" t="n"/>
      <c r="Q246" s="1102" t="n"/>
      <c r="R246" s="1103" t="n"/>
      <c r="S246" s="1104" t="n"/>
      <c r="T246" s="1097" t="n"/>
      <c r="U246" s="988" t="n"/>
      <c r="V246" s="988" t="n"/>
      <c r="W246" s="988" t="n"/>
      <c r="X246" s="988" t="n"/>
    </row>
    <row r="247" ht="11.25" customFormat="1" customHeight="1" s="989">
      <c r="A247" s="537" t="n"/>
      <c r="B247" s="1098" t="n"/>
      <c r="C247" s="1098" t="n"/>
      <c r="D247" s="1098" t="n"/>
      <c r="E247" s="306" t="n"/>
      <c r="F247" s="598" t="n"/>
      <c r="G247" s="599" t="n"/>
      <c r="H247" s="600" t="n"/>
      <c r="I247" s="599" t="n"/>
      <c r="J247" s="601" t="n"/>
      <c r="K247" s="601" t="n"/>
      <c r="L247" s="601" t="n"/>
      <c r="M247" s="1099" t="n"/>
      <c r="N247" s="1100" t="n"/>
      <c r="O247" s="1101" t="n"/>
      <c r="P247" s="1102" t="n"/>
      <c r="Q247" s="1102" t="n"/>
      <c r="R247" s="1103" t="n"/>
      <c r="S247" s="1104" t="n"/>
      <c r="T247" s="1097" t="n"/>
      <c r="U247" s="988" t="n"/>
      <c r="V247" s="988" t="n"/>
      <c r="W247" s="988" t="n"/>
      <c r="X247" s="988" t="n"/>
    </row>
    <row r="248" ht="11.25" customFormat="1" customHeight="1" s="989">
      <c r="A248" s="537" t="n"/>
      <c r="B248" s="1098" t="n"/>
      <c r="C248" s="1098" t="n"/>
      <c r="D248" s="1098" t="n"/>
      <c r="E248" s="306" t="n"/>
      <c r="F248" s="598" t="n"/>
      <c r="G248" s="599" t="n"/>
      <c r="H248" s="600" t="n"/>
      <c r="I248" s="599" t="n"/>
      <c r="J248" s="601" t="n"/>
      <c r="K248" s="601" t="n"/>
      <c r="L248" s="601" t="n"/>
      <c r="M248" s="1099" t="n"/>
      <c r="N248" s="1100" t="n"/>
      <c r="O248" s="1101" t="n"/>
      <c r="P248" s="1102" t="n"/>
      <c r="Q248" s="1102" t="n"/>
      <c r="R248" s="1103" t="n"/>
      <c r="S248" s="1104" t="n"/>
      <c r="T248" s="1097" t="n"/>
      <c r="U248" s="988" t="n"/>
      <c r="V248" s="988" t="n"/>
      <c r="W248" s="988" t="n"/>
      <c r="X248" s="988" t="n"/>
    </row>
    <row r="249" ht="11.25" customFormat="1" customHeight="1" s="989">
      <c r="A249" s="537" t="n"/>
      <c r="B249" s="1098" t="n"/>
      <c r="C249" s="1098" t="n"/>
      <c r="D249" s="1098" t="n"/>
      <c r="E249" s="306" t="n"/>
      <c r="F249" s="598" t="n"/>
      <c r="G249" s="599" t="n"/>
      <c r="H249" s="600" t="n"/>
      <c r="I249" s="599" t="n"/>
      <c r="J249" s="601" t="n"/>
      <c r="K249" s="601" t="n"/>
      <c r="L249" s="601" t="n"/>
      <c r="M249" s="1099" t="n"/>
      <c r="N249" s="1100" t="n"/>
      <c r="O249" s="1101" t="n"/>
      <c r="P249" s="1102" t="n"/>
      <c r="Q249" s="1102" t="n"/>
      <c r="R249" s="1103" t="n"/>
      <c r="S249" s="1104" t="n"/>
      <c r="T249" s="1097" t="n"/>
      <c r="U249" s="988" t="n"/>
      <c r="V249" s="988" t="n"/>
      <c r="W249" s="988" t="n"/>
      <c r="X249" s="988" t="n"/>
    </row>
    <row r="250" ht="12" customFormat="1" customHeight="1" s="1089">
      <c r="A250" s="537" t="n"/>
      <c r="B250" s="1098" t="n"/>
      <c r="C250" s="1098" t="n"/>
      <c r="D250" s="1098" t="n"/>
      <c r="E250" s="306" t="n"/>
      <c r="F250" s="598" t="n"/>
      <c r="G250" s="599" t="n"/>
      <c r="H250" s="600" t="n"/>
      <c r="I250" s="599" t="n"/>
      <c r="J250" s="601" t="n"/>
      <c r="K250" s="601" t="n"/>
      <c r="L250" s="601" t="n"/>
      <c r="M250" s="1099" t="n"/>
      <c r="N250" s="1100" t="n"/>
      <c r="O250" s="1101" t="n"/>
      <c r="P250" s="1102" t="n"/>
      <c r="Q250" s="1102" t="n"/>
      <c r="R250" s="1103" t="n"/>
      <c r="S250" s="1104" t="n"/>
      <c r="T250" s="1097" t="n"/>
      <c r="U250" s="988" t="n"/>
      <c r="V250" s="988" t="n"/>
      <c r="W250" s="988" t="n"/>
      <c r="X250" s="988" t="n"/>
    </row>
    <row r="251" ht="12" customFormat="1" customHeight="1" s="1089">
      <c r="A251" s="537" t="n"/>
      <c r="B251" s="1098" t="n"/>
      <c r="C251" s="1098" t="n"/>
      <c r="D251" s="1098" t="n"/>
      <c r="E251" s="306" t="n"/>
      <c r="F251" s="598" t="n"/>
      <c r="G251" s="599" t="n"/>
      <c r="H251" s="600" t="n"/>
      <c r="I251" s="599" t="n"/>
      <c r="J251" s="601" t="n"/>
      <c r="K251" s="601" t="n"/>
      <c r="L251" s="601" t="n"/>
      <c r="M251" s="1099" t="n"/>
      <c r="N251" s="1100" t="n"/>
      <c r="O251" s="1101" t="n"/>
      <c r="P251" s="1102" t="n"/>
      <c r="Q251" s="1102" t="n"/>
      <c r="R251" s="1103" t="n"/>
      <c r="S251" s="1104" t="n"/>
      <c r="T251" s="1097" t="n"/>
      <c r="U251" s="988" t="n"/>
      <c r="V251" s="988" t="n"/>
      <c r="W251" s="988" t="n"/>
      <c r="X251" s="988" t="n"/>
    </row>
    <row r="252" ht="11.25" customFormat="1" customHeight="1" s="989">
      <c r="A252" s="537" t="n"/>
      <c r="B252" s="1098" t="n"/>
      <c r="C252" s="1098" t="n"/>
      <c r="D252" s="1098" t="n"/>
      <c r="E252" s="306" t="n"/>
      <c r="F252" s="598" t="n"/>
      <c r="G252" s="599" t="n"/>
      <c r="H252" s="600" t="n"/>
      <c r="I252" s="599" t="n"/>
      <c r="J252" s="601" t="n"/>
      <c r="K252" s="601" t="n"/>
      <c r="L252" s="601" t="n"/>
      <c r="M252" s="1099" t="n"/>
      <c r="N252" s="1100" t="n"/>
      <c r="O252" s="1101" t="n"/>
      <c r="P252" s="1102" t="n"/>
      <c r="Q252" s="1102" t="n"/>
      <c r="R252" s="1103" t="n"/>
      <c r="S252" s="1104" t="n"/>
      <c r="T252" s="1097" t="n"/>
      <c r="U252" s="988" t="n"/>
      <c r="V252" s="988" t="n"/>
      <c r="W252" s="988" t="n"/>
      <c r="X252" s="988" t="n"/>
    </row>
    <row r="253" ht="11.25" customFormat="1" customHeight="1" s="989">
      <c r="A253" s="537" t="n"/>
      <c r="B253" s="1098" t="n"/>
      <c r="C253" s="1098" t="n"/>
      <c r="D253" s="1098" t="n"/>
      <c r="E253" s="306" t="n"/>
      <c r="F253" s="598" t="n"/>
      <c r="G253" s="599" t="n"/>
      <c r="H253" s="600" t="n"/>
      <c r="I253" s="599" t="n"/>
      <c r="J253" s="601" t="n"/>
      <c r="K253" s="601" t="n"/>
      <c r="L253" s="601" t="n"/>
      <c r="M253" s="1099" t="n"/>
      <c r="N253" s="1100" t="n"/>
      <c r="O253" s="1101" t="n"/>
      <c r="P253" s="1102" t="n"/>
      <c r="Q253" s="1102" t="n"/>
      <c r="R253" s="1103" t="n"/>
      <c r="S253" s="1104" t="n"/>
      <c r="T253" s="1097" t="n"/>
      <c r="U253" s="988" t="n"/>
      <c r="V253" s="988" t="n"/>
      <c r="W253" s="988" t="n"/>
      <c r="X253" s="988" t="n"/>
    </row>
    <row r="254" ht="11.25" customFormat="1" customHeight="1" s="989">
      <c r="A254" s="537" t="n"/>
      <c r="B254" s="1098" t="n"/>
      <c r="C254" s="1098" t="n"/>
      <c r="D254" s="1098" t="n"/>
      <c r="E254" s="306" t="n"/>
      <c r="F254" s="598" t="n"/>
      <c r="G254" s="599" t="n"/>
      <c r="H254" s="600" t="n"/>
      <c r="I254" s="599" t="n"/>
      <c r="J254" s="601" t="n"/>
      <c r="K254" s="601" t="n"/>
      <c r="L254" s="601" t="n"/>
      <c r="M254" s="1099" t="n"/>
      <c r="N254" s="1100" t="n"/>
      <c r="O254" s="1101" t="n"/>
      <c r="P254" s="1102" t="n"/>
      <c r="Q254" s="1102" t="n"/>
      <c r="R254" s="1103" t="n"/>
      <c r="S254" s="1104" t="n"/>
      <c r="T254" s="1097" t="n"/>
      <c r="U254" s="988" t="n"/>
      <c r="V254" s="988" t="n"/>
      <c r="W254" s="988" t="n"/>
      <c r="X254" s="988" t="n"/>
    </row>
    <row r="255" ht="11.25" customFormat="1" customHeight="1" s="989">
      <c r="A255" s="537" t="n"/>
      <c r="B255" s="1098" t="n"/>
      <c r="C255" s="1098" t="n"/>
      <c r="D255" s="1098" t="n"/>
      <c r="E255" s="306" t="n"/>
      <c r="F255" s="598" t="n"/>
      <c r="G255" s="599" t="n"/>
      <c r="H255" s="600" t="n"/>
      <c r="I255" s="599" t="n"/>
      <c r="J255" s="601" t="n"/>
      <c r="K255" s="601" t="n"/>
      <c r="L255" s="601" t="n"/>
      <c r="M255" s="1099" t="n"/>
      <c r="N255" s="1100" t="n"/>
      <c r="O255" s="1101" t="n"/>
      <c r="P255" s="1102" t="n"/>
      <c r="Q255" s="1102" t="n"/>
      <c r="R255" s="1103" t="n"/>
      <c r="S255" s="1104" t="n"/>
      <c r="T255" s="1097" t="n"/>
      <c r="U255" s="988" t="n"/>
      <c r="V255" s="988" t="n"/>
      <c r="W255" s="988" t="n"/>
      <c r="X255" s="988" t="n"/>
    </row>
    <row r="256" ht="11.25" customFormat="1" customHeight="1" s="989">
      <c r="A256" s="537" t="n"/>
      <c r="B256" s="1098" t="n"/>
      <c r="C256" s="1098" t="n"/>
      <c r="D256" s="1098" t="n"/>
      <c r="E256" s="306" t="n"/>
      <c r="F256" s="598" t="n"/>
      <c r="G256" s="599" t="n"/>
      <c r="H256" s="600" t="n"/>
      <c r="I256" s="599" t="n"/>
      <c r="J256" s="601" t="n"/>
      <c r="K256" s="601" t="n"/>
      <c r="L256" s="601" t="n"/>
      <c r="M256" s="1099" t="n"/>
      <c r="N256" s="1100" t="n"/>
      <c r="O256" s="1101" t="n"/>
      <c r="P256" s="1102" t="n"/>
      <c r="Q256" s="1102" t="n"/>
      <c r="R256" s="1103" t="n"/>
      <c r="S256" s="1104" t="n"/>
      <c r="T256" s="1097" t="n"/>
      <c r="U256" s="988" t="n"/>
      <c r="V256" s="988" t="n"/>
      <c r="W256" s="988" t="n"/>
      <c r="X256" s="988" t="n"/>
    </row>
    <row r="257" ht="11.25" customFormat="1" customHeight="1" s="989">
      <c r="A257" s="537" t="n"/>
      <c r="B257" s="1098" t="n"/>
      <c r="C257" s="1098" t="n"/>
      <c r="D257" s="1098" t="n"/>
      <c r="E257" s="306" t="n"/>
      <c r="F257" s="598" t="n"/>
      <c r="G257" s="599" t="n"/>
      <c r="H257" s="600" t="n"/>
      <c r="I257" s="599" t="n"/>
      <c r="J257" s="601" t="n"/>
      <c r="K257" s="601" t="n"/>
      <c r="L257" s="601" t="n"/>
      <c r="M257" s="1099" t="n"/>
      <c r="N257" s="1100" t="n"/>
      <c r="O257" s="1101" t="n"/>
      <c r="P257" s="1102" t="n"/>
      <c r="Q257" s="1102" t="n"/>
      <c r="R257" s="1103" t="n"/>
      <c r="S257" s="1104" t="n"/>
      <c r="T257" s="1097" t="n"/>
      <c r="U257" s="988" t="n"/>
      <c r="V257" s="988" t="n"/>
      <c r="W257" s="988" t="n"/>
      <c r="X257" s="988" t="n"/>
    </row>
    <row r="258" ht="12" customFormat="1" customHeight="1" s="1089">
      <c r="A258" s="537" t="n"/>
      <c r="B258" s="1098" t="n"/>
      <c r="C258" s="1098" t="n"/>
      <c r="D258" s="1098" t="n"/>
      <c r="E258" s="306" t="n"/>
      <c r="F258" s="598" t="n"/>
      <c r="G258" s="599" t="n"/>
      <c r="H258" s="600" t="n"/>
      <c r="I258" s="599" t="n"/>
      <c r="J258" s="601" t="n"/>
      <c r="K258" s="601" t="n"/>
      <c r="L258" s="601" t="n"/>
      <c r="M258" s="1099" t="n"/>
      <c r="N258" s="1100" t="n"/>
      <c r="O258" s="1101" t="n"/>
      <c r="P258" s="1102" t="n"/>
      <c r="Q258" s="1102" t="n"/>
      <c r="R258" s="1103" t="n"/>
      <c r="S258" s="1104" t="n"/>
      <c r="T258" s="1097" t="n"/>
      <c r="U258" s="988" t="n"/>
      <c r="V258" s="988" t="n"/>
      <c r="W258" s="988" t="n"/>
      <c r="X258" s="988" t="n"/>
    </row>
    <row r="259" ht="12" customFormat="1" customHeight="1" s="1089">
      <c r="A259" s="537" t="n"/>
      <c r="B259" s="1098" t="n"/>
      <c r="C259" s="1098" t="n"/>
      <c r="D259" s="1098" t="n"/>
      <c r="E259" s="306" t="n"/>
      <c r="F259" s="598" t="n"/>
      <c r="G259" s="599" t="n"/>
      <c r="H259" s="600" t="n"/>
      <c r="I259" s="599" t="n"/>
      <c r="J259" s="601" t="n"/>
      <c r="K259" s="601" t="n"/>
      <c r="L259" s="601" t="n"/>
      <c r="M259" s="1099" t="n"/>
      <c r="N259" s="1100" t="n"/>
      <c r="O259" s="1101" t="n"/>
      <c r="P259" s="1102" t="n"/>
      <c r="Q259" s="1102" t="n"/>
      <c r="R259" s="1103" t="n"/>
      <c r="S259" s="1104" t="n"/>
      <c r="T259" s="1097" t="n"/>
      <c r="U259" s="988" t="n"/>
      <c r="V259" s="988" t="n"/>
      <c r="W259" s="988" t="n"/>
      <c r="X259" s="988" t="n"/>
    </row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mergeCells count="3">
    <mergeCell ref="J19:L19"/>
    <mergeCell ref="M19:O19"/>
    <mergeCell ref="P19:Q19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115"/>
  <sheetViews>
    <sheetView showGridLines="0" topLeftCell="A49" zoomScale="80" zoomScaleNormal="80" zoomScaleSheetLayoutView="70" workbookViewId="0">
      <selection activeCell="L97" sqref="L97"/>
    </sheetView>
  </sheetViews>
  <sheetFormatPr baseColWidth="8" defaultColWidth="9" defaultRowHeight="16.5"/>
  <cols>
    <col width="12.75" customWidth="1" style="8" min="1" max="1"/>
    <col width="9" customWidth="1" style="8" min="2" max="6"/>
    <col width="41.5" bestFit="1" customWidth="1" style="8" min="7" max="7"/>
    <col width="9" customWidth="1" style="8" min="8" max="11"/>
    <col width="9.25" customWidth="1" style="8" min="12" max="12"/>
    <col width="9" customWidth="1" style="8" min="13" max="256"/>
    <col width="2.125" customWidth="1" style="8" min="257" max="257"/>
    <col width="9" customWidth="1" style="8" min="258" max="512"/>
    <col width="2.125" customWidth="1" style="8" min="513" max="513"/>
    <col width="9" customWidth="1" style="8" min="514" max="768"/>
    <col width="2.125" customWidth="1" style="8" min="769" max="769"/>
    <col width="9" customWidth="1" style="8" min="770" max="1024"/>
    <col width="2.125" customWidth="1" style="8" min="1025" max="1025"/>
    <col width="9" customWidth="1" style="8" min="1026" max="1280"/>
    <col width="2.125" customWidth="1" style="8" min="1281" max="1281"/>
    <col width="9" customWidth="1" style="8" min="1282" max="1536"/>
    <col width="2.125" customWidth="1" style="8" min="1537" max="1537"/>
    <col width="9" customWidth="1" style="8" min="1538" max="1792"/>
    <col width="2.125" customWidth="1" style="8" min="1793" max="1793"/>
    <col width="9" customWidth="1" style="8" min="1794" max="2048"/>
    <col width="2.125" customWidth="1" style="8" min="2049" max="2049"/>
    <col width="9" customWidth="1" style="8" min="2050" max="2304"/>
    <col width="2.125" customWidth="1" style="8" min="2305" max="2305"/>
    <col width="9" customWidth="1" style="8" min="2306" max="2560"/>
    <col width="2.125" customWidth="1" style="8" min="2561" max="2561"/>
    <col width="9" customWidth="1" style="8" min="2562" max="2816"/>
    <col width="2.125" customWidth="1" style="8" min="2817" max="2817"/>
    <col width="9" customWidth="1" style="8" min="2818" max="3072"/>
    <col width="2.125" customWidth="1" style="8" min="3073" max="3073"/>
    <col width="9" customWidth="1" style="8" min="3074" max="3328"/>
    <col width="2.125" customWidth="1" style="8" min="3329" max="3329"/>
    <col width="9" customWidth="1" style="8" min="3330" max="3584"/>
    <col width="2.125" customWidth="1" style="8" min="3585" max="3585"/>
    <col width="9" customWidth="1" style="8" min="3586" max="3840"/>
    <col width="2.125" customWidth="1" style="8" min="3841" max="3841"/>
    <col width="9" customWidth="1" style="8" min="3842" max="4096"/>
    <col width="2.125" customWidth="1" style="8" min="4097" max="4097"/>
    <col width="9" customWidth="1" style="8" min="4098" max="4352"/>
    <col width="2.125" customWidth="1" style="8" min="4353" max="4353"/>
    <col width="9" customWidth="1" style="8" min="4354" max="4608"/>
    <col width="2.125" customWidth="1" style="8" min="4609" max="4609"/>
    <col width="9" customWidth="1" style="8" min="4610" max="4864"/>
    <col width="2.125" customWidth="1" style="8" min="4865" max="4865"/>
    <col width="9" customWidth="1" style="8" min="4866" max="5120"/>
    <col width="2.125" customWidth="1" style="8" min="5121" max="5121"/>
    <col width="9" customWidth="1" style="8" min="5122" max="5376"/>
    <col width="2.125" customWidth="1" style="8" min="5377" max="5377"/>
    <col width="9" customWidth="1" style="8" min="5378" max="5632"/>
    <col width="2.125" customWidth="1" style="8" min="5633" max="5633"/>
    <col width="9" customWidth="1" style="8" min="5634" max="5888"/>
    <col width="2.125" customWidth="1" style="8" min="5889" max="5889"/>
    <col width="9" customWidth="1" style="8" min="5890" max="6144"/>
    <col width="2.125" customWidth="1" style="8" min="6145" max="6145"/>
    <col width="9" customWidth="1" style="8" min="6146" max="6400"/>
    <col width="2.125" customWidth="1" style="8" min="6401" max="6401"/>
    <col width="9" customWidth="1" style="8" min="6402" max="6656"/>
    <col width="2.125" customWidth="1" style="8" min="6657" max="6657"/>
    <col width="9" customWidth="1" style="8" min="6658" max="6912"/>
    <col width="2.125" customWidth="1" style="8" min="6913" max="6913"/>
    <col width="9" customWidth="1" style="8" min="6914" max="7168"/>
    <col width="2.125" customWidth="1" style="8" min="7169" max="7169"/>
    <col width="9" customWidth="1" style="8" min="7170" max="7424"/>
    <col width="2.125" customWidth="1" style="8" min="7425" max="7425"/>
    <col width="9" customWidth="1" style="8" min="7426" max="7680"/>
    <col width="2.125" customWidth="1" style="8" min="7681" max="7681"/>
    <col width="9" customWidth="1" style="8" min="7682" max="7936"/>
    <col width="2.125" customWidth="1" style="8" min="7937" max="7937"/>
    <col width="9" customWidth="1" style="8" min="7938" max="8192"/>
    <col width="2.125" customWidth="1" style="8" min="8193" max="8193"/>
    <col width="9" customWidth="1" style="8" min="8194" max="8448"/>
    <col width="2.125" customWidth="1" style="8" min="8449" max="8449"/>
    <col width="9" customWidth="1" style="8" min="8450" max="8704"/>
    <col width="2.125" customWidth="1" style="8" min="8705" max="8705"/>
    <col width="9" customWidth="1" style="8" min="8706" max="8960"/>
    <col width="2.125" customWidth="1" style="8" min="8961" max="8961"/>
    <col width="9" customWidth="1" style="8" min="8962" max="9216"/>
    <col width="2.125" customWidth="1" style="8" min="9217" max="9217"/>
    <col width="9" customWidth="1" style="8" min="9218" max="9472"/>
    <col width="2.125" customWidth="1" style="8" min="9473" max="9473"/>
    <col width="9" customWidth="1" style="8" min="9474" max="9728"/>
    <col width="2.125" customWidth="1" style="8" min="9729" max="9729"/>
    <col width="9" customWidth="1" style="8" min="9730" max="9984"/>
    <col width="2.125" customWidth="1" style="8" min="9985" max="9985"/>
    <col width="9" customWidth="1" style="8" min="9986" max="10240"/>
    <col width="2.125" customWidth="1" style="8" min="10241" max="10241"/>
    <col width="9" customWidth="1" style="8" min="10242" max="10496"/>
    <col width="2.125" customWidth="1" style="8" min="10497" max="10497"/>
    <col width="9" customWidth="1" style="8" min="10498" max="10752"/>
    <col width="2.125" customWidth="1" style="8" min="10753" max="10753"/>
    <col width="9" customWidth="1" style="8" min="10754" max="11008"/>
    <col width="2.125" customWidth="1" style="8" min="11009" max="11009"/>
    <col width="9" customWidth="1" style="8" min="11010" max="11264"/>
    <col width="2.125" customWidth="1" style="8" min="11265" max="11265"/>
    <col width="9" customWidth="1" style="8" min="11266" max="11520"/>
    <col width="2.125" customWidth="1" style="8" min="11521" max="11521"/>
    <col width="9" customWidth="1" style="8" min="11522" max="11776"/>
    <col width="2.125" customWidth="1" style="8" min="11777" max="11777"/>
    <col width="9" customWidth="1" style="8" min="11778" max="12032"/>
    <col width="2.125" customWidth="1" style="8" min="12033" max="12033"/>
    <col width="9" customWidth="1" style="8" min="12034" max="12288"/>
    <col width="2.125" customWidth="1" style="8" min="12289" max="12289"/>
    <col width="9" customWidth="1" style="8" min="12290" max="12544"/>
    <col width="2.125" customWidth="1" style="8" min="12545" max="12545"/>
    <col width="9" customWidth="1" style="8" min="12546" max="12800"/>
    <col width="2.125" customWidth="1" style="8" min="12801" max="12801"/>
    <col width="9" customWidth="1" style="8" min="12802" max="13056"/>
    <col width="2.125" customWidth="1" style="8" min="13057" max="13057"/>
    <col width="9" customWidth="1" style="8" min="13058" max="13312"/>
    <col width="2.125" customWidth="1" style="8" min="13313" max="13313"/>
    <col width="9" customWidth="1" style="8" min="13314" max="13568"/>
    <col width="2.125" customWidth="1" style="8" min="13569" max="13569"/>
    <col width="9" customWidth="1" style="8" min="13570" max="13824"/>
    <col width="2.125" customWidth="1" style="8" min="13825" max="13825"/>
    <col width="9" customWidth="1" style="8" min="13826" max="14080"/>
    <col width="2.125" customWidth="1" style="8" min="14081" max="14081"/>
    <col width="9" customWidth="1" style="8" min="14082" max="14336"/>
    <col width="2.125" customWidth="1" style="8" min="14337" max="14337"/>
    <col width="9" customWidth="1" style="8" min="14338" max="14592"/>
    <col width="2.125" customWidth="1" style="8" min="14593" max="14593"/>
    <col width="9" customWidth="1" style="8" min="14594" max="14848"/>
    <col width="2.125" customWidth="1" style="8" min="14849" max="14849"/>
    <col width="9" customWidth="1" style="8" min="14850" max="15104"/>
    <col width="2.125" customWidth="1" style="8" min="15105" max="15105"/>
    <col width="9" customWidth="1" style="8" min="15106" max="15360"/>
    <col width="2.125" customWidth="1" style="8" min="15361" max="15361"/>
    <col width="9" customWidth="1" style="8" min="15362" max="15616"/>
    <col width="2.125" customWidth="1" style="8" min="15617" max="15617"/>
    <col width="9" customWidth="1" style="8" min="15618" max="15872"/>
    <col width="2.125" customWidth="1" style="8" min="15873" max="15873"/>
    <col width="9" customWidth="1" style="8" min="15874" max="16128"/>
    <col width="2.125" customWidth="1" style="8" min="16129" max="16129"/>
    <col width="9" customWidth="1" style="8" min="16130" max="16384"/>
  </cols>
  <sheetData>
    <row r="1" ht="22.5" customHeight="1" s="654">
      <c r="B1" s="102" t="n"/>
    </row>
    <row r="22">
      <c r="B22" s="102" t="n"/>
    </row>
    <row r="29" ht="15.75" customHeight="1" s="654"/>
    <row r="38" ht="15.75" customHeight="1" s="654"/>
    <row r="79">
      <c r="B79" s="102" t="n"/>
    </row>
    <row r="99">
      <c r="B99" s="102" t="n"/>
    </row>
    <row r="115">
      <c r="A115" s="102" t="n"/>
    </row>
  </sheetData>
  <pageMargins left="0.7086614173228351" right="0.7086614173228351" top="0.748031496062992" bottom="0.748031496062992" header="0.31496062992126" footer="0.31496062992126"/>
  <pageSetup orientation="portrait" paperSize="9" scale="55" fitToHeight="0"/>
  <rowBreaks count="1" manualBreakCount="1">
    <brk id="39" min="0" max="16383" man="1"/>
  </rowBreaks>
  <colBreaks count="2" manualBreakCount="2">
    <brk id="11" min="0" max="1048575" man="1"/>
    <brk id="13" min="0" max="1048575" man="1"/>
  </col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7"/>
  <sheetViews>
    <sheetView zoomScale="80" zoomScaleNormal="80" workbookViewId="0">
      <selection activeCell="J28" sqref="J28"/>
    </sheetView>
  </sheetViews>
  <sheetFormatPr baseColWidth="8" defaultColWidth="9" defaultRowHeight="13.5"/>
  <cols>
    <col width="3.75" customWidth="1" style="415" min="1" max="1"/>
    <col width="8.125" customWidth="1" style="416" min="2" max="2"/>
    <col width="8.25" customWidth="1" style="415" min="3" max="3"/>
    <col width="11.125" customWidth="1" style="416" min="4" max="4"/>
    <col width="12.25" bestFit="1" customWidth="1" style="416" min="5" max="5"/>
    <col width="24.375" customWidth="1" style="416" min="6" max="6"/>
    <col width="16.375" customWidth="1" style="1106" min="7" max="7"/>
    <col width="14.5" bestFit="1" customWidth="1" style="415" min="8" max="8"/>
    <col width="25.625" customWidth="1" style="415" min="9" max="9"/>
    <col width="14.875" customWidth="1" style="415" min="10" max="10"/>
    <col width="47.75" bestFit="1" customWidth="1" style="415" min="11" max="11"/>
    <col width="62.75" bestFit="1" customWidth="1" style="415" min="12" max="12"/>
    <col width="9" customWidth="1" style="415" min="13" max="250"/>
    <col width="3.75" customWidth="1" style="415" min="251" max="251"/>
    <col width="9" customWidth="1" style="415" min="252" max="506"/>
    <col width="3.75" customWidth="1" style="415" min="507" max="507"/>
    <col width="9" customWidth="1" style="415" min="508" max="762"/>
    <col width="3.75" customWidth="1" style="415" min="763" max="763"/>
    <col width="9" customWidth="1" style="415" min="764" max="1018"/>
    <col width="3.75" customWidth="1" style="415" min="1019" max="1019"/>
    <col width="9" customWidth="1" style="415" min="1020" max="1274"/>
    <col width="3.75" customWidth="1" style="415" min="1275" max="1275"/>
    <col width="9" customWidth="1" style="415" min="1276" max="1530"/>
    <col width="3.75" customWidth="1" style="415" min="1531" max="1531"/>
    <col width="9" customWidth="1" style="415" min="1532" max="1786"/>
    <col width="3.75" customWidth="1" style="415" min="1787" max="1787"/>
    <col width="9" customWidth="1" style="415" min="1788" max="2042"/>
    <col width="3.75" customWidth="1" style="415" min="2043" max="2043"/>
    <col width="9" customWidth="1" style="415" min="2044" max="2298"/>
    <col width="3.75" customWidth="1" style="415" min="2299" max="2299"/>
    <col width="9" customWidth="1" style="415" min="2300" max="2554"/>
    <col width="3.75" customWidth="1" style="415" min="2555" max="2555"/>
    <col width="9" customWidth="1" style="415" min="2556" max="2810"/>
    <col width="3.75" customWidth="1" style="415" min="2811" max="2811"/>
    <col width="9" customWidth="1" style="415" min="2812" max="3066"/>
    <col width="3.75" customWidth="1" style="415" min="3067" max="3067"/>
    <col width="9" customWidth="1" style="415" min="3068" max="3322"/>
    <col width="3.75" customWidth="1" style="415" min="3323" max="3323"/>
    <col width="9" customWidth="1" style="415" min="3324" max="3578"/>
    <col width="3.75" customWidth="1" style="415" min="3579" max="3579"/>
    <col width="9" customWidth="1" style="415" min="3580" max="3834"/>
    <col width="3.75" customWidth="1" style="415" min="3835" max="3835"/>
    <col width="9" customWidth="1" style="415" min="3836" max="4090"/>
    <col width="3.75" customWidth="1" style="415" min="4091" max="4091"/>
    <col width="9" customWidth="1" style="415" min="4092" max="4346"/>
    <col width="3.75" customWidth="1" style="415" min="4347" max="4347"/>
    <col width="9" customWidth="1" style="415" min="4348" max="4602"/>
    <col width="3.75" customWidth="1" style="415" min="4603" max="4603"/>
    <col width="9" customWidth="1" style="415" min="4604" max="4858"/>
    <col width="3.75" customWidth="1" style="415" min="4859" max="4859"/>
    <col width="9" customWidth="1" style="415" min="4860" max="5114"/>
    <col width="3.75" customWidth="1" style="415" min="5115" max="5115"/>
    <col width="9" customWidth="1" style="415" min="5116" max="5370"/>
    <col width="3.75" customWidth="1" style="415" min="5371" max="5371"/>
    <col width="9" customWidth="1" style="415" min="5372" max="5626"/>
    <col width="3.75" customWidth="1" style="415" min="5627" max="5627"/>
    <col width="9" customWidth="1" style="415" min="5628" max="5882"/>
    <col width="3.75" customWidth="1" style="415" min="5883" max="5883"/>
    <col width="9" customWidth="1" style="415" min="5884" max="6138"/>
    <col width="3.75" customWidth="1" style="415" min="6139" max="6139"/>
    <col width="9" customWidth="1" style="415" min="6140" max="6394"/>
    <col width="3.75" customWidth="1" style="415" min="6395" max="6395"/>
    <col width="9" customWidth="1" style="415" min="6396" max="6650"/>
    <col width="3.75" customWidth="1" style="415" min="6651" max="6651"/>
    <col width="9" customWidth="1" style="415" min="6652" max="6906"/>
    <col width="3.75" customWidth="1" style="415" min="6907" max="6907"/>
    <col width="9" customWidth="1" style="415" min="6908" max="7162"/>
    <col width="3.75" customWidth="1" style="415" min="7163" max="7163"/>
    <col width="9" customWidth="1" style="415" min="7164" max="7418"/>
    <col width="3.75" customWidth="1" style="415" min="7419" max="7419"/>
    <col width="9" customWidth="1" style="415" min="7420" max="7674"/>
    <col width="3.75" customWidth="1" style="415" min="7675" max="7675"/>
    <col width="9" customWidth="1" style="415" min="7676" max="7930"/>
    <col width="3.75" customWidth="1" style="415" min="7931" max="7931"/>
    <col width="9" customWidth="1" style="415" min="7932" max="8186"/>
    <col width="3.75" customWidth="1" style="415" min="8187" max="8187"/>
    <col width="9" customWidth="1" style="415" min="8188" max="8442"/>
    <col width="3.75" customWidth="1" style="415" min="8443" max="8443"/>
    <col width="9" customWidth="1" style="415" min="8444" max="8698"/>
    <col width="3.75" customWidth="1" style="415" min="8699" max="8699"/>
    <col width="9" customWidth="1" style="415" min="8700" max="8954"/>
    <col width="3.75" customWidth="1" style="415" min="8955" max="8955"/>
    <col width="9" customWidth="1" style="415" min="8956" max="9210"/>
    <col width="3.75" customWidth="1" style="415" min="9211" max="9211"/>
    <col width="9" customWidth="1" style="415" min="9212" max="9466"/>
    <col width="3.75" customWidth="1" style="415" min="9467" max="9467"/>
    <col width="9" customWidth="1" style="415" min="9468" max="9722"/>
    <col width="3.75" customWidth="1" style="415" min="9723" max="9723"/>
    <col width="9" customWidth="1" style="415" min="9724" max="9978"/>
    <col width="3.75" customWidth="1" style="415" min="9979" max="9979"/>
    <col width="9" customWidth="1" style="415" min="9980" max="10234"/>
    <col width="3.75" customWidth="1" style="415" min="10235" max="10235"/>
    <col width="9" customWidth="1" style="415" min="10236" max="10490"/>
    <col width="3.75" customWidth="1" style="415" min="10491" max="10491"/>
    <col width="9" customWidth="1" style="415" min="10492" max="10746"/>
    <col width="3.75" customWidth="1" style="415" min="10747" max="10747"/>
    <col width="9" customWidth="1" style="415" min="10748" max="11002"/>
    <col width="3.75" customWidth="1" style="415" min="11003" max="11003"/>
    <col width="9" customWidth="1" style="415" min="11004" max="11258"/>
    <col width="3.75" customWidth="1" style="415" min="11259" max="11259"/>
    <col width="9" customWidth="1" style="415" min="11260" max="11514"/>
    <col width="3.75" customWidth="1" style="415" min="11515" max="11515"/>
    <col width="9" customWidth="1" style="415" min="11516" max="11770"/>
    <col width="3.75" customWidth="1" style="415" min="11771" max="11771"/>
    <col width="9" customWidth="1" style="415" min="11772" max="12026"/>
    <col width="3.75" customWidth="1" style="415" min="12027" max="12027"/>
    <col width="9" customWidth="1" style="415" min="12028" max="12282"/>
    <col width="3.75" customWidth="1" style="415" min="12283" max="12283"/>
    <col width="9" customWidth="1" style="415" min="12284" max="12538"/>
    <col width="3.75" customWidth="1" style="415" min="12539" max="12539"/>
    <col width="9" customWidth="1" style="415" min="12540" max="12794"/>
    <col width="3.75" customWidth="1" style="415" min="12795" max="12795"/>
    <col width="9" customWidth="1" style="415" min="12796" max="13050"/>
    <col width="3.75" customWidth="1" style="415" min="13051" max="13051"/>
    <col width="9" customWidth="1" style="415" min="13052" max="13306"/>
    <col width="3.75" customWidth="1" style="415" min="13307" max="13307"/>
    <col width="9" customWidth="1" style="415" min="13308" max="13562"/>
    <col width="3.75" customWidth="1" style="415" min="13563" max="13563"/>
    <col width="9" customWidth="1" style="415" min="13564" max="13818"/>
    <col width="3.75" customWidth="1" style="415" min="13819" max="13819"/>
    <col width="9" customWidth="1" style="415" min="13820" max="14074"/>
    <col width="3.75" customWidth="1" style="415" min="14075" max="14075"/>
    <col width="9" customWidth="1" style="415" min="14076" max="14330"/>
    <col width="3.75" customWidth="1" style="415" min="14331" max="14331"/>
    <col width="9" customWidth="1" style="415" min="14332" max="14586"/>
    <col width="3.75" customWidth="1" style="415" min="14587" max="14587"/>
    <col width="9" customWidth="1" style="415" min="14588" max="14842"/>
    <col width="3.75" customWidth="1" style="415" min="14843" max="14843"/>
    <col width="9" customWidth="1" style="415" min="14844" max="15098"/>
    <col width="3.75" customWidth="1" style="415" min="15099" max="15099"/>
    <col width="9" customWidth="1" style="415" min="15100" max="15354"/>
    <col width="3.75" customWidth="1" style="415" min="15355" max="15355"/>
    <col width="9" customWidth="1" style="415" min="15356" max="15610"/>
    <col width="3.75" customWidth="1" style="415" min="15611" max="15611"/>
    <col width="9" customWidth="1" style="415" min="15612" max="15866"/>
    <col width="3.75" customWidth="1" style="415" min="15867" max="15867"/>
    <col width="9" customWidth="1" style="415" min="15868" max="16122"/>
    <col width="3.75" customWidth="1" style="415" min="16123" max="16123"/>
    <col width="9" customWidth="1" style="415" min="16124" max="16384"/>
  </cols>
  <sheetData>
    <row r="2" ht="19.5" customHeight="1" s="654">
      <c r="B2" s="414" t="inlineStr">
        <is>
          <t>▶ 업무추진비 사용 내역</t>
        </is>
      </c>
      <c r="G2" s="1107" t="n"/>
    </row>
    <row r="4">
      <c r="B4" s="643" t="inlineStr">
        <is>
          <t>NO</t>
        </is>
      </c>
      <c r="C4" s="643" t="inlineStr">
        <is>
          <t>정산일자</t>
        </is>
      </c>
      <c r="D4" s="1108" t="inlineStr">
        <is>
          <t>사용일자</t>
        </is>
      </c>
      <c r="E4" s="1108" t="inlineStr">
        <is>
          <t>사용자</t>
        </is>
      </c>
      <c r="F4" s="1108" t="inlineStr">
        <is>
          <t>사용처</t>
        </is>
      </c>
      <c r="G4" s="643" t="inlineStr">
        <is>
          <t>사용금액</t>
        </is>
      </c>
      <c r="H4" s="1109" t="n"/>
      <c r="I4" s="643" t="inlineStr">
        <is>
          <t>사용목적(상세 기재)</t>
        </is>
      </c>
      <c r="J4" s="643" t="inlineStr">
        <is>
          <t>고객명</t>
        </is>
      </c>
      <c r="K4" s="643" t="inlineStr">
        <is>
          <t>참석자</t>
        </is>
      </c>
      <c r="L4" s="1109" t="n"/>
    </row>
    <row r="5">
      <c r="B5" s="1110" t="n"/>
      <c r="C5" s="1110" t="n"/>
      <c r="D5" s="1111" t="n"/>
      <c r="E5" s="1111" t="n"/>
      <c r="F5" s="1111" t="n"/>
      <c r="G5" s="1112" t="inlineStr">
        <is>
          <t>RMB</t>
        </is>
      </c>
      <c r="H5" s="643" t="inlineStr">
        <is>
          <t>KRW</t>
        </is>
      </c>
      <c r="I5" s="1110" t="n"/>
      <c r="J5" s="1110" t="n"/>
      <c r="K5" s="643" t="inlineStr">
        <is>
          <t>고객</t>
        </is>
      </c>
      <c r="L5" s="643" t="inlineStr">
        <is>
          <t>DBGC</t>
        </is>
      </c>
    </row>
    <row r="6" ht="20.1" customHeight="1" s="654">
      <c r="B6" s="419">
        <f>ROW()-5</f>
        <v/>
      </c>
      <c r="C6" s="1113" t="n"/>
      <c r="D6" s="1114" t="n">
        <v>46133</v>
      </c>
      <c r="E6" s="1115" t="inlineStr">
        <is>
          <t>xiongfeng</t>
        </is>
      </c>
      <c r="F6" s="530" t="inlineStr">
        <is>
          <t>大师兄餐饮</t>
        </is>
      </c>
      <c r="G6" s="1116" t="n">
        <v>135</v>
      </c>
      <c r="H6" s="1117" t="n"/>
      <c r="I6" s="426" t="inlineStr">
        <is>
          <t>Have coffee with SDPC</t>
        </is>
      </c>
      <c r="J6" s="426" t="inlineStr">
        <is>
          <t>SDPC</t>
        </is>
      </c>
      <c r="K6" s="426" t="inlineStr">
        <is>
          <t>魏慧</t>
        </is>
      </c>
      <c r="L6" s="1114" t="inlineStr">
        <is>
          <t>xiongfeng/金总</t>
        </is>
      </c>
    </row>
    <row r="7" ht="20.1" customHeight="1" s="654">
      <c r="B7" s="419">
        <f>ROW()-5</f>
        <v/>
      </c>
      <c r="C7" s="1113" t="n"/>
      <c r="D7" s="1114" t="n">
        <v>46134</v>
      </c>
      <c r="E7" s="1115" t="inlineStr">
        <is>
          <t>xiongfeng</t>
        </is>
      </c>
      <c r="F7" s="530" t="inlineStr">
        <is>
          <t>星巴克</t>
        </is>
      </c>
      <c r="G7" s="1116" t="n">
        <v>68</v>
      </c>
      <c r="H7" s="1117" t="n"/>
      <c r="I7" s="426" t="inlineStr">
        <is>
          <t>Coffee with CSOT</t>
        </is>
      </c>
      <c r="J7" s="426" t="inlineStr">
        <is>
          <t>CSOT</t>
        </is>
      </c>
      <c r="K7" s="426" t="inlineStr">
        <is>
          <t>裴娟实</t>
        </is>
      </c>
      <c r="L7" s="1114" t="inlineStr">
        <is>
          <t>xiongfeng</t>
        </is>
      </c>
    </row>
    <row r="8" ht="20.1" customHeight="1" s="654">
      <c r="B8" s="419">
        <f>ROW()-5</f>
        <v/>
      </c>
      <c r="C8" s="1113" t="n"/>
      <c r="D8" s="1114" t="n">
        <v>46149</v>
      </c>
      <c r="E8" s="1115" t="inlineStr">
        <is>
          <t>xiongfeng</t>
        </is>
      </c>
      <c r="F8" s="530" t="inlineStr">
        <is>
          <t>星莹美食店</t>
        </is>
      </c>
      <c r="G8" s="1116" t="n">
        <v>370</v>
      </c>
      <c r="H8" s="1117" t="n"/>
      <c r="I8" s="426" t="inlineStr">
        <is>
          <t>Lunch with CSOT</t>
        </is>
      </c>
      <c r="J8" s="426" t="inlineStr">
        <is>
          <t>CSOT</t>
        </is>
      </c>
      <c r="K8" s="426" t="inlineStr">
        <is>
          <t>裴娟实/彩霞</t>
        </is>
      </c>
      <c r="L8" s="1114" t="inlineStr">
        <is>
          <t>xiongfeng</t>
        </is>
      </c>
    </row>
    <row r="9" ht="20.1" customHeight="1" s="654">
      <c r="B9" s="419">
        <f>ROW()-5</f>
        <v/>
      </c>
      <c r="C9" s="1113" t="n"/>
      <c r="D9" s="1114" t="n">
        <v>46151</v>
      </c>
      <c r="E9" s="1115" t="inlineStr">
        <is>
          <t>xiongfeng</t>
        </is>
      </c>
      <c r="F9" s="519" t="inlineStr">
        <is>
          <t>萍乡土菜</t>
        </is>
      </c>
      <c r="G9" s="1116" t="n">
        <v>233</v>
      </c>
      <c r="H9" s="1117" t="n"/>
      <c r="I9" s="426" t="inlineStr">
        <is>
          <t>Lunch with FITI</t>
        </is>
      </c>
      <c r="J9" s="426" t="inlineStr">
        <is>
          <t>SDPC</t>
        </is>
      </c>
      <c r="K9" s="426" t="inlineStr">
        <is>
          <t>牛佳兴</t>
        </is>
      </c>
      <c r="L9" s="1114" t="inlineStr">
        <is>
          <t>xiongfeng</t>
        </is>
      </c>
    </row>
    <row r="10" ht="20.1" customHeight="1" s="654">
      <c r="B10" s="419">
        <f>ROW()-5</f>
        <v/>
      </c>
      <c r="C10" s="1113" t="n"/>
      <c r="D10" s="1114" t="n">
        <v>46118</v>
      </c>
      <c r="E10" s="1115" t="inlineStr">
        <is>
          <t>신순연</t>
        </is>
      </c>
      <c r="F10" s="519" t="inlineStr">
        <is>
          <t>晶东</t>
        </is>
      </c>
      <c r="G10" s="1116" t="n">
        <v>258</v>
      </c>
      <c r="H10" s="1117" t="n"/>
      <c r="I10" s="426" t="inlineStr">
        <is>
          <t>고객 업무 추진 및 CRM 유지</t>
        </is>
      </c>
      <c r="J10" s="426" t="inlineStr">
        <is>
          <t>CSOT</t>
        </is>
      </c>
      <c r="K10" s="426" t="inlineStr">
        <is>
          <t>Li Xiang Yu</t>
        </is>
      </c>
      <c r="L10" s="1114" t="inlineStr">
        <is>
          <t>-</t>
        </is>
      </c>
    </row>
    <row r="11" ht="20.1" customHeight="1" s="654">
      <c r="B11" s="419">
        <f>ROW()-5</f>
        <v/>
      </c>
      <c r="C11" s="1113" t="n"/>
      <c r="D11" s="1114" t="n">
        <v>46119</v>
      </c>
      <c r="E11" s="1115" t="inlineStr">
        <is>
          <t>신순연</t>
        </is>
      </c>
      <c r="F11" s="519" t="inlineStr">
        <is>
          <t>郭老二</t>
        </is>
      </c>
      <c r="G11" s="1116" t="n">
        <v>873</v>
      </c>
      <c r="H11" s="1117" t="n"/>
      <c r="I11" s="426" t="inlineStr">
        <is>
          <t>고객 업무 추진 및 CRM 유지</t>
        </is>
      </c>
      <c r="J11" s="426" t="inlineStr">
        <is>
          <t>TianMa</t>
        </is>
      </c>
      <c r="K11" s="426" t="inlineStr">
        <is>
          <t>Mason전문가, Eddie전문가</t>
        </is>
      </c>
      <c r="L11" s="1114" t="inlineStr">
        <is>
          <t>고재홍 상무, 최상신 전문위원, 김기일 프로, 박상현 프로, 황대욱 프로, 변승찬 프로, 권유석 지사장, 김명관 프로, 신순연 프로</t>
        </is>
      </c>
    </row>
    <row r="12" ht="20.1" customHeight="1" s="654">
      <c r="B12" s="419">
        <f>ROW()-5</f>
        <v/>
      </c>
      <c r="C12" s="1113" t="n"/>
      <c r="D12" s="1114" t="n">
        <v>46120</v>
      </c>
      <c r="E12" s="1115" t="inlineStr">
        <is>
          <t>신순연</t>
        </is>
      </c>
      <c r="F12" s="519" t="inlineStr">
        <is>
          <t>韩庭</t>
        </is>
      </c>
      <c r="G12" s="1116" t="n">
        <v>402</v>
      </c>
      <c r="H12" s="1117" t="n"/>
      <c r="I12" s="426" t="inlineStr">
        <is>
          <t>고객 업무 추진 및 CRM 유지</t>
        </is>
      </c>
      <c r="J12" s="426" t="inlineStr">
        <is>
          <t>TianMa</t>
        </is>
      </c>
      <c r="K12" s="426" t="inlineStr">
        <is>
          <t>Mason전문가, Eddie전문가</t>
        </is>
      </c>
      <c r="L12" s="1114" t="inlineStr">
        <is>
          <t>고재홍 상무, 최상신 전문위원, 김기일 프로, 박상현 프로, 황대욱 프로, 변승찬 프로, 신순연 프로</t>
        </is>
      </c>
    </row>
    <row r="13" ht="20.1" customHeight="1" s="654">
      <c r="B13" s="419">
        <f>ROW()-5</f>
        <v/>
      </c>
      <c r="C13" s="1113" t="n"/>
      <c r="D13" s="1114" t="n">
        <v>46120</v>
      </c>
      <c r="E13" s="1115" t="inlineStr">
        <is>
          <t>신순연</t>
        </is>
      </c>
      <c r="F13" s="519" t="inlineStr">
        <is>
          <t>鱼头泡饭</t>
        </is>
      </c>
      <c r="G13" s="1116" t="n">
        <v>800</v>
      </c>
      <c r="H13" s="1117" t="n"/>
      <c r="I13" s="426" t="inlineStr">
        <is>
          <t>고객 업무 추진 및 CRM 유지</t>
        </is>
      </c>
      <c r="J13" s="426" t="inlineStr">
        <is>
          <t>CSOT</t>
        </is>
      </c>
      <c r="K13" s="426" t="inlineStr">
        <is>
          <t>Pan Xiao Dong과장</t>
        </is>
      </c>
      <c r="L13" s="1114" t="inlineStr">
        <is>
          <t>고재홍 상무, 최상신 전문위원, 김기일 프로, 박상현 프로, 황대욱 프로, 변승찬 프로, 신순연 프로</t>
        </is>
      </c>
    </row>
    <row r="14" ht="20.1" customHeight="1" s="654">
      <c r="B14" s="419">
        <f>ROW()-5</f>
        <v/>
      </c>
      <c r="C14" s="1113" t="n"/>
      <c r="D14" s="1114" t="n">
        <v>46128</v>
      </c>
      <c r="E14" s="1115" t="inlineStr">
        <is>
          <t>신순연</t>
        </is>
      </c>
      <c r="F14" s="519" t="inlineStr">
        <is>
          <t>京华楼</t>
        </is>
      </c>
      <c r="G14" s="1116" t="n">
        <v>297</v>
      </c>
      <c r="H14" s="1117" t="n"/>
      <c r="I14" s="426" t="inlineStr">
        <is>
          <t>고객 업무 추진 및 CRM 유지</t>
        </is>
      </c>
      <c r="J14" s="426" t="inlineStr">
        <is>
          <t>CSOT</t>
        </is>
      </c>
      <c r="K14" s="426" t="inlineStr">
        <is>
          <t>Nate전문가</t>
        </is>
      </c>
      <c r="L14" s="1114" t="inlineStr">
        <is>
          <t>권유석 지사장, 이상태 프로, 박미령 프로, Xiong Feng프로, 신순연 프로</t>
        </is>
      </c>
    </row>
    <row r="15" ht="20.1" customHeight="1" s="654">
      <c r="B15" s="419">
        <f>ROW()-5</f>
        <v/>
      </c>
      <c r="C15" s="1113" t="n"/>
      <c r="D15" s="1114" t="n">
        <v>46150</v>
      </c>
      <c r="E15" s="1115" t="inlineStr">
        <is>
          <t>신순연</t>
        </is>
      </c>
      <c r="F15" s="530" t="inlineStr">
        <is>
          <t>河坝</t>
        </is>
      </c>
      <c r="G15" s="1116" t="n">
        <v>693</v>
      </c>
      <c r="H15" s="1117" t="n"/>
      <c r="I15" s="426" t="inlineStr">
        <is>
          <t>고객 업무 추진 및 CRM 유지</t>
        </is>
      </c>
      <c r="J15" s="426" t="inlineStr">
        <is>
          <t>CSOT</t>
        </is>
      </c>
      <c r="K15" s="426" t="inlineStr">
        <is>
          <t>Liu Kai Yu, Jiang Song Lin(대리점)</t>
        </is>
      </c>
      <c r="L15" s="1118" t="inlineStr">
        <is>
          <t>Zhang Liang, Lin Wei Jian, 신순연</t>
        </is>
      </c>
    </row>
    <row r="16" ht="20.1" customHeight="1" s="654">
      <c r="B16" s="419">
        <f>ROW()-5</f>
        <v/>
      </c>
      <c r="C16" s="1113" t="n"/>
      <c r="D16" s="1114" t="inlineStr">
        <is>
          <t>3월26일</t>
        </is>
      </c>
      <c r="E16" s="1115" t="inlineStr">
        <is>
          <t>권유석</t>
        </is>
      </c>
      <c r="F16" s="519" t="inlineStr">
        <is>
          <t>스.벅</t>
        </is>
      </c>
      <c r="G16" s="1116" t="n">
        <v>60</v>
      </c>
      <c r="H16" s="1117" t="n"/>
      <c r="I16" s="1117" t="inlineStr">
        <is>
          <t>음료</t>
        </is>
      </c>
      <c r="J16" s="426" t="inlineStr">
        <is>
          <t>CSOT</t>
        </is>
      </c>
      <c r="K16" s="426" t="inlineStr">
        <is>
          <t>조달구매</t>
        </is>
      </c>
      <c r="L16" s="426" t="inlineStr">
        <is>
          <t>권유석/정겨운</t>
        </is>
      </c>
    </row>
    <row r="17" ht="20.1" customHeight="1" s="654">
      <c r="B17" s="419">
        <f>ROW()-5</f>
        <v/>
      </c>
      <c r="C17" s="1113" t="n"/>
      <c r="D17" s="1114" t="inlineStr">
        <is>
          <t>3월26일</t>
        </is>
      </c>
      <c r="E17" s="1115" t="inlineStr">
        <is>
          <t>권유석</t>
        </is>
      </c>
      <c r="F17" s="519" t="inlineStr">
        <is>
          <t>소풍</t>
        </is>
      </c>
      <c r="G17" s="1116" t="n">
        <v>281</v>
      </c>
      <c r="H17" s="1117" t="n"/>
      <c r="I17" s="1117" t="inlineStr">
        <is>
          <t>석식</t>
        </is>
      </c>
      <c r="J17" s="426" t="inlineStr">
        <is>
          <t>CSOT</t>
        </is>
      </c>
      <c r="K17" s="426" t="inlineStr">
        <is>
          <t>조달구매</t>
        </is>
      </c>
      <c r="L17" s="426" t="inlineStr">
        <is>
          <t>권유석/정겨운</t>
        </is>
      </c>
    </row>
    <row r="18" ht="20.1" customHeight="1" s="654">
      <c r="B18" s="419">
        <f>ROW()-5</f>
        <v/>
      </c>
      <c r="C18" s="1113" t="n"/>
      <c r="D18" s="1114" t="inlineStr">
        <is>
          <t>3월31일</t>
        </is>
      </c>
      <c r="E18" s="1115" t="inlineStr">
        <is>
          <t>권유석</t>
        </is>
      </c>
      <c r="F18" s="519" t="inlineStr">
        <is>
          <t>홍콩반점</t>
        </is>
      </c>
      <c r="G18" s="1116" t="n">
        <v>315</v>
      </c>
      <c r="H18" s="1117" t="n"/>
      <c r="I18" s="426" t="inlineStr">
        <is>
          <t>석식</t>
        </is>
      </c>
      <c r="J18" s="426" t="inlineStr">
        <is>
          <t>SDC</t>
        </is>
      </c>
      <c r="K18" s="426" t="inlineStr">
        <is>
          <t>구매(신우철 부장)</t>
        </is>
      </c>
      <c r="L18" s="1114" t="inlineStr">
        <is>
          <t>권유석/정겨운</t>
        </is>
      </c>
    </row>
    <row r="19" ht="20.1" customHeight="1" s="654">
      <c r="B19" s="419">
        <f>ROW()-5</f>
        <v/>
      </c>
      <c r="C19" s="1113" t="n"/>
      <c r="D19" s="1114" t="inlineStr">
        <is>
          <t>4월2일</t>
        </is>
      </c>
      <c r="E19" s="1115" t="inlineStr">
        <is>
          <t>권유석</t>
        </is>
      </c>
      <c r="F19" s="519" t="inlineStr">
        <is>
          <t>세븐일레븐</t>
        </is>
      </c>
      <c r="G19" s="1116" t="n">
        <v>100.7</v>
      </c>
      <c r="H19" s="1117" t="n"/>
      <c r="I19" s="426" t="inlineStr">
        <is>
          <t>음료</t>
        </is>
      </c>
      <c r="J19" s="426" t="inlineStr">
        <is>
          <t>CSOT</t>
        </is>
      </c>
      <c r="K19" s="426" t="inlineStr">
        <is>
          <t>영업/KA</t>
        </is>
      </c>
      <c r="L19" s="1114" t="inlineStr">
        <is>
          <t>권유석/신순연</t>
        </is>
      </c>
    </row>
    <row r="20" ht="20.1" customHeight="1" s="654">
      <c r="B20" s="419">
        <f>ROW()-5</f>
        <v/>
      </c>
      <c r="C20" s="1113" t="n"/>
      <c r="D20" s="1114" t="inlineStr">
        <is>
          <t>4월3일</t>
        </is>
      </c>
      <c r="E20" s="1115" t="inlineStr">
        <is>
          <t>권유석</t>
        </is>
      </c>
      <c r="F20" s="519" t="inlineStr">
        <is>
          <t>홍콩반점</t>
        </is>
      </c>
      <c r="G20" s="1116" t="n">
        <v>255</v>
      </c>
      <c r="H20" s="1117" t="n"/>
      <c r="I20" s="426" t="inlineStr">
        <is>
          <t>석식</t>
        </is>
      </c>
      <c r="J20" s="426" t="inlineStr">
        <is>
          <t>BOE</t>
        </is>
      </c>
      <c r="K20" s="426" t="inlineStr">
        <is>
          <t>김문청 사장</t>
        </is>
      </c>
      <c r="L20" s="1114" t="inlineStr">
        <is>
          <t>권유석</t>
        </is>
      </c>
    </row>
    <row r="21" ht="20.1" customHeight="1" s="654">
      <c r="B21" s="419">
        <f>ROW()-5</f>
        <v/>
      </c>
      <c r="C21" s="1113" t="n"/>
      <c r="D21" s="1114" t="inlineStr">
        <is>
          <t>4월17일</t>
        </is>
      </c>
      <c r="E21" s="1115" t="inlineStr">
        <is>
          <t>권유석</t>
        </is>
      </c>
      <c r="F21" s="519" t="inlineStr">
        <is>
          <t>홍콩반점</t>
        </is>
      </c>
      <c r="G21" s="1116" t="n">
        <v>307.8</v>
      </c>
      <c r="H21" s="1117" t="n"/>
      <c r="I21" s="426" t="inlineStr">
        <is>
          <t>석식</t>
        </is>
      </c>
      <c r="J21" s="426" t="inlineStr">
        <is>
          <t>BOE</t>
        </is>
      </c>
      <c r="K21" s="426" t="inlineStr">
        <is>
          <t>김청길 사장(MTK 대리점)</t>
        </is>
      </c>
      <c r="L21" s="1114" t="inlineStr">
        <is>
          <t>권유석</t>
        </is>
      </c>
    </row>
    <row r="22" ht="20.1" customHeight="1" s="654">
      <c r="B22" s="419">
        <f>ROW()-5</f>
        <v/>
      </c>
      <c r="C22" s="1113" t="n"/>
      <c r="D22" s="1114" t="inlineStr">
        <is>
          <t>4월21일</t>
        </is>
      </c>
      <c r="E22" s="1115" t="inlineStr">
        <is>
          <t>권유석</t>
        </is>
      </c>
      <c r="F22" s="519" t="inlineStr">
        <is>
          <t>전통 찻집</t>
        </is>
      </c>
      <c r="G22" s="1116" t="n">
        <v>260</v>
      </c>
      <c r="H22" s="1117" t="n"/>
      <c r="I22" s="426" t="inlineStr">
        <is>
          <t>음료</t>
        </is>
      </c>
      <c r="J22" s="426" t="inlineStr">
        <is>
          <t>ESWIN</t>
        </is>
      </c>
      <c r="K22" s="426" t="inlineStr">
        <is>
          <t>구매 책임자/담당자</t>
        </is>
      </c>
      <c r="L22" s="1114" t="inlineStr">
        <is>
          <t>권유석/정겨운</t>
        </is>
      </c>
    </row>
    <row r="23" ht="20.1" customHeight="1" s="654">
      <c r="B23" s="419">
        <f>ROW()-5</f>
        <v/>
      </c>
      <c r="C23" s="1113" t="n"/>
      <c r="D23" s="1114" t="inlineStr">
        <is>
          <t>4월21일</t>
        </is>
      </c>
      <c r="E23" s="1115" t="inlineStr">
        <is>
          <t>권유석</t>
        </is>
      </c>
      <c r="F23" s="519" t="inlineStr">
        <is>
          <t>订餐卡</t>
        </is>
      </c>
      <c r="G23" s="1116" t="n">
        <v>674</v>
      </c>
      <c r="H23" s="1117" t="n"/>
      <c r="I23" s="426" t="inlineStr">
        <is>
          <t>중식</t>
        </is>
      </c>
      <c r="J23" s="426" t="inlineStr">
        <is>
          <t>ESWIN</t>
        </is>
      </c>
      <c r="K23" s="426" t="inlineStr">
        <is>
          <t>구매 책임자/담당자</t>
        </is>
      </c>
      <c r="L23" s="1114" t="inlineStr">
        <is>
          <t>권유석/정겨운</t>
        </is>
      </c>
    </row>
    <row r="24" ht="20.1" customHeight="1" s="654">
      <c r="B24" s="419">
        <f>ROW()-5</f>
        <v/>
      </c>
      <c r="C24" s="1113" t="n"/>
      <c r="D24" s="1114" t="inlineStr">
        <is>
          <t>4월21일</t>
        </is>
      </c>
      <c r="E24" s="1115" t="inlineStr">
        <is>
          <t>권유석</t>
        </is>
      </c>
      <c r="F24" s="519" t="inlineStr">
        <is>
          <t>스타벅스</t>
        </is>
      </c>
      <c r="G24" s="1116" t="n">
        <v>103</v>
      </c>
      <c r="H24" s="1117" t="n"/>
      <c r="I24" s="426" t="inlineStr">
        <is>
          <t>음료</t>
        </is>
      </c>
      <c r="J24" s="426" t="inlineStr">
        <is>
          <t>ESWIN</t>
        </is>
      </c>
      <c r="K24" s="426" t="inlineStr">
        <is>
          <t>구매 책임자/담당자</t>
        </is>
      </c>
      <c r="L24" s="1114" t="inlineStr">
        <is>
          <t>권유석/정겨운</t>
        </is>
      </c>
    </row>
    <row r="25" ht="20.1" customHeight="1" s="654">
      <c r="B25" s="419">
        <f>ROW()-5</f>
        <v/>
      </c>
      <c r="C25" s="1113" t="n"/>
      <c r="D25" s="1114" t="n">
        <v>46132</v>
      </c>
      <c r="E25" s="1115" t="inlineStr">
        <is>
          <t>PIAO MEILING</t>
        </is>
      </c>
      <c r="F25" s="519" t="inlineStr">
        <is>
          <t>同盛餐饮</t>
        </is>
      </c>
      <c r="G25" s="1116" t="n">
        <v>246</v>
      </c>
      <c r="H25" s="1117" t="n"/>
      <c r="I25" s="426" t="inlineStr">
        <is>
          <t>CSOT 업무 추진</t>
        </is>
      </c>
      <c r="J25" s="426" t="inlineStr">
        <is>
          <t>CSOT</t>
        </is>
      </c>
      <c r="K25" s="426" t="inlineStr">
        <is>
          <t>Liu Wei, Yu Han</t>
        </is>
      </c>
      <c r="L25" s="1114" t="inlineStr">
        <is>
          <t>박미령</t>
        </is>
      </c>
    </row>
    <row r="26" ht="20.1" customHeight="1" s="654">
      <c r="B26" s="419">
        <f>ROW()-5</f>
        <v/>
      </c>
      <c r="C26" s="1113" t="n"/>
      <c r="D26" s="1114" t="n">
        <v>46149</v>
      </c>
      <c r="E26" s="1115" t="inlineStr">
        <is>
          <t>PIAO MEILING</t>
        </is>
      </c>
      <c r="F26" s="519" t="inlineStr">
        <is>
          <t>爱人餐饮</t>
        </is>
      </c>
      <c r="G26" s="1116" t="n">
        <v>140</v>
      </c>
      <c r="H26" s="1117" t="n"/>
      <c r="I26" s="426" t="inlineStr">
        <is>
          <t>CSOT 업무 추진</t>
        </is>
      </c>
      <c r="J26" s="426" t="inlineStr">
        <is>
          <t>CSOT</t>
        </is>
      </c>
      <c r="K26" s="426" t="inlineStr">
        <is>
          <t>Fan Xiankun, Yu Han</t>
        </is>
      </c>
      <c r="L26" s="1114" t="inlineStr">
        <is>
          <t>박미령</t>
        </is>
      </c>
    </row>
    <row r="27" ht="20.1" customHeight="1" s="654">
      <c r="B27" s="419">
        <f>ROW()-5</f>
        <v/>
      </c>
      <c r="C27" s="1113" t="n"/>
      <c r="D27" s="1114" t="n">
        <v>46109</v>
      </c>
      <c r="E27" s="1115" t="inlineStr">
        <is>
          <t>zhangliang</t>
        </is>
      </c>
      <c r="F27" s="519" t="inlineStr">
        <is>
          <t>SDPC便利店</t>
        </is>
      </c>
      <c r="G27" s="1116" t="n">
        <v>36.04</v>
      </c>
      <c r="H27" s="1117" t="n"/>
      <c r="I27" s="426" t="inlineStr">
        <is>
          <t>SDPC업무 추진</t>
        </is>
      </c>
      <c r="J27" s="426" t="inlineStr">
        <is>
          <t>SDPC</t>
        </is>
      </c>
      <c r="K27" s="426" t="inlineStr">
        <is>
          <t>孙志强</t>
        </is>
      </c>
      <c r="L27" s="1114" t="inlineStr">
        <is>
          <t>zhangliang</t>
        </is>
      </c>
    </row>
    <row r="28" ht="20.1" customHeight="1" s="654">
      <c r="B28" s="419">
        <f>ROW()-5</f>
        <v/>
      </c>
      <c r="C28" s="1113" t="n"/>
      <c r="D28" s="1114" t="n">
        <v>46156</v>
      </c>
      <c r="E28" s="1115" t="inlineStr">
        <is>
          <t>zhangliang</t>
        </is>
      </c>
      <c r="F28" s="519" t="inlineStr">
        <is>
          <t>印尼餐厅</t>
        </is>
      </c>
      <c r="G28" s="1116" t="n">
        <v>1016.12</v>
      </c>
      <c r="H28" s="1117" t="n"/>
      <c r="I28" s="426" t="inlineStr">
        <is>
          <t>HKC업무 추진</t>
        </is>
      </c>
      <c r="J28" s="426" t="inlineStr">
        <is>
          <t>HKC</t>
        </is>
      </c>
      <c r="K28" s="426" t="inlineStr">
        <is>
          <t>DK Park、Eddie等</t>
        </is>
      </c>
      <c r="L28" s="1114" t="inlineStr">
        <is>
          <t>zhangliang、shenshunyan</t>
        </is>
      </c>
    </row>
    <row r="29" ht="20.1" customHeight="1" s="654">
      <c r="B29" s="419">
        <f>ROW()-5</f>
        <v/>
      </c>
      <c r="C29" s="1113" t="n"/>
      <c r="D29" s="1114" t="n">
        <v>46134</v>
      </c>
      <c r="E29" s="1115" t="inlineStr">
        <is>
          <t>zhangliang</t>
        </is>
      </c>
      <c r="F29" s="519" t="inlineStr">
        <is>
          <t>H1水果店</t>
        </is>
      </c>
      <c r="G29" s="1116" t="n">
        <v>58</v>
      </c>
      <c r="H29" s="1117" t="n"/>
      <c r="I29" s="426" t="inlineStr">
        <is>
          <t>HKC업무 추진</t>
        </is>
      </c>
      <c r="J29" s="426" t="inlineStr">
        <is>
          <t>HKC</t>
        </is>
      </c>
      <c r="K29" s="426" t="inlineStr">
        <is>
          <t>费如涵、陈杰</t>
        </is>
      </c>
      <c r="L29" s="1114" t="inlineStr">
        <is>
          <t>zhangliang</t>
        </is>
      </c>
    </row>
    <row r="30" ht="20.1" customHeight="1" s="654">
      <c r="B30" s="419">
        <f>ROW()-5</f>
        <v/>
      </c>
      <c r="C30" s="1113" t="n"/>
      <c r="D30" s="1114" t="n"/>
      <c r="E30" s="1115" t="n"/>
      <c r="F30" s="519" t="n"/>
      <c r="G30" s="1116" t="n"/>
      <c r="H30" s="1117" t="n"/>
      <c r="I30" s="426" t="n"/>
      <c r="J30" s="426" t="n"/>
      <c r="K30" s="426" t="n"/>
      <c r="L30" s="1114" t="n"/>
    </row>
    <row r="31" ht="20.1" customHeight="1" s="654">
      <c r="B31" s="419">
        <f>ROW()-5</f>
        <v/>
      </c>
      <c r="C31" s="1113" t="n"/>
      <c r="D31" s="1114" t="n"/>
      <c r="E31" s="1115" t="n"/>
      <c r="F31" s="519" t="n"/>
      <c r="G31" s="1116" t="n"/>
      <c r="H31" s="1117" t="n"/>
      <c r="I31" s="426" t="n"/>
      <c r="J31" s="426" t="n"/>
      <c r="K31" s="426" t="n"/>
      <c r="L31" s="1114" t="n"/>
    </row>
    <row r="32" ht="20.1" customHeight="1" s="654">
      <c r="B32" s="419">
        <f>ROW()-5</f>
        <v/>
      </c>
      <c r="C32" s="1113" t="n"/>
      <c r="D32" s="1114" t="n"/>
      <c r="E32" s="1115" t="n"/>
      <c r="F32" s="519" t="n"/>
      <c r="G32" s="1116" t="n"/>
      <c r="H32" s="1117" t="n"/>
      <c r="I32" s="426" t="n"/>
      <c r="J32" s="426" t="n"/>
      <c r="K32" s="426" t="n"/>
      <c r="L32" s="1114" t="n"/>
    </row>
    <row r="33" ht="20.1" customHeight="1" s="654">
      <c r="B33" s="419">
        <f>ROW()-5</f>
        <v/>
      </c>
      <c r="C33" s="1113" t="n"/>
      <c r="D33" s="1114" t="n"/>
      <c r="E33" s="1115" t="n"/>
      <c r="F33" s="519" t="n"/>
      <c r="G33" s="1116" t="n"/>
      <c r="H33" s="1117" t="n"/>
      <c r="I33" s="426" t="n"/>
      <c r="J33" s="426" t="n"/>
      <c r="K33" s="426" t="n"/>
      <c r="L33" s="1114" t="n"/>
    </row>
    <row r="34" ht="20.1" customHeight="1" s="654">
      <c r="B34" s="419">
        <f>ROW()-5</f>
        <v/>
      </c>
      <c r="C34" s="1113" t="n"/>
      <c r="D34" s="1114" t="n"/>
      <c r="E34" s="1115" t="n"/>
      <c r="F34" s="519" t="n"/>
      <c r="G34" s="1116" t="n"/>
      <c r="H34" s="1117" t="n"/>
      <c r="I34" s="426" t="n"/>
      <c r="J34" s="426" t="n"/>
      <c r="K34" s="426" t="n"/>
      <c r="L34" s="1114" t="n"/>
    </row>
    <row r="35" ht="20.1" customHeight="1" s="654">
      <c r="B35" s="419">
        <f>ROW()-5</f>
        <v/>
      </c>
      <c r="C35" s="1113" t="n"/>
      <c r="D35" s="1114" t="n"/>
      <c r="E35" s="1115" t="n"/>
      <c r="F35" s="519" t="n"/>
      <c r="G35" s="1116" t="n"/>
      <c r="H35" s="1117" t="n"/>
      <c r="I35" s="426" t="n"/>
      <c r="J35" s="426" t="n"/>
      <c r="K35" s="426" t="n"/>
      <c r="L35" s="1114" t="n"/>
    </row>
    <row r="36" ht="20.1" customHeight="1" s="654">
      <c r="B36" s="419">
        <f>ROW()-5</f>
        <v/>
      </c>
      <c r="C36" s="1113" t="n"/>
      <c r="D36" s="1114" t="n"/>
      <c r="E36" s="1115" t="n"/>
      <c r="F36" s="519" t="n"/>
      <c r="G36" s="1116" t="n"/>
      <c r="H36" s="1117" t="n"/>
      <c r="I36" s="426" t="n"/>
      <c r="J36" s="426" t="n"/>
      <c r="K36" s="426" t="n"/>
      <c r="L36" s="1114" t="n"/>
    </row>
    <row r="37" ht="20.1" customHeight="1" s="654">
      <c r="B37" s="419">
        <f>ROW()-5</f>
        <v/>
      </c>
      <c r="C37" s="1113" t="n"/>
      <c r="D37" s="1114" t="n"/>
      <c r="E37" s="1115" t="n"/>
      <c r="F37" s="519" t="n"/>
      <c r="G37" s="1116" t="n"/>
      <c r="H37" s="1117" t="n"/>
      <c r="I37" s="426" t="n"/>
      <c r="J37" s="426" t="n"/>
      <c r="K37" s="426" t="n"/>
      <c r="L37" s="1114" t="n"/>
    </row>
    <row r="38" ht="20.1" customHeight="1" s="654">
      <c r="B38" s="419">
        <f>ROW()-5</f>
        <v/>
      </c>
      <c r="C38" s="1113" t="n"/>
      <c r="D38" s="1114" t="n"/>
      <c r="E38" s="1115" t="n"/>
      <c r="F38" s="519" t="n"/>
      <c r="G38" s="1116" t="n"/>
      <c r="H38" s="1117" t="n"/>
      <c r="I38" s="426" t="n"/>
      <c r="J38" s="426" t="n"/>
      <c r="K38" s="426" t="n"/>
      <c r="L38" s="1114" t="n"/>
    </row>
    <row r="39" ht="20.1" customHeight="1" s="654">
      <c r="B39" s="419">
        <f>ROW()-5</f>
        <v/>
      </c>
      <c r="C39" s="1113" t="n"/>
      <c r="D39" s="1114" t="n"/>
      <c r="E39" s="1115" t="n"/>
      <c r="F39" s="519" t="n"/>
      <c r="G39" s="1116" t="n"/>
      <c r="H39" s="1117" t="n"/>
      <c r="I39" s="426" t="n"/>
      <c r="J39" s="426" t="n"/>
      <c r="K39" s="426" t="n"/>
      <c r="L39" s="1114" t="n"/>
    </row>
    <row r="40" ht="20.1" customHeight="1" s="654">
      <c r="B40" s="419">
        <f>ROW()-5</f>
        <v/>
      </c>
      <c r="C40" s="1113" t="n"/>
      <c r="D40" s="1114" t="n"/>
      <c r="E40" s="1115" t="n"/>
      <c r="F40" s="519" t="n"/>
      <c r="G40" s="1116" t="n"/>
      <c r="H40" s="1117" t="n"/>
      <c r="I40" s="426" t="n"/>
      <c r="J40" s="426" t="n"/>
      <c r="K40" s="426" t="n"/>
      <c r="L40" s="1114" t="n"/>
    </row>
    <row r="41" ht="20.1" customHeight="1" s="654">
      <c r="B41" s="419">
        <f>ROW()-5</f>
        <v/>
      </c>
      <c r="C41" s="1113" t="n"/>
      <c r="D41" s="1114" t="n"/>
      <c r="E41" s="1115" t="n"/>
      <c r="F41" s="519" t="n"/>
      <c r="G41" s="1116" t="n"/>
      <c r="H41" s="1117" t="n"/>
      <c r="I41" s="426" t="n"/>
      <c r="J41" s="426" t="n"/>
      <c r="K41" s="426" t="n"/>
      <c r="L41" s="1114" t="n"/>
    </row>
    <row r="42" hidden="1" ht="20.1" customHeight="1" s="654">
      <c r="B42" s="419">
        <f>ROW()-5</f>
        <v/>
      </c>
      <c r="C42" s="1113" t="n"/>
      <c r="D42" s="1114" t="n"/>
      <c r="E42" s="1115" t="n"/>
      <c r="F42" s="519" t="n"/>
      <c r="G42" s="1116" t="n"/>
      <c r="H42" s="1117" t="n"/>
      <c r="I42" s="426" t="n"/>
      <c r="J42" s="426" t="n"/>
      <c r="K42" s="426" t="n"/>
      <c r="L42" s="1114" t="n"/>
    </row>
    <row r="43" hidden="1" ht="20.1" customHeight="1" s="654">
      <c r="B43" s="419">
        <f>ROW()-5</f>
        <v/>
      </c>
      <c r="C43" s="1113" t="n"/>
      <c r="D43" s="1114" t="n"/>
      <c r="E43" s="1115" t="n"/>
      <c r="F43" s="519" t="n"/>
      <c r="G43" s="1116" t="n"/>
      <c r="H43" s="1117" t="n"/>
      <c r="I43" s="426" t="n"/>
      <c r="J43" s="426" t="n"/>
      <c r="K43" s="426" t="n"/>
      <c r="L43" s="1114" t="n"/>
    </row>
    <row r="44" hidden="1" ht="20.1" customHeight="1" s="654">
      <c r="B44" s="419">
        <f>ROW()-5</f>
        <v/>
      </c>
      <c r="C44" s="1113" t="n"/>
      <c r="D44" s="1114" t="n"/>
      <c r="E44" s="1115" t="n"/>
      <c r="F44" s="519" t="n"/>
      <c r="G44" s="1116" t="n"/>
      <c r="H44" s="1117" t="n"/>
      <c r="I44" s="426" t="n"/>
      <c r="J44" s="426" t="n"/>
      <c r="K44" s="426" t="n"/>
      <c r="L44" s="1114" t="n"/>
    </row>
    <row r="45" hidden="1" ht="20.1" customHeight="1" s="654">
      <c r="B45" s="419">
        <f>ROW()-5</f>
        <v/>
      </c>
      <c r="C45" s="1113" t="n"/>
      <c r="D45" s="1114" t="n"/>
      <c r="E45" s="1115" t="n"/>
      <c r="F45" s="519" t="n"/>
      <c r="G45" s="1116" t="n"/>
      <c r="H45" s="1117" t="n"/>
      <c r="I45" s="426" t="n"/>
      <c r="J45" s="426" t="n"/>
      <c r="K45" s="426" t="n"/>
      <c r="L45" s="1114" t="n"/>
    </row>
    <row r="46" hidden="1" ht="20.1" customHeight="1" s="654">
      <c r="B46" s="419">
        <f>ROW()-5</f>
        <v/>
      </c>
      <c r="C46" s="1113" t="n"/>
      <c r="D46" s="1114" t="n"/>
      <c r="E46" s="1114" t="n"/>
      <c r="F46" s="519" t="n"/>
      <c r="G46" s="1119" t="n"/>
      <c r="H46" s="1117" t="n"/>
      <c r="I46" s="426" t="n"/>
      <c r="J46" s="426" t="n"/>
      <c r="K46" s="426" t="n"/>
      <c r="L46" s="1114" t="n"/>
    </row>
    <row r="47">
      <c r="B47" s="419" t="n"/>
      <c r="G47" s="1120">
        <f>SUM(G6:G46)</f>
        <v/>
      </c>
      <c r="H47" s="1121">
        <f>SUM(H6:H46)</f>
        <v/>
      </c>
    </row>
  </sheetData>
  <autoFilter ref="B5:L46"/>
  <mergeCells count="10">
    <mergeCell ref="G4:H4"/>
    <mergeCell ref="G2:I2"/>
    <mergeCell ref="B4:B5"/>
    <mergeCell ref="C4:C5"/>
    <mergeCell ref="F4:F5"/>
    <mergeCell ref="D4:D5"/>
    <mergeCell ref="J4:J5"/>
    <mergeCell ref="E4:E5"/>
    <mergeCell ref="I4:I5"/>
    <mergeCell ref="K4:L4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C3:V24"/>
  <sheetViews>
    <sheetView showGridLines="0" view="pageBreakPreview" zoomScaleNormal="90" zoomScaleSheetLayoutView="100" workbookViewId="0">
      <selection activeCell="Q28" sqref="Q28"/>
    </sheetView>
  </sheetViews>
  <sheetFormatPr baseColWidth="8" defaultColWidth="9.5" defaultRowHeight="16.5"/>
  <cols>
    <col width="2.125" customWidth="1" style="408" min="1" max="2"/>
    <col width="11.125" customWidth="1" style="408" min="3" max="3"/>
    <col width="9.875" customWidth="1" style="408" min="4" max="4"/>
    <col width="11.75" customWidth="1" style="408" min="5" max="5"/>
    <col width="6.75" customWidth="1" style="408" min="6" max="6"/>
    <col width="9.5" customWidth="1" style="408" min="7" max="8"/>
    <col width="6.875" customWidth="1" style="408" min="9" max="9"/>
    <col width="11.125" customWidth="1" style="408" min="10" max="10"/>
    <col width="9.5" customWidth="1" style="408" min="11" max="12"/>
    <col width="6.75" customWidth="1" style="408" min="13" max="13"/>
    <col width="9.5" customWidth="1" style="408" min="14" max="16"/>
    <col width="11.125" customWidth="1" style="408" min="17" max="17"/>
    <col width="9.5" customWidth="1" style="408" min="18" max="19"/>
    <col width="6.75" customWidth="1" style="408" min="20" max="20"/>
    <col width="9.5" customWidth="1" style="408" min="21" max="16384"/>
  </cols>
  <sheetData>
    <row r="3">
      <c r="C3" s="532" t="inlineStr">
        <is>
          <t>Liu Ming Liang</t>
        </is>
      </c>
      <c r="J3" s="533" t="inlineStr">
        <is>
          <t>chen guo liang</t>
        </is>
      </c>
      <c r="K3" s="532" t="n"/>
      <c r="Q3" s="533" t="inlineStr">
        <is>
          <t>chen feng jun</t>
        </is>
      </c>
    </row>
    <row r="4">
      <c r="C4" s="409" t="inlineStr">
        <is>
          <t>일자</t>
        </is>
      </c>
      <c r="D4" s="409" t="inlineStr">
        <is>
          <t>내용</t>
        </is>
      </c>
      <c r="E4" s="409" t="inlineStr">
        <is>
          <t>인원</t>
        </is>
      </c>
      <c r="F4" s="409" t="inlineStr">
        <is>
          <t>시간</t>
        </is>
      </c>
      <c r="G4" s="409" t="inlineStr">
        <is>
          <t>비용</t>
        </is>
      </c>
      <c r="H4" s="409" t="inlineStr">
        <is>
          <t>비고</t>
        </is>
      </c>
      <c r="J4" s="409" t="inlineStr">
        <is>
          <t>일자</t>
        </is>
      </c>
      <c r="K4" s="409" t="inlineStr">
        <is>
          <t>내용</t>
        </is>
      </c>
      <c r="L4" s="409" t="inlineStr">
        <is>
          <t>인원</t>
        </is>
      </c>
      <c r="M4" s="409" t="inlineStr">
        <is>
          <t>시간</t>
        </is>
      </c>
      <c r="N4" s="409" t="inlineStr">
        <is>
          <t>비용</t>
        </is>
      </c>
      <c r="O4" s="409" t="inlineStr">
        <is>
          <t>비고</t>
        </is>
      </c>
      <c r="Q4" s="409" t="inlineStr">
        <is>
          <t>일자</t>
        </is>
      </c>
      <c r="R4" s="409" t="inlineStr">
        <is>
          <t>내용</t>
        </is>
      </c>
      <c r="S4" s="409" t="inlineStr">
        <is>
          <t>인원</t>
        </is>
      </c>
      <c r="T4" s="409" t="inlineStr">
        <is>
          <t>시간</t>
        </is>
      </c>
      <c r="U4" s="409" t="inlineStr">
        <is>
          <t>비용</t>
        </is>
      </c>
      <c r="V4" s="409" t="inlineStr">
        <is>
          <t>비고</t>
        </is>
      </c>
    </row>
    <row r="5">
      <c r="C5" s="1122" t="n">
        <v>46134</v>
      </c>
      <c r="D5" s="409" t="n"/>
      <c r="E5" s="409" t="inlineStr">
        <is>
          <t>심천지사</t>
        </is>
      </c>
      <c r="F5" s="409" t="n">
        <v>6</v>
      </c>
      <c r="G5" s="409">
        <f>F5*20</f>
        <v/>
      </c>
      <c r="H5" s="409" t="n"/>
      <c r="J5" s="1122" t="n">
        <v>46135</v>
      </c>
      <c r="K5" s="409" t="n"/>
      <c r="L5" s="409" t="inlineStr">
        <is>
          <t>심천지사</t>
        </is>
      </c>
      <c r="M5" s="409" t="n">
        <v>4</v>
      </c>
      <c r="N5" s="409">
        <f>M5*20</f>
        <v/>
      </c>
      <c r="O5" s="409" t="n"/>
      <c r="Q5" s="1122" t="n">
        <v>46134</v>
      </c>
      <c r="R5" s="409" t="n"/>
      <c r="S5" s="409" t="inlineStr">
        <is>
          <t>심천지사</t>
        </is>
      </c>
      <c r="T5" s="409" t="n">
        <v>1</v>
      </c>
      <c r="U5" s="409">
        <f>T5*20</f>
        <v/>
      </c>
      <c r="V5" s="409" t="n"/>
    </row>
    <row r="6">
      <c r="C6" s="1122" t="n">
        <v>46135</v>
      </c>
      <c r="D6" s="409" t="n"/>
      <c r="E6" s="409" t="inlineStr">
        <is>
          <t>심천지사</t>
        </is>
      </c>
      <c r="F6" s="409" t="n">
        <v>3.5</v>
      </c>
      <c r="G6" s="409">
        <f>F6*20</f>
        <v/>
      </c>
      <c r="H6" s="409" t="n"/>
      <c r="J6" s="1122" t="n">
        <v>46139</v>
      </c>
      <c r="K6" s="409" t="n"/>
      <c r="L6" s="409" t="inlineStr">
        <is>
          <t>심천지사</t>
        </is>
      </c>
      <c r="M6" s="409" t="n">
        <v>4</v>
      </c>
      <c r="N6" s="409">
        <f>M6*20</f>
        <v/>
      </c>
      <c r="O6" s="409" t="n"/>
      <c r="Q6" s="1122" t="n">
        <v>46135</v>
      </c>
      <c r="R6" s="409" t="n"/>
      <c r="S6" s="409" t="inlineStr">
        <is>
          <t>심천지사</t>
        </is>
      </c>
      <c r="T6" s="409" t="n">
        <v>2</v>
      </c>
      <c r="U6" s="409">
        <f>T6*20</f>
        <v/>
      </c>
      <c r="V6" s="409" t="n"/>
    </row>
    <row r="7">
      <c r="C7" s="1122" t="n">
        <v>46136</v>
      </c>
      <c r="D7" s="409" t="n"/>
      <c r="E7" s="409" t="inlineStr">
        <is>
          <t>심천지사</t>
        </is>
      </c>
      <c r="F7" s="409" t="n">
        <v>6.5</v>
      </c>
      <c r="G7" s="409">
        <f>F7*20</f>
        <v/>
      </c>
      <c r="H7" s="409" t="n"/>
      <c r="J7" s="1122" t="n">
        <v>46149</v>
      </c>
      <c r="K7" s="409" t="n"/>
      <c r="L7" s="409" t="inlineStr">
        <is>
          <t>심천지사</t>
        </is>
      </c>
      <c r="M7" s="409" t="n">
        <v>3</v>
      </c>
      <c r="N7" s="409">
        <f>M7*20</f>
        <v/>
      </c>
      <c r="O7" s="409" t="n"/>
      <c r="Q7" s="1122" t="n">
        <v>46139</v>
      </c>
      <c r="R7" s="409" t="n"/>
      <c r="S7" s="409" t="inlineStr">
        <is>
          <t>심천지사</t>
        </is>
      </c>
      <c r="T7" s="409" t="n">
        <v>3</v>
      </c>
      <c r="U7" s="409">
        <f>T7*20</f>
        <v/>
      </c>
      <c r="V7" s="409" t="n"/>
    </row>
    <row r="8">
      <c r="C8" s="1122" t="n">
        <v>46139</v>
      </c>
      <c r="D8" s="409" t="n"/>
      <c r="E8" s="409" t="inlineStr">
        <is>
          <t>심천지사</t>
        </is>
      </c>
      <c r="F8" s="409" t="n">
        <v>3</v>
      </c>
      <c r="G8" s="409">
        <f>F8*20</f>
        <v/>
      </c>
      <c r="H8" s="409" t="n"/>
      <c r="J8" s="1122" t="n">
        <v>46150</v>
      </c>
      <c r="K8" s="409" t="n"/>
      <c r="L8" s="409" t="inlineStr">
        <is>
          <t>심천지사</t>
        </is>
      </c>
      <c r="M8" s="409" t="n">
        <v>3</v>
      </c>
      <c r="N8" s="409">
        <f>M8*20</f>
        <v/>
      </c>
      <c r="O8" s="409" t="n"/>
      <c r="Q8" s="1122" t="n">
        <v>46140</v>
      </c>
      <c r="R8" s="409" t="n"/>
      <c r="S8" s="409" t="inlineStr">
        <is>
          <t>심천지사</t>
        </is>
      </c>
      <c r="T8" s="409" t="n">
        <v>1</v>
      </c>
      <c r="U8" s="409">
        <f>T8*20</f>
        <v/>
      </c>
      <c r="V8" s="409" t="n"/>
    </row>
    <row r="9">
      <c r="C9" s="1122" t="n">
        <v>46142</v>
      </c>
      <c r="D9" s="409" t="n"/>
      <c r="E9" s="409" t="inlineStr">
        <is>
          <t>심천지사</t>
        </is>
      </c>
      <c r="F9" s="409" t="n">
        <v>1</v>
      </c>
      <c r="G9" s="409">
        <f>F9*20</f>
        <v/>
      </c>
      <c r="H9" s="411" t="n"/>
      <c r="J9" s="1122" t="n">
        <v>46155</v>
      </c>
      <c r="K9" s="409" t="n"/>
      <c r="L9" s="409" t="inlineStr">
        <is>
          <t>심천지사</t>
        </is>
      </c>
      <c r="M9" s="409" t="n">
        <v>5</v>
      </c>
      <c r="N9" s="409">
        <f>M9*20</f>
        <v/>
      </c>
      <c r="O9" s="411" t="n"/>
      <c r="Q9" s="1122" t="n">
        <v>46154</v>
      </c>
      <c r="R9" s="409" t="n"/>
      <c r="S9" s="409" t="inlineStr">
        <is>
          <t>심천지사</t>
        </is>
      </c>
      <c r="T9" s="409" t="n">
        <v>3</v>
      </c>
      <c r="U9" s="409">
        <f>T9*20</f>
        <v/>
      </c>
      <c r="V9" s="411" t="n"/>
    </row>
    <row r="10">
      <c r="C10" s="1122" t="n">
        <v>46150</v>
      </c>
      <c r="D10" s="409" t="n"/>
      <c r="E10" s="409" t="inlineStr">
        <is>
          <t>심천지사</t>
        </is>
      </c>
      <c r="F10" s="409" t="n">
        <v>5</v>
      </c>
      <c r="G10" s="409">
        <f>F10*20</f>
        <v/>
      </c>
      <c r="H10" s="409" t="n"/>
      <c r="J10" s="1122" t="n">
        <v>46158</v>
      </c>
      <c r="K10" s="409" t="n"/>
      <c r="L10" s="409" t="inlineStr">
        <is>
          <t>심천지사</t>
        </is>
      </c>
      <c r="M10" s="409" t="n">
        <v>16</v>
      </c>
      <c r="N10" s="409">
        <f>M10*20</f>
        <v/>
      </c>
      <c r="O10" s="409" t="n"/>
      <c r="Q10" s="1122" t="n">
        <v>46158</v>
      </c>
      <c r="R10" s="409" t="n"/>
      <c r="S10" s="409" t="inlineStr">
        <is>
          <t>심천지사</t>
        </is>
      </c>
      <c r="T10" s="409" t="n">
        <v>5</v>
      </c>
      <c r="U10" s="409">
        <f>T10*20</f>
        <v/>
      </c>
      <c r="V10" s="409" t="n"/>
    </row>
    <row r="11">
      <c r="C11" s="1122" t="n">
        <v>46153</v>
      </c>
      <c r="D11" s="409" t="n"/>
      <c r="E11" s="409" t="inlineStr">
        <is>
          <t>심천지사</t>
        </is>
      </c>
      <c r="F11" s="409" t="n">
        <v>1</v>
      </c>
      <c r="G11" s="409">
        <f>F11*20</f>
        <v/>
      </c>
      <c r="H11" s="409" t="n"/>
      <c r="J11" s="1122" t="n">
        <v>46159</v>
      </c>
      <c r="K11" s="409" t="n"/>
      <c r="L11" s="409" t="inlineStr">
        <is>
          <t>심천지사</t>
        </is>
      </c>
      <c r="M11" s="409" t="n">
        <v>3</v>
      </c>
      <c r="N11" s="409">
        <f>M11*20</f>
        <v/>
      </c>
      <c r="O11" s="409" t="n"/>
      <c r="Q11" s="1122" t="n"/>
      <c r="R11" s="409" t="n"/>
      <c r="S11" s="409" t="inlineStr">
        <is>
          <t>심천지사</t>
        </is>
      </c>
      <c r="T11" s="409" t="n"/>
      <c r="U11" s="409">
        <f>T11*20</f>
        <v/>
      </c>
      <c r="V11" s="409" t="n"/>
    </row>
    <row r="12">
      <c r="C12" s="1122" t="n">
        <v>46156</v>
      </c>
      <c r="D12" s="409" t="n"/>
      <c r="E12" s="409" t="inlineStr">
        <is>
          <t>심천지사</t>
        </is>
      </c>
      <c r="F12" s="409" t="n">
        <v>3</v>
      </c>
      <c r="G12" s="409">
        <f>F12*20</f>
        <v/>
      </c>
      <c r="H12" s="409" t="n"/>
      <c r="J12" s="1122" t="n"/>
      <c r="K12" s="409" t="n"/>
      <c r="L12" s="409" t="inlineStr">
        <is>
          <t>심천지사</t>
        </is>
      </c>
      <c r="M12" s="409" t="n"/>
      <c r="N12" s="409">
        <f>M12*20</f>
        <v/>
      </c>
      <c r="O12" s="409" t="n"/>
      <c r="Q12" s="1122" t="n"/>
      <c r="R12" s="409" t="n"/>
      <c r="S12" s="409" t="inlineStr">
        <is>
          <t>심천지사</t>
        </is>
      </c>
      <c r="T12" s="409" t="n"/>
      <c r="U12" s="409">
        <f>T12*20</f>
        <v/>
      </c>
      <c r="V12" s="409" t="n"/>
    </row>
    <row r="13">
      <c r="C13" s="1122" t="n"/>
      <c r="D13" s="409" t="n"/>
      <c r="E13" s="409" t="inlineStr">
        <is>
          <t>심천지사</t>
        </is>
      </c>
      <c r="F13" s="409" t="n"/>
      <c r="G13" s="409">
        <f>F13*20</f>
        <v/>
      </c>
      <c r="H13" s="411" t="n"/>
      <c r="J13" s="1122" t="n"/>
      <c r="K13" s="409" t="n"/>
      <c r="L13" s="409" t="inlineStr">
        <is>
          <t>심천지사</t>
        </is>
      </c>
      <c r="M13" s="409" t="n"/>
      <c r="N13" s="409">
        <f>M13*20</f>
        <v/>
      </c>
      <c r="O13" s="411" t="n"/>
      <c r="Q13" s="1122" t="n"/>
      <c r="R13" s="409" t="n"/>
      <c r="S13" s="409" t="inlineStr">
        <is>
          <t>심천지사</t>
        </is>
      </c>
      <c r="T13" s="409" t="n"/>
      <c r="U13" s="409">
        <f>T13*20</f>
        <v/>
      </c>
      <c r="V13" s="411" t="n"/>
    </row>
    <row r="14">
      <c r="C14" s="1122" t="n"/>
      <c r="D14" s="409" t="n"/>
      <c r="E14" s="409" t="inlineStr">
        <is>
          <t>심천지사</t>
        </is>
      </c>
      <c r="F14" s="409" t="n"/>
      <c r="G14" s="409">
        <f>F14*20</f>
        <v/>
      </c>
      <c r="H14" s="411" t="n"/>
      <c r="J14" s="1122" t="n"/>
      <c r="K14" s="409" t="n"/>
      <c r="L14" s="409" t="inlineStr">
        <is>
          <t>심천지사</t>
        </is>
      </c>
      <c r="M14" s="409" t="n"/>
      <c r="N14" s="409">
        <f>M14*20</f>
        <v/>
      </c>
      <c r="O14" s="411" t="n"/>
      <c r="Q14" s="1122" t="n"/>
      <c r="R14" s="409" t="n"/>
      <c r="S14" s="409" t="inlineStr">
        <is>
          <t>심천지사</t>
        </is>
      </c>
      <c r="T14" s="409" t="n"/>
      <c r="U14" s="409">
        <f>T14*20</f>
        <v/>
      </c>
      <c r="V14" s="411" t="n"/>
    </row>
    <row r="15">
      <c r="C15" s="1122" t="n"/>
      <c r="D15" s="409" t="n"/>
      <c r="E15" s="409" t="inlineStr">
        <is>
          <t>심천지사</t>
        </is>
      </c>
      <c r="F15" s="409" t="n"/>
      <c r="G15" s="409">
        <f>F15*20</f>
        <v/>
      </c>
      <c r="H15" s="411" t="n"/>
      <c r="J15" s="1122" t="n"/>
      <c r="K15" s="409" t="n"/>
      <c r="L15" s="409" t="inlineStr">
        <is>
          <t>심천지사</t>
        </is>
      </c>
      <c r="M15" s="409" t="n"/>
      <c r="N15" s="409">
        <f>M15*20</f>
        <v/>
      </c>
      <c r="O15" s="411" t="n"/>
      <c r="Q15" s="1122" t="n"/>
      <c r="R15" s="409" t="n"/>
      <c r="S15" s="409" t="inlineStr">
        <is>
          <t>심천지사</t>
        </is>
      </c>
      <c r="T15" s="409" t="n"/>
      <c r="U15" s="409">
        <f>T15*20</f>
        <v/>
      </c>
      <c r="V15" s="411" t="n"/>
    </row>
    <row r="16">
      <c r="C16" s="1122" t="n"/>
      <c r="D16" s="409" t="n"/>
      <c r="E16" s="409" t="inlineStr">
        <is>
          <t>심천지사</t>
        </is>
      </c>
      <c r="F16" s="409" t="n"/>
      <c r="G16" s="409">
        <f>F16*20</f>
        <v/>
      </c>
      <c r="H16" s="411" t="n"/>
      <c r="J16" s="1122" t="n"/>
      <c r="K16" s="409" t="n"/>
      <c r="L16" s="409" t="inlineStr">
        <is>
          <t>심천지사</t>
        </is>
      </c>
      <c r="M16" s="409" t="n"/>
      <c r="N16" s="409">
        <f>M16*20</f>
        <v/>
      </c>
      <c r="O16" s="411" t="n"/>
      <c r="Q16" s="1122" t="n"/>
      <c r="R16" s="409" t="n"/>
      <c r="S16" s="409" t="inlineStr">
        <is>
          <t>심천지사</t>
        </is>
      </c>
      <c r="T16" s="409" t="n"/>
      <c r="U16" s="409">
        <f>T16*20</f>
        <v/>
      </c>
      <c r="V16" s="411" t="n"/>
    </row>
    <row r="17">
      <c r="C17" s="1122" t="n"/>
      <c r="D17" s="409" t="n"/>
      <c r="E17" s="409" t="inlineStr">
        <is>
          <t>심천지사</t>
        </is>
      </c>
      <c r="F17" s="409" t="n"/>
      <c r="G17" s="409">
        <f>F17*20</f>
        <v/>
      </c>
      <c r="H17" s="409" t="n"/>
      <c r="J17" s="1122" t="n"/>
      <c r="K17" s="409" t="n"/>
      <c r="L17" s="409" t="inlineStr">
        <is>
          <t>심천지사</t>
        </is>
      </c>
      <c r="M17" s="409" t="n"/>
      <c r="N17" s="409">
        <f>M17*20</f>
        <v/>
      </c>
      <c r="O17" s="409" t="n"/>
      <c r="Q17" s="1122" t="n"/>
      <c r="R17" s="409" t="n"/>
      <c r="S17" s="409" t="inlineStr">
        <is>
          <t>심천지사</t>
        </is>
      </c>
      <c r="T17" s="409" t="n"/>
      <c r="U17" s="409">
        <f>T17*20</f>
        <v/>
      </c>
      <c r="V17" s="409" t="n"/>
    </row>
    <row r="18">
      <c r="C18" s="1122" t="n"/>
      <c r="D18" s="409" t="n"/>
      <c r="E18" s="409" t="inlineStr">
        <is>
          <t>심천지사</t>
        </is>
      </c>
      <c r="F18" s="409" t="n"/>
      <c r="G18" s="409">
        <f>F18*20</f>
        <v/>
      </c>
      <c r="H18" s="409" t="n"/>
      <c r="J18" s="1122" t="n"/>
      <c r="K18" s="409" t="n"/>
      <c r="L18" s="409" t="inlineStr">
        <is>
          <t>심천지사</t>
        </is>
      </c>
      <c r="M18" s="409" t="n"/>
      <c r="N18" s="409">
        <f>M18*20</f>
        <v/>
      </c>
      <c r="O18" s="409" t="n"/>
      <c r="Q18" s="1122" t="n"/>
      <c r="R18" s="409" t="n"/>
      <c r="S18" s="409" t="inlineStr">
        <is>
          <t>심천지사</t>
        </is>
      </c>
      <c r="T18" s="409" t="n"/>
      <c r="U18" s="409">
        <f>T18*20</f>
        <v/>
      </c>
      <c r="V18" s="409" t="n"/>
    </row>
    <row r="19">
      <c r="C19" s="1122" t="n"/>
      <c r="D19" s="409" t="n"/>
      <c r="E19" s="409" t="inlineStr">
        <is>
          <t>심천지사</t>
        </is>
      </c>
      <c r="F19" s="409" t="n"/>
      <c r="G19" s="409">
        <f>F19*20</f>
        <v/>
      </c>
      <c r="H19" s="409" t="n"/>
      <c r="J19" s="1122" t="n"/>
      <c r="K19" s="409" t="n"/>
      <c r="L19" s="409" t="inlineStr">
        <is>
          <t>심천지사</t>
        </is>
      </c>
      <c r="M19" s="409" t="n"/>
      <c r="N19" s="409">
        <f>M19*20</f>
        <v/>
      </c>
      <c r="O19" s="409" t="n"/>
      <c r="Q19" s="1122" t="n"/>
      <c r="R19" s="409" t="n"/>
      <c r="S19" s="409" t="inlineStr">
        <is>
          <t>심천지사</t>
        </is>
      </c>
      <c r="T19" s="409" t="n"/>
      <c r="U19" s="409">
        <f>T19*20</f>
        <v/>
      </c>
      <c r="V19" s="409" t="n"/>
    </row>
    <row r="20">
      <c r="C20" s="1122" t="n"/>
      <c r="D20" s="409" t="n"/>
      <c r="E20" s="409" t="inlineStr">
        <is>
          <t>심천지사</t>
        </is>
      </c>
      <c r="F20" s="409" t="n"/>
      <c r="G20" s="409">
        <f>F20*20</f>
        <v/>
      </c>
      <c r="H20" s="409" t="n"/>
      <c r="J20" s="1122" t="n"/>
      <c r="K20" s="409" t="n"/>
      <c r="L20" s="409" t="inlineStr">
        <is>
          <t>심천지사</t>
        </is>
      </c>
      <c r="M20" s="409" t="n"/>
      <c r="N20" s="409">
        <f>M20*20</f>
        <v/>
      </c>
      <c r="O20" s="409" t="n"/>
      <c r="Q20" s="1122" t="n"/>
      <c r="R20" s="409" t="n"/>
      <c r="S20" s="409" t="inlineStr">
        <is>
          <t>심천지사</t>
        </is>
      </c>
      <c r="T20" s="409" t="n"/>
      <c r="U20" s="409">
        <f>T20*20</f>
        <v/>
      </c>
      <c r="V20" s="409" t="n"/>
    </row>
    <row r="21">
      <c r="C21" s="1122" t="n"/>
      <c r="D21" s="411" t="n"/>
      <c r="E21" s="409" t="inlineStr">
        <is>
          <t>심천지사</t>
        </is>
      </c>
      <c r="F21" s="409" t="n"/>
      <c r="G21" s="409">
        <f>F21*20</f>
        <v/>
      </c>
      <c r="H21" s="411" t="n"/>
      <c r="J21" s="1122" t="n"/>
      <c r="K21" s="411" t="n"/>
      <c r="L21" s="409" t="inlineStr">
        <is>
          <t>심천지사</t>
        </is>
      </c>
      <c r="M21" s="409" t="n"/>
      <c r="N21" s="409">
        <f>M21*20</f>
        <v/>
      </c>
      <c r="O21" s="411" t="n"/>
      <c r="Q21" s="1122" t="n"/>
      <c r="R21" s="411" t="n"/>
      <c r="S21" s="409" t="inlineStr">
        <is>
          <t>심천지사</t>
        </is>
      </c>
      <c r="T21" s="409" t="n"/>
      <c r="U21" s="409">
        <f>T21*20</f>
        <v/>
      </c>
      <c r="V21" s="411" t="n"/>
    </row>
    <row r="22">
      <c r="C22" s="1122" t="n"/>
      <c r="D22" s="411" t="n"/>
      <c r="E22" s="409" t="inlineStr">
        <is>
          <t>심천지사</t>
        </is>
      </c>
      <c r="F22" s="409" t="n"/>
      <c r="G22" s="409">
        <f>F22*20</f>
        <v/>
      </c>
      <c r="H22" s="411" t="n"/>
      <c r="J22" s="1122" t="n"/>
      <c r="K22" s="411" t="n"/>
      <c r="L22" s="409" t="inlineStr">
        <is>
          <t>심천지사</t>
        </is>
      </c>
      <c r="M22" s="409" t="n"/>
      <c r="N22" s="409">
        <f>M22*20</f>
        <v/>
      </c>
      <c r="O22" s="411" t="n"/>
      <c r="Q22" s="1122" t="n"/>
      <c r="R22" s="411" t="n"/>
      <c r="S22" s="409" t="inlineStr">
        <is>
          <t>심천지사</t>
        </is>
      </c>
      <c r="T22" s="409" t="n"/>
      <c r="U22" s="409">
        <f>T22*20</f>
        <v/>
      </c>
      <c r="V22" s="411" t="n"/>
    </row>
    <row r="23">
      <c r="C23" s="1123" t="n"/>
      <c r="D23" s="411" t="n"/>
      <c r="E23" s="409" t="inlineStr">
        <is>
          <t>심천지사</t>
        </is>
      </c>
      <c r="F23" s="409" t="n"/>
      <c r="G23" s="409">
        <f>F23*20</f>
        <v/>
      </c>
      <c r="H23" s="411" t="n"/>
      <c r="J23" s="1122" t="n"/>
      <c r="K23" s="411" t="n"/>
      <c r="L23" s="409" t="inlineStr">
        <is>
          <t>심천지사</t>
        </is>
      </c>
      <c r="M23" s="409" t="n"/>
      <c r="N23" s="409">
        <f>M23*20</f>
        <v/>
      </c>
      <c r="O23" s="411" t="n"/>
      <c r="Q23" s="1122" t="n"/>
      <c r="R23" s="411" t="n"/>
      <c r="S23" s="409" t="inlineStr">
        <is>
          <t>심천지사</t>
        </is>
      </c>
      <c r="T23" s="409" t="n"/>
      <c r="U23" s="409">
        <f>T23*20</f>
        <v/>
      </c>
      <c r="V23" s="411" t="n"/>
    </row>
    <row r="24">
      <c r="G24" s="413">
        <f>SUM(G5:G23)</f>
        <v/>
      </c>
      <c r="N24" s="413">
        <f>SUM(N5:N23)</f>
        <v/>
      </c>
      <c r="U24" s="413">
        <f>SUM(U5:U23)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이선희 (LEE SUN HEE)</dc:creator>
  <dcterms:created xsi:type="dcterms:W3CDTF">2022-03-30T06:37:23Z</dcterms:created>
  <dcterms:modified xsi:type="dcterms:W3CDTF">2026-07-06T05:37:43Z</dcterms:modified>
  <cp:lastModifiedBy>정영욱 (JEONG YOUNG WOOK)</cp:lastModifiedBy>
  <cp:lastPrinted>2025-06-30T00:12:53Z</cp:lastPrinted>
</cp:coreProperties>
</file>