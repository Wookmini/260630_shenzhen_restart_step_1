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000177\Desktop\Wooktigravity\260630_shenzhen_restart_step_1\영수증 보관소\"/>
    </mc:Choice>
  </mc:AlternateContent>
  <xr:revisionPtr revIDLastSave="0" documentId="13_ncr:1_{79173A59-A7D1-411D-9573-DACA72BB977E}" xr6:coauthVersionLast="47" xr6:coauthVersionMax="47" xr10:uidLastSave="{00000000-0000-0000-0000-000000000000}"/>
  <bookViews>
    <workbookView xWindow="-120" yWindow="-120" windowWidth="29040" windowHeight="15720" tabRatio="603" activeTab="6" xr2:uid="{00000000-000D-0000-FFFF-FFFF00000000}"/>
  </bookViews>
  <sheets>
    <sheet name="통장내역(환율표)" sheetId="131" r:id="rId1"/>
    <sheet name="내역_25.01" sheetId="130" state="hidden" r:id="rId2"/>
    <sheet name="내역_25.02" sheetId="115" state="hidden" r:id="rId3"/>
    <sheet name="내역_25.03" sheetId="117" state="hidden" r:id="rId4"/>
    <sheet name="내역_25.04" sheetId="119" state="hidden" r:id="rId5"/>
    <sheet name="내역_25.05" sheetId="122" state="hidden" r:id="rId6"/>
    <sheet name="YY.MM" sheetId="124" r:id="rId7"/>
    <sheet name="통장지급내역" sheetId="125" r:id="rId8"/>
    <sheet name="당월 업무추진비" sheetId="128" r:id="rId9"/>
    <sheet name="기사 야근 일지" sheetId="129" r:id="rId10"/>
  </sheets>
  <externalReferences>
    <externalReference r:id="rId11"/>
    <externalReference r:id="rId12"/>
  </externalReferences>
  <definedNames>
    <definedName name="_xlnm._FilterDatabase" localSheetId="6" hidden="1">YY.MM!$B$20:$T$109</definedName>
    <definedName name="_xlnm._FilterDatabase" localSheetId="1" hidden="1">'내역_25.01'!$B$18:$R$105</definedName>
    <definedName name="_xlnm._FilterDatabase" localSheetId="2" hidden="1">'내역_25.02'!$B$18:$R$97</definedName>
    <definedName name="_xlnm._FilterDatabase" localSheetId="3" hidden="1">'내역_25.03'!$B$18:$R$104</definedName>
    <definedName name="_xlnm._FilterDatabase" localSheetId="4" hidden="1">'내역_25.04'!$B$18:$R$104</definedName>
    <definedName name="_xlnm._FilterDatabase" localSheetId="5" hidden="1">'내역_25.05'!$B$18:$R$110</definedName>
    <definedName name="_xlnm._FilterDatabase" localSheetId="8" hidden="1">'당월 업무추진비'!$B$5:$L$46</definedName>
    <definedName name="Large_scale_classification">[1]Sheet3!$C$4:$C$10</definedName>
    <definedName name="_xlnm.Print_Area" localSheetId="0">'통장내역(환율표)'!$B$2:$N$10</definedName>
    <definedName name="_xlnm.Print_Area" localSheetId="7">통장지급내역!$A$1:$L$133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" i="124" l="1"/>
  <c r="I18" i="124"/>
  <c r="K18" i="124"/>
  <c r="L18" i="124"/>
  <c r="L11" i="124"/>
  <c r="F11" i="124"/>
  <c r="P22" i="124"/>
  <c r="P23" i="124" s="1"/>
  <c r="P24" i="124" s="1"/>
  <c r="P25" i="124" s="1"/>
  <c r="P26" i="124" s="1"/>
  <c r="P27" i="124" s="1"/>
  <c r="P28" i="124" s="1"/>
  <c r="P29" i="124" s="1"/>
  <c r="P30" i="124" s="1"/>
  <c r="P31" i="124" s="1"/>
  <c r="P32" i="124" s="1"/>
  <c r="P33" i="124" s="1"/>
  <c r="P34" i="124" s="1"/>
  <c r="P35" i="124" s="1"/>
  <c r="P36" i="124" s="1"/>
  <c r="P37" i="124" s="1"/>
  <c r="P38" i="124" s="1"/>
  <c r="P39" i="124" s="1"/>
  <c r="P40" i="124" s="1"/>
  <c r="P41" i="124" s="1"/>
  <c r="P42" i="124" s="1"/>
  <c r="P43" i="124" s="1"/>
  <c r="P44" i="124" s="1"/>
  <c r="P45" i="124" s="1"/>
  <c r="P46" i="124" s="1"/>
  <c r="P47" i="124" s="1"/>
  <c r="P48" i="124" s="1"/>
  <c r="P49" i="124" s="1"/>
  <c r="P50" i="124" s="1"/>
  <c r="P51" i="124" s="1"/>
  <c r="P52" i="124" s="1"/>
  <c r="P53" i="124" s="1"/>
  <c r="P54" i="124" s="1"/>
  <c r="P55" i="124" s="1"/>
  <c r="P56" i="124" s="1"/>
  <c r="P57" i="124" s="1"/>
  <c r="P58" i="124" s="1"/>
  <c r="P59" i="124" s="1"/>
  <c r="P60" i="124" s="1"/>
  <c r="P61" i="124" s="1"/>
  <c r="P62" i="124" s="1"/>
  <c r="P63" i="124" s="1"/>
  <c r="P64" i="124" s="1"/>
  <c r="P65" i="124" s="1"/>
  <c r="P66" i="124" s="1"/>
  <c r="P67" i="124" s="1"/>
  <c r="P68" i="124" s="1"/>
  <c r="P69" i="124" s="1"/>
  <c r="P70" i="124" s="1"/>
  <c r="P71" i="124" s="1"/>
  <c r="P72" i="124" s="1"/>
  <c r="P73" i="124" s="1"/>
  <c r="P74" i="124" s="1"/>
  <c r="P75" i="124" s="1"/>
  <c r="P76" i="124" s="1"/>
  <c r="P77" i="124" s="1"/>
  <c r="P78" i="124" s="1"/>
  <c r="P79" i="124" s="1"/>
  <c r="P80" i="124" s="1"/>
  <c r="P81" i="124" s="1"/>
  <c r="P82" i="124" s="1"/>
  <c r="P83" i="124" s="1"/>
  <c r="P84" i="124" s="1"/>
  <c r="P85" i="124" s="1"/>
  <c r="P86" i="124" s="1"/>
  <c r="P87" i="124" s="1"/>
  <c r="P88" i="124" s="1"/>
  <c r="P89" i="124" s="1"/>
  <c r="P90" i="124" s="1"/>
  <c r="P91" i="124" s="1"/>
  <c r="P92" i="124" s="1"/>
  <c r="P93" i="124" s="1"/>
  <c r="P94" i="124" s="1"/>
  <c r="P95" i="124" s="1"/>
  <c r="P96" i="124" s="1"/>
  <c r="P97" i="124" s="1"/>
  <c r="P98" i="124" s="1"/>
  <c r="P99" i="124" s="1"/>
  <c r="P100" i="124" s="1"/>
  <c r="P101" i="124" s="1"/>
  <c r="P102" i="124" s="1"/>
  <c r="P103" i="124" s="1"/>
  <c r="P104" i="124" s="1"/>
  <c r="P105" i="124" s="1"/>
  <c r="P106" i="124" s="1"/>
  <c r="P107" i="124" s="1"/>
  <c r="P108" i="124" s="1"/>
  <c r="P109" i="124" s="1"/>
  <c r="P110" i="124" s="1"/>
  <c r="P111" i="124" s="1"/>
  <c r="P112" i="124" s="1"/>
  <c r="P113" i="124" s="1"/>
  <c r="P114" i="124" s="1"/>
  <c r="P115" i="124" s="1"/>
  <c r="P116" i="124" s="1"/>
  <c r="P117" i="124" s="1"/>
  <c r="P118" i="124" s="1"/>
  <c r="P119" i="124" s="1"/>
  <c r="P120" i="124" s="1"/>
  <c r="P121" i="124" s="1"/>
  <c r="P122" i="124" s="1"/>
  <c r="P123" i="124" s="1"/>
  <c r="P124" i="124" s="1"/>
  <c r="P125" i="124" s="1"/>
  <c r="P126" i="124" s="1"/>
  <c r="P127" i="124" s="1"/>
  <c r="P128" i="124" s="1"/>
  <c r="P129" i="124" s="1"/>
  <c r="P130" i="124" s="1"/>
  <c r="P131" i="124" s="1"/>
  <c r="P132" i="124" s="1"/>
  <c r="P133" i="124" s="1"/>
  <c r="P134" i="124" s="1"/>
  <c r="P135" i="124" s="1"/>
  <c r="P136" i="124" s="1"/>
  <c r="P137" i="124" s="1"/>
  <c r="P138" i="124" s="1"/>
  <c r="P139" i="124" s="1"/>
  <c r="P140" i="124" s="1"/>
  <c r="P141" i="124" s="1"/>
  <c r="P142" i="124" s="1"/>
  <c r="P143" i="124" s="1"/>
  <c r="P144" i="124" s="1"/>
  <c r="P145" i="124" s="1"/>
  <c r="P146" i="124" s="1"/>
  <c r="P147" i="124" s="1"/>
  <c r="P148" i="124" s="1"/>
  <c r="P149" i="124" s="1"/>
  <c r="P150" i="124" s="1"/>
  <c r="P151" i="124" s="1"/>
  <c r="P152" i="124" s="1"/>
  <c r="P153" i="124" s="1"/>
  <c r="P154" i="124" s="1"/>
  <c r="P155" i="124" s="1"/>
  <c r="P156" i="124" s="1"/>
  <c r="P157" i="124" s="1"/>
  <c r="P158" i="124" s="1"/>
  <c r="P159" i="124" s="1"/>
  <c r="P160" i="124" s="1"/>
  <c r="P161" i="124" s="1"/>
  <c r="P162" i="124" s="1"/>
  <c r="P163" i="124" s="1"/>
  <c r="P164" i="124" s="1"/>
  <c r="P165" i="124" s="1"/>
  <c r="P166" i="124" s="1"/>
  <c r="P167" i="124" s="1"/>
  <c r="P168" i="124" s="1"/>
  <c r="P169" i="124" s="1"/>
  <c r="P170" i="124" s="1"/>
  <c r="P171" i="124" s="1"/>
  <c r="P172" i="124" s="1"/>
  <c r="P173" i="124" s="1"/>
  <c r="P174" i="124" s="1"/>
  <c r="P175" i="124" s="1"/>
  <c r="P176" i="124" s="1"/>
  <c r="P177" i="124" s="1"/>
  <c r="P178" i="124" s="1"/>
  <c r="P179" i="124" s="1"/>
  <c r="P180" i="124" s="1"/>
  <c r="P181" i="124" s="1"/>
  <c r="P182" i="124" s="1"/>
  <c r="P183" i="124" s="1"/>
  <c r="P184" i="124" s="1"/>
  <c r="P185" i="124" s="1"/>
  <c r="P186" i="124" s="1"/>
  <c r="P187" i="124" s="1"/>
  <c r="P188" i="124" s="1"/>
  <c r="P189" i="124" s="1"/>
  <c r="P190" i="124" s="1"/>
  <c r="P191" i="124" s="1"/>
  <c r="P192" i="124" s="1"/>
  <c r="P193" i="124" s="1"/>
  <c r="P194" i="124" s="1"/>
  <c r="P195" i="124" s="1"/>
  <c r="P196" i="124" s="1"/>
  <c r="P197" i="124" s="1"/>
  <c r="P198" i="124" s="1"/>
  <c r="P199" i="124" s="1"/>
  <c r="P200" i="124" s="1"/>
  <c r="P201" i="124" s="1"/>
  <c r="P202" i="124" s="1"/>
  <c r="P203" i="124" s="1"/>
  <c r="P204" i="124" s="1"/>
  <c r="P205" i="124" s="1"/>
  <c r="P206" i="124" s="1"/>
  <c r="P207" i="124" s="1"/>
  <c r="P208" i="124" s="1"/>
  <c r="P209" i="124" s="1"/>
  <c r="P210" i="124" s="1"/>
  <c r="P211" i="124" s="1"/>
  <c r="P212" i="124" s="1"/>
  <c r="P213" i="124" s="1"/>
  <c r="P214" i="124" s="1"/>
  <c r="P215" i="124" s="1"/>
  <c r="P216" i="124" s="1"/>
  <c r="P217" i="124" s="1"/>
  <c r="P218" i="124" s="1"/>
  <c r="P219" i="124" s="1"/>
  <c r="P220" i="124" s="1"/>
  <c r="P221" i="124" s="1"/>
  <c r="P222" i="124" s="1"/>
  <c r="P223" i="124" s="1"/>
  <c r="P224" i="124" s="1"/>
  <c r="P225" i="124" s="1"/>
  <c r="P226" i="124" s="1"/>
  <c r="P227" i="124" s="1"/>
  <c r="P228" i="124" s="1"/>
  <c r="P229" i="124" s="1"/>
  <c r="P230" i="124" s="1"/>
  <c r="P231" i="124" s="1"/>
  <c r="P232" i="124" s="1"/>
  <c r="P233" i="124" s="1"/>
  <c r="P234" i="124" s="1"/>
  <c r="P235" i="124" s="1"/>
  <c r="P236" i="124" s="1"/>
  <c r="P237" i="124" s="1"/>
  <c r="P238" i="124" s="1"/>
  <c r="P239" i="124" s="1"/>
  <c r="P240" i="124" s="1"/>
  <c r="P241" i="124" s="1"/>
  <c r="P242" i="124" s="1"/>
  <c r="P243" i="124" s="1"/>
  <c r="P244" i="124" s="1"/>
  <c r="P245" i="124" s="1"/>
  <c r="P246" i="124" s="1"/>
  <c r="P247" i="124" s="1"/>
  <c r="P248" i="124" s="1"/>
  <c r="P249" i="124" s="1"/>
  <c r="P250" i="124" s="1"/>
  <c r="P251" i="124" s="1"/>
  <c r="P252" i="124" s="1"/>
  <c r="P253" i="124" s="1"/>
  <c r="P254" i="124" s="1"/>
  <c r="P255" i="124" s="1"/>
  <c r="P256" i="124" s="1"/>
  <c r="P257" i="124" s="1"/>
  <c r="P258" i="124" s="1"/>
  <c r="P259" i="124" s="1"/>
  <c r="D94" i="131"/>
  <c r="D88" i="131"/>
  <c r="D84" i="131"/>
  <c r="D75" i="131"/>
  <c r="D68" i="131"/>
  <c r="D58" i="131"/>
  <c r="D49" i="131"/>
  <c r="D41" i="131"/>
  <c r="D35" i="131"/>
  <c r="D28" i="131"/>
  <c r="D21" i="131"/>
  <c r="D12" i="131"/>
  <c r="N5" i="131"/>
  <c r="N6" i="131" s="1"/>
  <c r="N7" i="131" s="1"/>
  <c r="N8" i="131" s="1"/>
  <c r="N9" i="131" s="1"/>
  <c r="N10" i="131" s="1"/>
  <c r="N11" i="131" s="1"/>
  <c r="N12" i="131" s="1"/>
  <c r="N13" i="131" s="1"/>
  <c r="N14" i="131" s="1"/>
  <c r="N15" i="131" s="1"/>
  <c r="N16" i="131" s="1"/>
  <c r="N17" i="131" s="1"/>
  <c r="N18" i="131" s="1"/>
  <c r="N19" i="131" s="1"/>
  <c r="N20" i="131" s="1"/>
  <c r="N21" i="131" s="1"/>
  <c r="N22" i="131" s="1"/>
  <c r="N23" i="131" s="1"/>
  <c r="N24" i="131" s="1"/>
  <c r="N25" i="131" s="1"/>
  <c r="N26" i="131" s="1"/>
  <c r="N27" i="131" s="1"/>
  <c r="N28" i="131" s="1"/>
  <c r="N29" i="131" s="1"/>
  <c r="N30" i="131" s="1"/>
  <c r="N31" i="131" s="1"/>
  <c r="N32" i="131" s="1"/>
  <c r="N33" i="131" s="1"/>
  <c r="N34" i="131" s="1"/>
  <c r="N35" i="131" s="1"/>
  <c r="N36" i="131" s="1"/>
  <c r="N37" i="131" s="1"/>
  <c r="N38" i="131" s="1"/>
  <c r="N39" i="131" s="1"/>
  <c r="N40" i="131" s="1"/>
  <c r="N41" i="131" s="1"/>
  <c r="N42" i="131" s="1"/>
  <c r="N43" i="131" s="1"/>
  <c r="N44" i="131" s="1"/>
  <c r="N45" i="131" s="1"/>
  <c r="N46" i="131" s="1"/>
  <c r="N47" i="131" s="1"/>
  <c r="N48" i="131" s="1"/>
  <c r="N49" i="131" s="1"/>
  <c r="N50" i="131" s="1"/>
  <c r="N51" i="131" s="1"/>
  <c r="N52" i="131" s="1"/>
  <c r="N53" i="131" s="1"/>
  <c r="N54" i="131" s="1"/>
  <c r="N55" i="131" s="1"/>
  <c r="N56" i="131" s="1"/>
  <c r="N57" i="131" s="1"/>
  <c r="N58" i="131" s="1"/>
  <c r="N59" i="131" s="1"/>
  <c r="N60" i="131" s="1"/>
  <c r="N61" i="131" s="1"/>
  <c r="N62" i="131" s="1"/>
  <c r="N63" i="131" s="1"/>
  <c r="N64" i="131" s="1"/>
  <c r="N65" i="131" s="1"/>
  <c r="N66" i="131" s="1"/>
  <c r="N67" i="131" s="1"/>
  <c r="N68" i="131" s="1"/>
  <c r="N69" i="131" s="1"/>
  <c r="N70" i="131" s="1"/>
  <c r="N71" i="131" s="1"/>
  <c r="N72" i="131" s="1"/>
  <c r="N73" i="131" s="1"/>
  <c r="N74" i="131" s="1"/>
  <c r="N75" i="131" s="1"/>
  <c r="N76" i="131" s="1"/>
  <c r="N77" i="131" s="1"/>
  <c r="N78" i="131" s="1"/>
  <c r="N79" i="131" s="1"/>
  <c r="N80" i="131" s="1"/>
  <c r="N81" i="131" s="1"/>
  <c r="N82" i="131" s="1"/>
  <c r="N83" i="131" s="1"/>
  <c r="N84" i="131" s="1"/>
  <c r="N85" i="131" s="1"/>
  <c r="N86" i="131" s="1"/>
  <c r="N87" i="131" s="1"/>
  <c r="N88" i="131" s="1"/>
  <c r="N89" i="131" s="1"/>
  <c r="N90" i="131" s="1"/>
  <c r="N91" i="131" s="1"/>
  <c r="N92" i="131" s="1"/>
  <c r="N93" i="131" s="1"/>
  <c r="N94" i="131" s="1"/>
  <c r="N95" i="131" s="1"/>
  <c r="N96" i="131" s="1"/>
  <c r="N97" i="131" s="1"/>
  <c r="N98" i="131" s="1"/>
  <c r="N99" i="131" s="1"/>
  <c r="D5" i="131"/>
  <c r="N4" i="131"/>
  <c r="L103" i="130"/>
  <c r="M103" i="130" s="1"/>
  <c r="L102" i="130"/>
  <c r="M102" i="130" s="1"/>
  <c r="L101" i="130"/>
  <c r="M101" i="130" s="1"/>
  <c r="L100" i="130"/>
  <c r="M100" i="130" s="1"/>
  <c r="L99" i="130"/>
  <c r="M99" i="130" s="1"/>
  <c r="L98" i="130"/>
  <c r="M98" i="130" s="1"/>
  <c r="L97" i="130"/>
  <c r="M97" i="130" s="1"/>
  <c r="L96" i="130"/>
  <c r="M96" i="130" s="1"/>
  <c r="L95" i="130"/>
  <c r="M95" i="130" s="1"/>
  <c r="L94" i="130"/>
  <c r="M94" i="130" s="1"/>
  <c r="L93" i="130"/>
  <c r="M93" i="130" s="1"/>
  <c r="L92" i="130"/>
  <c r="M92" i="130" s="1"/>
  <c r="L91" i="130"/>
  <c r="M91" i="130" s="1"/>
  <c r="L90" i="130"/>
  <c r="M90" i="130" s="1"/>
  <c r="L89" i="130"/>
  <c r="M89" i="130" s="1"/>
  <c r="L88" i="130"/>
  <c r="M88" i="130" s="1"/>
  <c r="L87" i="130"/>
  <c r="M87" i="130" s="1"/>
  <c r="L86" i="130"/>
  <c r="M86" i="130" s="1"/>
  <c r="L85" i="130"/>
  <c r="M85" i="130" s="1"/>
  <c r="L84" i="130"/>
  <c r="M84" i="130" s="1"/>
  <c r="L83" i="130"/>
  <c r="M83" i="130" s="1"/>
  <c r="L82" i="130"/>
  <c r="M82" i="130" s="1"/>
  <c r="L81" i="130"/>
  <c r="M81" i="130" s="1"/>
  <c r="L80" i="130"/>
  <c r="M80" i="130" s="1"/>
  <c r="L79" i="130"/>
  <c r="M79" i="130" s="1"/>
  <c r="L78" i="130"/>
  <c r="M78" i="130" s="1"/>
  <c r="L77" i="130"/>
  <c r="M77" i="130" s="1"/>
  <c r="L76" i="130"/>
  <c r="M76" i="130" s="1"/>
  <c r="L75" i="130"/>
  <c r="M75" i="130" s="1"/>
  <c r="L74" i="130"/>
  <c r="M74" i="130" s="1"/>
  <c r="L73" i="130"/>
  <c r="M73" i="130" s="1"/>
  <c r="L72" i="130"/>
  <c r="M72" i="130" s="1"/>
  <c r="L71" i="130"/>
  <c r="M71" i="130" s="1"/>
  <c r="L70" i="130"/>
  <c r="M70" i="130" s="1"/>
  <c r="L69" i="130"/>
  <c r="M69" i="130" s="1"/>
  <c r="L68" i="130"/>
  <c r="M68" i="130" s="1"/>
  <c r="L67" i="130"/>
  <c r="M67" i="130" s="1"/>
  <c r="L66" i="130"/>
  <c r="M66" i="130" s="1"/>
  <c r="L65" i="130"/>
  <c r="M65" i="130" s="1"/>
  <c r="L64" i="130"/>
  <c r="M64" i="130" s="1"/>
  <c r="L63" i="130"/>
  <c r="M63" i="130" s="1"/>
  <c r="L62" i="130"/>
  <c r="M62" i="130" s="1"/>
  <c r="L61" i="130"/>
  <c r="M61" i="130" s="1"/>
  <c r="L60" i="130"/>
  <c r="M60" i="130" s="1"/>
  <c r="L59" i="130"/>
  <c r="M59" i="130" s="1"/>
  <c r="L58" i="130"/>
  <c r="M58" i="130" s="1"/>
  <c r="L57" i="130"/>
  <c r="M57" i="130" s="1"/>
  <c r="L56" i="130"/>
  <c r="M56" i="130" s="1"/>
  <c r="L55" i="130"/>
  <c r="M55" i="130" s="1"/>
  <c r="L54" i="130"/>
  <c r="M54" i="130" s="1"/>
  <c r="L53" i="130"/>
  <c r="M53" i="130" s="1"/>
  <c r="L52" i="130"/>
  <c r="M52" i="130" s="1"/>
  <c r="L51" i="130"/>
  <c r="M51" i="130" s="1"/>
  <c r="L50" i="130"/>
  <c r="M50" i="130" s="1"/>
  <c r="L49" i="130"/>
  <c r="M49" i="130" s="1"/>
  <c r="L48" i="130"/>
  <c r="M48" i="130" s="1"/>
  <c r="L47" i="130"/>
  <c r="M47" i="130" s="1"/>
  <c r="L46" i="130"/>
  <c r="M46" i="130" s="1"/>
  <c r="L45" i="130"/>
  <c r="M45" i="130" s="1"/>
  <c r="L44" i="130"/>
  <c r="M44" i="130" s="1"/>
  <c r="L43" i="130"/>
  <c r="M43" i="130" s="1"/>
  <c r="L42" i="130"/>
  <c r="M42" i="130" s="1"/>
  <c r="L41" i="130"/>
  <c r="M41" i="130" s="1"/>
  <c r="L40" i="130"/>
  <c r="M40" i="130" s="1"/>
  <c r="L39" i="130"/>
  <c r="M39" i="130" s="1"/>
  <c r="L38" i="130"/>
  <c r="M38" i="130" s="1"/>
  <c r="L37" i="130"/>
  <c r="M37" i="130" s="1"/>
  <c r="L36" i="130"/>
  <c r="M36" i="130" s="1"/>
  <c r="L35" i="130"/>
  <c r="M35" i="130" s="1"/>
  <c r="L34" i="130"/>
  <c r="M34" i="130" s="1"/>
  <c r="L33" i="130"/>
  <c r="M33" i="130" s="1"/>
  <c r="L32" i="130"/>
  <c r="M32" i="130" s="1"/>
  <c r="L31" i="130"/>
  <c r="L30" i="130"/>
  <c r="K30" i="130"/>
  <c r="L29" i="130"/>
  <c r="M29" i="130" s="1"/>
  <c r="L28" i="130"/>
  <c r="M28" i="130" s="1"/>
  <c r="L27" i="130"/>
  <c r="M27" i="130" s="1"/>
  <c r="L26" i="130"/>
  <c r="M26" i="130" s="1"/>
  <c r="L25" i="130"/>
  <c r="M25" i="130" s="1"/>
  <c r="L24" i="130"/>
  <c r="M24" i="130" s="1"/>
  <c r="L23" i="130"/>
  <c r="M23" i="130" s="1"/>
  <c r="N20" i="130"/>
  <c r="N21" i="130" s="1"/>
  <c r="N22" i="130" s="1"/>
  <c r="N23" i="130" s="1"/>
  <c r="N24" i="130" s="1"/>
  <c r="N25" i="130" s="1"/>
  <c r="N26" i="130" s="1"/>
  <c r="N27" i="130" s="1"/>
  <c r="N28" i="130" s="1"/>
  <c r="N29" i="130" s="1"/>
  <c r="L20" i="130"/>
  <c r="M20" i="130" s="1"/>
  <c r="E14" i="130"/>
  <c r="D14" i="130"/>
  <c r="Q13" i="130"/>
  <c r="P13" i="130"/>
  <c r="K13" i="130"/>
  <c r="J13" i="130"/>
  <c r="E13" i="130"/>
  <c r="D13" i="130"/>
  <c r="R12" i="130"/>
  <c r="L12" i="130"/>
  <c r="F12" i="130"/>
  <c r="R11" i="130"/>
  <c r="L11" i="130"/>
  <c r="S11" i="130" s="1"/>
  <c r="F11" i="130"/>
  <c r="R10" i="130"/>
  <c r="S10" i="130" s="1"/>
  <c r="L10" i="130"/>
  <c r="M10" i="130" s="1"/>
  <c r="F10" i="130"/>
  <c r="R9" i="130"/>
  <c r="L9" i="130"/>
  <c r="M9" i="130" s="1"/>
  <c r="F9" i="130"/>
  <c r="S9" i="130" s="1"/>
  <c r="R8" i="130"/>
  <c r="L8" i="130"/>
  <c r="F8" i="130"/>
  <c r="S8" i="130" s="1"/>
  <c r="R7" i="130"/>
  <c r="L7" i="130"/>
  <c r="L13" i="130" s="1"/>
  <c r="F7" i="130"/>
  <c r="F14" i="130" s="1"/>
  <c r="R6" i="130"/>
  <c r="S6" i="130" s="1"/>
  <c r="L6" i="130"/>
  <c r="M6" i="130" s="1"/>
  <c r="F6" i="130"/>
  <c r="R5" i="130"/>
  <c r="L5" i="130"/>
  <c r="M5" i="130" s="1"/>
  <c r="F5" i="130"/>
  <c r="S5" i="130" s="1"/>
  <c r="N30" i="130" l="1"/>
  <c r="O20" i="130"/>
  <c r="O21" i="130" s="1"/>
  <c r="O22" i="130" s="1"/>
  <c r="O23" i="130" s="1"/>
  <c r="O24" i="130" s="1"/>
  <c r="O25" i="130" s="1"/>
  <c r="O26" i="130" s="1"/>
  <c r="O27" i="130" s="1"/>
  <c r="O28" i="130" s="1"/>
  <c r="O29" i="130" s="1"/>
  <c r="O30" i="130" s="1"/>
  <c r="S20" i="130"/>
  <c r="S23" i="130" s="1"/>
  <c r="S24" i="130" s="1"/>
  <c r="S25" i="130" s="1"/>
  <c r="S26" i="130" s="1"/>
  <c r="S27" i="130" s="1"/>
  <c r="S28" i="130" s="1"/>
  <c r="S29" i="130" s="1"/>
  <c r="S30" i="130" s="1"/>
  <c r="M11" i="130"/>
  <c r="S12" i="130"/>
  <c r="F13" i="130"/>
  <c r="M7" i="130"/>
  <c r="R13" i="130"/>
  <c r="R14" i="130" s="1"/>
  <c r="P14" i="130"/>
  <c r="J14" i="130"/>
  <c r="S7" i="130"/>
  <c r="M8" i="130"/>
  <c r="M12" i="130"/>
  <c r="K16" i="130"/>
  <c r="K15" i="130" s="1"/>
  <c r="K31" i="130"/>
  <c r="M31" i="130" s="1"/>
  <c r="S31" i="130" s="1"/>
  <c r="S32" i="130" s="1"/>
  <c r="S33" i="130" s="1"/>
  <c r="S34" i="130" s="1"/>
  <c r="S35" i="130" s="1"/>
  <c r="S36" i="130" s="1"/>
  <c r="S37" i="130" s="1"/>
  <c r="S38" i="130" s="1"/>
  <c r="S39" i="130" s="1"/>
  <c r="S40" i="130" s="1"/>
  <c r="S41" i="130" s="1"/>
  <c r="S42" i="130" s="1"/>
  <c r="S43" i="130" s="1"/>
  <c r="S44" i="130" s="1"/>
  <c r="S45" i="130" s="1"/>
  <c r="S46" i="130" s="1"/>
  <c r="S47" i="130" s="1"/>
  <c r="S48" i="130" s="1"/>
  <c r="S49" i="130" s="1"/>
  <c r="S50" i="130" s="1"/>
  <c r="S51" i="130" s="1"/>
  <c r="S52" i="130" s="1"/>
  <c r="S53" i="130" s="1"/>
  <c r="S54" i="130" s="1"/>
  <c r="S55" i="130" s="1"/>
  <c r="S56" i="130" s="1"/>
  <c r="S57" i="130" s="1"/>
  <c r="S58" i="130" s="1"/>
  <c r="S59" i="130" s="1"/>
  <c r="S60" i="130" s="1"/>
  <c r="S61" i="130" s="1"/>
  <c r="S62" i="130" s="1"/>
  <c r="S63" i="130" s="1"/>
  <c r="S64" i="130" s="1"/>
  <c r="S65" i="130" s="1"/>
  <c r="S66" i="130" s="1"/>
  <c r="S67" i="130" s="1"/>
  <c r="S68" i="130" s="1"/>
  <c r="S69" i="130" s="1"/>
  <c r="S70" i="130" s="1"/>
  <c r="S71" i="130" s="1"/>
  <c r="S72" i="130" s="1"/>
  <c r="S73" i="130" s="1"/>
  <c r="S74" i="130" s="1"/>
  <c r="S75" i="130" s="1"/>
  <c r="S76" i="130" s="1"/>
  <c r="S77" i="130" s="1"/>
  <c r="S78" i="130" s="1"/>
  <c r="S79" i="130" s="1"/>
  <c r="S80" i="130" s="1"/>
  <c r="S81" i="130" s="1"/>
  <c r="S82" i="130" s="1"/>
  <c r="S83" i="130" s="1"/>
  <c r="S84" i="130" s="1"/>
  <c r="S85" i="130" s="1"/>
  <c r="S86" i="130" s="1"/>
  <c r="S87" i="130" s="1"/>
  <c r="S88" i="130" s="1"/>
  <c r="S89" i="130" s="1"/>
  <c r="S90" i="130" s="1"/>
  <c r="S91" i="130" s="1"/>
  <c r="S92" i="130" s="1"/>
  <c r="S93" i="130" s="1"/>
  <c r="S94" i="130" s="1"/>
  <c r="S95" i="130" s="1"/>
  <c r="S96" i="130" s="1"/>
  <c r="S97" i="130" s="1"/>
  <c r="S98" i="130" s="1"/>
  <c r="S99" i="130" s="1"/>
  <c r="S100" i="130" s="1"/>
  <c r="S101" i="130" s="1"/>
  <c r="S102" i="130" s="1"/>
  <c r="S103" i="130" s="1"/>
  <c r="Q14" i="130"/>
  <c r="K14" i="130"/>
  <c r="G12" i="130"/>
  <c r="M16" i="130" l="1"/>
  <c r="G13" i="130"/>
  <c r="G11" i="130" s="1"/>
  <c r="X13" i="130"/>
  <c r="S13" i="130"/>
  <c r="N31" i="130"/>
  <c r="N32" i="130" s="1"/>
  <c r="N33" i="130" s="1"/>
  <c r="N34" i="130" s="1"/>
  <c r="N35" i="130" s="1"/>
  <c r="N36" i="130" s="1"/>
  <c r="N37" i="130" s="1"/>
  <c r="N38" i="130" s="1"/>
  <c r="N39" i="130" s="1"/>
  <c r="N40" i="130" s="1"/>
  <c r="N41" i="130" s="1"/>
  <c r="N42" i="130" s="1"/>
  <c r="N43" i="130" s="1"/>
  <c r="N44" i="130" s="1"/>
  <c r="N45" i="130" s="1"/>
  <c r="N46" i="130" s="1"/>
  <c r="N47" i="130" s="1"/>
  <c r="N48" i="130" s="1"/>
  <c r="N49" i="130" s="1"/>
  <c r="N50" i="130" s="1"/>
  <c r="N51" i="130" s="1"/>
  <c r="N52" i="130" s="1"/>
  <c r="N53" i="130" s="1"/>
  <c r="N54" i="130" s="1"/>
  <c r="N55" i="130" s="1"/>
  <c r="N56" i="130" s="1"/>
  <c r="N57" i="130" s="1"/>
  <c r="N58" i="130" s="1"/>
  <c r="N59" i="130" s="1"/>
  <c r="N60" i="130" s="1"/>
  <c r="N61" i="130" s="1"/>
  <c r="N62" i="130" s="1"/>
  <c r="N63" i="130" s="1"/>
  <c r="N64" i="130" s="1"/>
  <c r="N65" i="130" s="1"/>
  <c r="N66" i="130" s="1"/>
  <c r="N67" i="130" s="1"/>
  <c r="N68" i="130" s="1"/>
  <c r="N69" i="130" s="1"/>
  <c r="N70" i="130" s="1"/>
  <c r="N71" i="130" s="1"/>
  <c r="N72" i="130" s="1"/>
  <c r="N73" i="130" s="1"/>
  <c r="N74" i="130" s="1"/>
  <c r="N75" i="130" s="1"/>
  <c r="N76" i="130" s="1"/>
  <c r="N77" i="130" s="1"/>
  <c r="N78" i="130" s="1"/>
  <c r="N79" i="130" s="1"/>
  <c r="N80" i="130" s="1"/>
  <c r="N81" i="130" s="1"/>
  <c r="N82" i="130" s="1"/>
  <c r="N83" i="130" s="1"/>
  <c r="N84" i="130" s="1"/>
  <c r="N85" i="130" s="1"/>
  <c r="N86" i="130" s="1"/>
  <c r="N87" i="130" s="1"/>
  <c r="N88" i="130" s="1"/>
  <c r="N89" i="130" s="1"/>
  <c r="N90" i="130" s="1"/>
  <c r="N91" i="130" s="1"/>
  <c r="N92" i="130" s="1"/>
  <c r="N93" i="130" s="1"/>
  <c r="N94" i="130" s="1"/>
  <c r="N95" i="130" s="1"/>
  <c r="N96" i="130" s="1"/>
  <c r="N97" i="130" s="1"/>
  <c r="N98" i="130" s="1"/>
  <c r="N99" i="130" s="1"/>
  <c r="N100" i="130" s="1"/>
  <c r="N101" i="130" s="1"/>
  <c r="N102" i="130" s="1"/>
  <c r="N103" i="130" s="1"/>
  <c r="N104" i="130" s="1"/>
  <c r="N105" i="130" s="1"/>
  <c r="M13" i="130"/>
  <c r="L14" i="130"/>
  <c r="O31" i="130"/>
  <c r="O32" i="130" s="1"/>
  <c r="O33" i="130" s="1"/>
  <c r="O34" i="130" s="1"/>
  <c r="O35" i="130" s="1"/>
  <c r="O36" i="130" s="1"/>
  <c r="O37" i="130" s="1"/>
  <c r="O38" i="130" s="1"/>
  <c r="O39" i="130" s="1"/>
  <c r="O40" i="130" s="1"/>
  <c r="O41" i="130" s="1"/>
  <c r="O42" i="130" s="1"/>
  <c r="O43" i="130" s="1"/>
  <c r="O44" i="130" s="1"/>
  <c r="O45" i="130" s="1"/>
  <c r="O46" i="130" s="1"/>
  <c r="O47" i="130" s="1"/>
  <c r="O48" i="130" s="1"/>
  <c r="O49" i="130" s="1"/>
  <c r="O50" i="130" s="1"/>
  <c r="O51" i="130" s="1"/>
  <c r="O52" i="130" s="1"/>
  <c r="O53" i="130" s="1"/>
  <c r="O54" i="130" s="1"/>
  <c r="O55" i="130" s="1"/>
  <c r="O56" i="130" s="1"/>
  <c r="O57" i="130" s="1"/>
  <c r="O58" i="130" s="1"/>
  <c r="O59" i="130" s="1"/>
  <c r="O60" i="130" s="1"/>
  <c r="O61" i="130" s="1"/>
  <c r="O62" i="130" s="1"/>
  <c r="O63" i="130" s="1"/>
  <c r="O64" i="130" s="1"/>
  <c r="O65" i="130" s="1"/>
  <c r="O66" i="130" s="1"/>
  <c r="O67" i="130" s="1"/>
  <c r="O68" i="130" s="1"/>
  <c r="O69" i="130" s="1"/>
  <c r="O70" i="130" s="1"/>
  <c r="O71" i="130" s="1"/>
  <c r="O72" i="130" s="1"/>
  <c r="O73" i="130" s="1"/>
  <c r="O74" i="130" s="1"/>
  <c r="O75" i="130" s="1"/>
  <c r="O76" i="130" s="1"/>
  <c r="O77" i="130" s="1"/>
  <c r="O78" i="130" s="1"/>
  <c r="O79" i="130" s="1"/>
  <c r="O80" i="130" s="1"/>
  <c r="O81" i="130" s="1"/>
  <c r="O82" i="130" s="1"/>
  <c r="O83" i="130" s="1"/>
  <c r="O84" i="130" s="1"/>
  <c r="O85" i="130" s="1"/>
  <c r="O86" i="130" s="1"/>
  <c r="O87" i="130" s="1"/>
  <c r="O88" i="130" s="1"/>
  <c r="O89" i="130" s="1"/>
  <c r="O90" i="130" s="1"/>
  <c r="O91" i="130" s="1"/>
  <c r="O92" i="130" s="1"/>
  <c r="O93" i="130" s="1"/>
  <c r="O94" i="130" s="1"/>
  <c r="O95" i="130" s="1"/>
  <c r="O96" i="130" s="1"/>
  <c r="O97" i="130" s="1"/>
  <c r="O98" i="130" s="1"/>
  <c r="O99" i="130" s="1"/>
  <c r="O100" i="130" s="1"/>
  <c r="O101" i="130" s="1"/>
  <c r="O102" i="130" s="1"/>
  <c r="O103" i="130" s="1"/>
  <c r="O104" i="130" s="1"/>
  <c r="O105" i="130" s="1"/>
  <c r="M14" i="130" l="1"/>
  <c r="M15" i="130"/>
  <c r="G6" i="129" l="1"/>
  <c r="G5" i="129"/>
  <c r="U16" i="129"/>
  <c r="U15" i="129"/>
  <c r="U14" i="129"/>
  <c r="U13" i="129"/>
  <c r="U12" i="129"/>
  <c r="U11" i="129"/>
  <c r="U10" i="129"/>
  <c r="U9" i="129"/>
  <c r="U8" i="129"/>
  <c r="U7" i="129"/>
  <c r="U6" i="129"/>
  <c r="U5" i="129"/>
  <c r="N16" i="129"/>
  <c r="N15" i="129"/>
  <c r="N14" i="129"/>
  <c r="N13" i="129"/>
  <c r="N12" i="129"/>
  <c r="N11" i="129"/>
  <c r="N10" i="129"/>
  <c r="N9" i="129"/>
  <c r="N8" i="129"/>
  <c r="N7" i="129"/>
  <c r="N6" i="129"/>
  <c r="N5" i="129"/>
  <c r="G14" i="129"/>
  <c r="G13" i="129"/>
  <c r="G12" i="129"/>
  <c r="G11" i="129"/>
  <c r="G10" i="129"/>
  <c r="G9" i="129"/>
  <c r="G8" i="129"/>
  <c r="G7" i="129"/>
  <c r="B37" i="128" l="1"/>
  <c r="B38" i="128"/>
  <c r="B39" i="128"/>
  <c r="B40" i="128"/>
  <c r="B41" i="128"/>
  <c r="B42" i="128"/>
  <c r="B43" i="128"/>
  <c r="B44" i="128"/>
  <c r="B45" i="128"/>
  <c r="B46" i="128"/>
  <c r="B34" i="128" l="1"/>
  <c r="B35" i="128"/>
  <c r="B36" i="128"/>
  <c r="G47" i="128" l="1"/>
  <c r="H47" i="128"/>
  <c r="G15" i="129" l="1"/>
  <c r="G16" i="129"/>
  <c r="G17" i="129"/>
  <c r="N17" i="129"/>
  <c r="U17" i="129"/>
  <c r="G18" i="129"/>
  <c r="N18" i="129"/>
  <c r="U18" i="129"/>
  <c r="G19" i="129"/>
  <c r="N19" i="129"/>
  <c r="U19" i="129"/>
  <c r="G20" i="129"/>
  <c r="N20" i="129"/>
  <c r="U20" i="129"/>
  <c r="G21" i="129"/>
  <c r="N21" i="129"/>
  <c r="U21" i="129"/>
  <c r="G22" i="129"/>
  <c r="N22" i="129"/>
  <c r="U22" i="129"/>
  <c r="G23" i="129"/>
  <c r="N23" i="129"/>
  <c r="U23" i="129"/>
  <c r="U24" i="129" l="1"/>
  <c r="N24" i="129"/>
  <c r="G24" i="129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B19" i="128"/>
  <c r="B18" i="128"/>
  <c r="B17" i="128"/>
  <c r="B16" i="128"/>
  <c r="B15" i="128"/>
  <c r="B14" i="128"/>
  <c r="B13" i="128"/>
  <c r="B12" i="128"/>
  <c r="B11" i="128"/>
  <c r="B10" i="128"/>
  <c r="B9" i="128"/>
  <c r="B8" i="128"/>
  <c r="B7" i="128"/>
  <c r="B6" i="128"/>
  <c r="F7" i="124" l="1"/>
  <c r="K14" i="124" l="1"/>
  <c r="K15" i="124" s="1"/>
  <c r="J14" i="124"/>
  <c r="J15" i="124" s="1"/>
  <c r="E14" i="124"/>
  <c r="G13" i="124" s="1"/>
  <c r="D14" i="124"/>
  <c r="L13" i="124"/>
  <c r="F13" i="124"/>
  <c r="L12" i="124"/>
  <c r="L10" i="124"/>
  <c r="F10" i="124"/>
  <c r="L9" i="124"/>
  <c r="F9" i="124"/>
  <c r="L8" i="124"/>
  <c r="F8" i="124"/>
  <c r="L7" i="124"/>
  <c r="L6" i="124"/>
  <c r="F6" i="124"/>
  <c r="L5" i="124"/>
  <c r="F5" i="124"/>
  <c r="S8" i="124" l="1"/>
  <c r="S6" i="124"/>
  <c r="S7" i="124"/>
  <c r="L14" i="124"/>
  <c r="L15" i="124" s="1"/>
  <c r="S5" i="124"/>
  <c r="F14" i="124"/>
  <c r="G14" i="124" l="1"/>
  <c r="G12" i="124" s="1"/>
  <c r="O20" i="122"/>
  <c r="O21" i="122" s="1"/>
  <c r="N20" i="122"/>
  <c r="N21" i="122" s="1"/>
  <c r="N22" i="122" s="1"/>
  <c r="N23" i="122" s="1"/>
  <c r="N24" i="122" s="1"/>
  <c r="N25" i="122" s="1"/>
  <c r="N26" i="122" s="1"/>
  <c r="N27" i="122" s="1"/>
  <c r="N28" i="122" s="1"/>
  <c r="N29" i="122" s="1"/>
  <c r="N30" i="122" s="1"/>
  <c r="N31" i="122" s="1"/>
  <c r="N32" i="122" s="1"/>
  <c r="N33" i="122" s="1"/>
  <c r="N34" i="122" s="1"/>
  <c r="N35" i="122" s="1"/>
  <c r="N36" i="122" s="1"/>
  <c r="N37" i="122" s="1"/>
  <c r="N38" i="122" s="1"/>
  <c r="N39" i="122" s="1"/>
  <c r="N40" i="122" s="1"/>
  <c r="N41" i="122" s="1"/>
  <c r="N42" i="122" s="1"/>
  <c r="N43" i="122" s="1"/>
  <c r="N44" i="122" s="1"/>
  <c r="N45" i="122" s="1"/>
  <c r="N46" i="122" s="1"/>
  <c r="N47" i="122" s="1"/>
  <c r="N48" i="122" s="1"/>
  <c r="N49" i="122" s="1"/>
  <c r="N50" i="122" s="1"/>
  <c r="N51" i="122" s="1"/>
  <c r="N52" i="122" s="1"/>
  <c r="L110" i="122" l="1"/>
  <c r="M110" i="122" s="1"/>
  <c r="L85" i="122"/>
  <c r="M85" i="122" s="1"/>
  <c r="L109" i="122"/>
  <c r="L61" i="122"/>
  <c r="M61" i="122" s="1"/>
  <c r="L73" i="122"/>
  <c r="M73" i="122" s="1"/>
  <c r="L97" i="122"/>
  <c r="M97" i="122" s="1"/>
  <c r="L62" i="122"/>
  <c r="M62" i="122" s="1"/>
  <c r="L98" i="122"/>
  <c r="M98" i="122" s="1"/>
  <c r="L74" i="122"/>
  <c r="M74" i="122" s="1"/>
  <c r="L63" i="122"/>
  <c r="M63" i="122" s="1"/>
  <c r="L75" i="122"/>
  <c r="M75" i="122" s="1"/>
  <c r="L87" i="122"/>
  <c r="M87" i="122" s="1"/>
  <c r="L99" i="122"/>
  <c r="M99" i="122" s="1"/>
  <c r="L86" i="122"/>
  <c r="M86" i="122" s="1"/>
  <c r="L64" i="122"/>
  <c r="M64" i="122" s="1"/>
  <c r="L76" i="122"/>
  <c r="M76" i="122" s="1"/>
  <c r="L88" i="122"/>
  <c r="M88" i="122" s="1"/>
  <c r="L100" i="122"/>
  <c r="M100" i="122" s="1"/>
  <c r="L89" i="122"/>
  <c r="M89" i="122" s="1"/>
  <c r="L90" i="122"/>
  <c r="M90" i="122" s="1"/>
  <c r="L55" i="122"/>
  <c r="M55" i="122" s="1"/>
  <c r="L67" i="122"/>
  <c r="M67" i="122" s="1"/>
  <c r="L79" i="122"/>
  <c r="M79" i="122" s="1"/>
  <c r="L91" i="122"/>
  <c r="M91" i="122" s="1"/>
  <c r="L103" i="122"/>
  <c r="M103" i="122" s="1"/>
  <c r="L66" i="122"/>
  <c r="M66" i="122" s="1"/>
  <c r="L56" i="122"/>
  <c r="M56" i="122" s="1"/>
  <c r="L68" i="122"/>
  <c r="M68" i="122" s="1"/>
  <c r="L80" i="122"/>
  <c r="M80" i="122" s="1"/>
  <c r="L92" i="122"/>
  <c r="M92" i="122" s="1"/>
  <c r="L104" i="122"/>
  <c r="M104" i="122" s="1"/>
  <c r="L77" i="122"/>
  <c r="M77" i="122" s="1"/>
  <c r="L54" i="122"/>
  <c r="L102" i="122"/>
  <c r="M102" i="122" s="1"/>
  <c r="L57" i="122"/>
  <c r="M57" i="122" s="1"/>
  <c r="L69" i="122"/>
  <c r="M69" i="122" s="1"/>
  <c r="L81" i="122"/>
  <c r="M81" i="122" s="1"/>
  <c r="L93" i="122"/>
  <c r="M93" i="122" s="1"/>
  <c r="L105" i="122"/>
  <c r="L65" i="122"/>
  <c r="M65" i="122" s="1"/>
  <c r="L101" i="122"/>
  <c r="M101" i="122" s="1"/>
  <c r="L78" i="122"/>
  <c r="M78" i="122" s="1"/>
  <c r="L58" i="122"/>
  <c r="M58" i="122" s="1"/>
  <c r="L70" i="122"/>
  <c r="M70" i="122" s="1"/>
  <c r="L82" i="122"/>
  <c r="M82" i="122" s="1"/>
  <c r="L94" i="122"/>
  <c r="M94" i="122" s="1"/>
  <c r="L106" i="122"/>
  <c r="M106" i="122" s="1"/>
  <c r="L59" i="122"/>
  <c r="M59" i="122" s="1"/>
  <c r="L71" i="122"/>
  <c r="M71" i="122" s="1"/>
  <c r="L83" i="122"/>
  <c r="M83" i="122" s="1"/>
  <c r="L95" i="122"/>
  <c r="M95" i="122" s="1"/>
  <c r="L107" i="122"/>
  <c r="M107" i="122" s="1"/>
  <c r="L60" i="122"/>
  <c r="M60" i="122" s="1"/>
  <c r="L72" i="122"/>
  <c r="M72" i="122" s="1"/>
  <c r="L84" i="122"/>
  <c r="M84" i="122" s="1"/>
  <c r="L96" i="122"/>
  <c r="M96" i="122" s="1"/>
  <c r="L108" i="122"/>
  <c r="M108" i="122" s="1"/>
  <c r="L15" i="122" l="1"/>
  <c r="J15" i="122"/>
  <c r="K13" i="122"/>
  <c r="E13" i="122"/>
  <c r="G12" i="122" s="1"/>
  <c r="L12" i="122"/>
  <c r="F12" i="122"/>
  <c r="L11" i="122"/>
  <c r="S11" i="122" s="1"/>
  <c r="L10" i="122"/>
  <c r="F10" i="122"/>
  <c r="L9" i="122"/>
  <c r="F9" i="122"/>
  <c r="L8" i="122"/>
  <c r="F8" i="122"/>
  <c r="L7" i="122"/>
  <c r="F7" i="122"/>
  <c r="L6" i="122"/>
  <c r="F6" i="122"/>
  <c r="L5" i="122"/>
  <c r="F5" i="122"/>
  <c r="L13" i="122" l="1"/>
  <c r="M11" i="122"/>
  <c r="M12" i="122"/>
  <c r="S6" i="122"/>
  <c r="S8" i="122"/>
  <c r="S9" i="122"/>
  <c r="S5" i="122"/>
  <c r="M5" i="122"/>
  <c r="S10" i="122"/>
  <c r="S7" i="122"/>
  <c r="F13" i="122"/>
  <c r="G13" i="122" s="1"/>
  <c r="G11" i="122" s="1"/>
  <c r="M8" i="122"/>
  <c r="K14" i="122"/>
  <c r="M6" i="122"/>
  <c r="M9" i="122"/>
  <c r="S12" i="122"/>
  <c r="M7" i="122"/>
  <c r="M10" i="122"/>
  <c r="N20" i="119"/>
  <c r="N21" i="119" s="1"/>
  <c r="N22" i="119" s="1"/>
  <c r="L51" i="122" l="1"/>
  <c r="L39" i="122"/>
  <c r="M39" i="122" s="1"/>
  <c r="L27" i="122"/>
  <c r="M27" i="122" s="1"/>
  <c r="L50" i="122"/>
  <c r="M50" i="122" s="1"/>
  <c r="L38" i="122"/>
  <c r="M38" i="122" s="1"/>
  <c r="L26" i="122"/>
  <c r="M26" i="122" s="1"/>
  <c r="L44" i="122"/>
  <c r="M44" i="122" s="1"/>
  <c r="L41" i="122"/>
  <c r="M41" i="122" s="1"/>
  <c r="L49" i="122"/>
  <c r="M49" i="122" s="1"/>
  <c r="L37" i="122"/>
  <c r="M37" i="122" s="1"/>
  <c r="L25" i="122"/>
  <c r="M25" i="122" s="1"/>
  <c r="L35" i="122"/>
  <c r="M35" i="122" s="1"/>
  <c r="L22" i="122"/>
  <c r="M22" i="122" s="1"/>
  <c r="L32" i="122"/>
  <c r="M32" i="122" s="1"/>
  <c r="L48" i="122"/>
  <c r="M48" i="122" s="1"/>
  <c r="L36" i="122"/>
  <c r="M36" i="122" s="1"/>
  <c r="L24" i="122"/>
  <c r="M24" i="122" s="1"/>
  <c r="L47" i="122"/>
  <c r="M47" i="122" s="1"/>
  <c r="L23" i="122"/>
  <c r="M23" i="122" s="1"/>
  <c r="L33" i="122"/>
  <c r="M33" i="122" s="1"/>
  <c r="L46" i="122"/>
  <c r="M46" i="122" s="1"/>
  <c r="L34" i="122"/>
  <c r="M34" i="122" s="1"/>
  <c r="L45" i="122"/>
  <c r="M45" i="122" s="1"/>
  <c r="L43" i="122"/>
  <c r="M43" i="122" s="1"/>
  <c r="L31" i="122"/>
  <c r="M31" i="122" s="1"/>
  <c r="L29" i="122"/>
  <c r="M29" i="122" s="1"/>
  <c r="L42" i="122"/>
  <c r="M42" i="122" s="1"/>
  <c r="L30" i="122"/>
  <c r="M30" i="122" s="1"/>
  <c r="L53" i="122"/>
  <c r="K53" i="122" s="1"/>
  <c r="L52" i="122"/>
  <c r="M52" i="122" s="1"/>
  <c r="L40" i="122"/>
  <c r="M40" i="122" s="1"/>
  <c r="L28" i="122"/>
  <c r="M28" i="122" s="1"/>
  <c r="M13" i="122"/>
  <c r="L14" i="122"/>
  <c r="S13" i="122"/>
  <c r="X13" i="122"/>
  <c r="L97" i="119"/>
  <c r="M97" i="119" s="1"/>
  <c r="L85" i="119"/>
  <c r="M85" i="119" s="1"/>
  <c r="L77" i="119"/>
  <c r="M77" i="119" s="1"/>
  <c r="L61" i="119"/>
  <c r="M61" i="119" s="1"/>
  <c r="L53" i="119"/>
  <c r="M53" i="119" s="1"/>
  <c r="L37" i="119"/>
  <c r="M37" i="119" s="1"/>
  <c r="L29" i="119"/>
  <c r="L84" i="119"/>
  <c r="M84" i="119" s="1"/>
  <c r="L60" i="119"/>
  <c r="M60" i="119" s="1"/>
  <c r="L36" i="119"/>
  <c r="L45" i="119"/>
  <c r="M45" i="119" s="1"/>
  <c r="L96" i="119"/>
  <c r="M96" i="119" s="1"/>
  <c r="L76" i="119"/>
  <c r="M76" i="119" s="1"/>
  <c r="L68" i="119"/>
  <c r="M68" i="119" s="1"/>
  <c r="L52" i="119"/>
  <c r="M52" i="119" s="1"/>
  <c r="L44" i="119"/>
  <c r="M44" i="119" s="1"/>
  <c r="L28" i="119"/>
  <c r="M28" i="119" s="1"/>
  <c r="L95" i="119"/>
  <c r="M95" i="119" s="1"/>
  <c r="L75" i="119"/>
  <c r="M75" i="119" s="1"/>
  <c r="L51" i="119"/>
  <c r="M51" i="119" s="1"/>
  <c r="L27" i="119"/>
  <c r="L94" i="119"/>
  <c r="M94" i="119" s="1"/>
  <c r="L83" i="119"/>
  <c r="M83" i="119" s="1"/>
  <c r="L67" i="119"/>
  <c r="M67" i="119" s="1"/>
  <c r="L59" i="119"/>
  <c r="M59" i="119" s="1"/>
  <c r="L43" i="119"/>
  <c r="M43" i="119" s="1"/>
  <c r="L35" i="119"/>
  <c r="M35" i="119" s="1"/>
  <c r="L72" i="119"/>
  <c r="M72" i="119" s="1"/>
  <c r="L30" i="119"/>
  <c r="M30" i="119" s="1"/>
  <c r="L93" i="119"/>
  <c r="M93" i="119" s="1"/>
  <c r="L82" i="119"/>
  <c r="M82" i="119" s="1"/>
  <c r="L74" i="119"/>
  <c r="M74" i="119" s="1"/>
  <c r="L58" i="119"/>
  <c r="M58" i="119" s="1"/>
  <c r="L50" i="119"/>
  <c r="M50" i="119" s="1"/>
  <c r="L34" i="119"/>
  <c r="M34" i="119" s="1"/>
  <c r="L26" i="119"/>
  <c r="M26" i="119" s="1"/>
  <c r="L54" i="119"/>
  <c r="M54" i="119" s="1"/>
  <c r="L104" i="119"/>
  <c r="M104" i="119" s="1"/>
  <c r="L92" i="119"/>
  <c r="M92" i="119" s="1"/>
  <c r="L81" i="119"/>
  <c r="M81" i="119" s="1"/>
  <c r="L66" i="119"/>
  <c r="M66" i="119" s="1"/>
  <c r="L57" i="119"/>
  <c r="M57" i="119" s="1"/>
  <c r="L42" i="119"/>
  <c r="M42" i="119" s="1"/>
  <c r="L33" i="119"/>
  <c r="M33" i="119" s="1"/>
  <c r="L63" i="119"/>
  <c r="M63" i="119" s="1"/>
  <c r="L55" i="119"/>
  <c r="M55" i="119" s="1"/>
  <c r="L69" i="119"/>
  <c r="M69" i="119" s="1"/>
  <c r="L103" i="119"/>
  <c r="M103" i="119" s="1"/>
  <c r="L91" i="119"/>
  <c r="M91" i="119" s="1"/>
  <c r="L73" i="119"/>
  <c r="M73" i="119" s="1"/>
  <c r="L65" i="119"/>
  <c r="M65" i="119" s="1"/>
  <c r="L49" i="119"/>
  <c r="M49" i="119" s="1"/>
  <c r="L41" i="119"/>
  <c r="M41" i="119" s="1"/>
  <c r="L25" i="119"/>
  <c r="M25" i="119" s="1"/>
  <c r="L89" i="119"/>
  <c r="M89" i="119" s="1"/>
  <c r="L39" i="119"/>
  <c r="M39" i="119" s="1"/>
  <c r="L24" i="119"/>
  <c r="L86" i="119"/>
  <c r="M86" i="119" s="1"/>
  <c r="L102" i="119"/>
  <c r="M102" i="119" s="1"/>
  <c r="L90" i="119"/>
  <c r="M90" i="119" s="1"/>
  <c r="L80" i="119"/>
  <c r="M80" i="119" s="1"/>
  <c r="L64" i="119"/>
  <c r="M64" i="119" s="1"/>
  <c r="L56" i="119"/>
  <c r="M56" i="119" s="1"/>
  <c r="L40" i="119"/>
  <c r="M40" i="119" s="1"/>
  <c r="L32" i="119"/>
  <c r="M32" i="119" s="1"/>
  <c r="L48" i="119"/>
  <c r="M48" i="119" s="1"/>
  <c r="L101" i="119"/>
  <c r="M101" i="119" s="1"/>
  <c r="L47" i="119"/>
  <c r="M47" i="119" s="1"/>
  <c r="L98" i="119"/>
  <c r="M98" i="119" s="1"/>
  <c r="L100" i="119"/>
  <c r="M100" i="119" s="1"/>
  <c r="L88" i="119"/>
  <c r="M88" i="119" s="1"/>
  <c r="L79" i="119"/>
  <c r="M79" i="119" s="1"/>
  <c r="L71" i="119"/>
  <c r="M71" i="119" s="1"/>
  <c r="L31" i="119"/>
  <c r="M31" i="119" s="1"/>
  <c r="L99" i="119"/>
  <c r="M99" i="119" s="1"/>
  <c r="L87" i="119"/>
  <c r="M87" i="119" s="1"/>
  <c r="L70" i="119"/>
  <c r="M70" i="119" s="1"/>
  <c r="L62" i="119"/>
  <c r="M62" i="119" s="1"/>
  <c r="L46" i="119"/>
  <c r="M46" i="119" s="1"/>
  <c r="L38" i="119"/>
  <c r="M38" i="119" s="1"/>
  <c r="L78" i="119"/>
  <c r="M78" i="119" s="1"/>
  <c r="M16" i="122" l="1"/>
  <c r="M14" i="122" s="1"/>
  <c r="K54" i="122"/>
  <c r="M54" i="122" s="1"/>
  <c r="S54" i="122" s="1"/>
  <c r="S55" i="122" s="1"/>
  <c r="S56" i="122" s="1"/>
  <c r="S57" i="122" s="1"/>
  <c r="S58" i="122" s="1"/>
  <c r="S59" i="122" s="1"/>
  <c r="S60" i="122" s="1"/>
  <c r="S61" i="122" s="1"/>
  <c r="S62" i="122" s="1"/>
  <c r="S63" i="122" s="1"/>
  <c r="S64" i="122" s="1"/>
  <c r="S65" i="122" s="1"/>
  <c r="S66" i="122" s="1"/>
  <c r="S67" i="122" s="1"/>
  <c r="S68" i="122" s="1"/>
  <c r="S69" i="122" s="1"/>
  <c r="S70" i="122" s="1"/>
  <c r="S71" i="122" s="1"/>
  <c r="S72" i="122" s="1"/>
  <c r="S73" i="122" s="1"/>
  <c r="S74" i="122" s="1"/>
  <c r="S75" i="122" s="1"/>
  <c r="S76" i="122" s="1"/>
  <c r="S77" i="122" s="1"/>
  <c r="S78" i="122" s="1"/>
  <c r="S79" i="122" s="1"/>
  <c r="S80" i="122" s="1"/>
  <c r="S81" i="122" s="1"/>
  <c r="S82" i="122" s="1"/>
  <c r="S83" i="122" s="1"/>
  <c r="S84" i="122" s="1"/>
  <c r="S85" i="122" s="1"/>
  <c r="S86" i="122" s="1"/>
  <c r="S87" i="122" s="1"/>
  <c r="S88" i="122" s="1"/>
  <c r="S89" i="122" s="1"/>
  <c r="S90" i="122" s="1"/>
  <c r="S91" i="122" s="1"/>
  <c r="S92" i="122" s="1"/>
  <c r="S93" i="122" s="1"/>
  <c r="S94" i="122" s="1"/>
  <c r="S95" i="122" s="1"/>
  <c r="S96" i="122" s="1"/>
  <c r="S97" i="122" s="1"/>
  <c r="S98" i="122" s="1"/>
  <c r="S99" i="122" s="1"/>
  <c r="S100" i="122" s="1"/>
  <c r="S101" i="122" s="1"/>
  <c r="S102" i="122" s="1"/>
  <c r="S103" i="122" s="1"/>
  <c r="S104" i="122" s="1"/>
  <c r="S105" i="122" s="1"/>
  <c r="S106" i="122" s="1"/>
  <c r="S107" i="122" s="1"/>
  <c r="S108" i="122" s="1"/>
  <c r="S109" i="122" s="1"/>
  <c r="S110" i="122" s="1"/>
  <c r="N53" i="122"/>
  <c r="K16" i="122"/>
  <c r="K15" i="122" s="1"/>
  <c r="O22" i="122"/>
  <c r="O23" i="122" s="1"/>
  <c r="O24" i="122" s="1"/>
  <c r="O25" i="122" s="1"/>
  <c r="O26" i="122" s="1"/>
  <c r="O27" i="122" s="1"/>
  <c r="O28" i="122" s="1"/>
  <c r="O29" i="122" s="1"/>
  <c r="O30" i="122" s="1"/>
  <c r="O31" i="122" s="1"/>
  <c r="O32" i="122" s="1"/>
  <c r="O33" i="122" s="1"/>
  <c r="O34" i="122" s="1"/>
  <c r="O35" i="122" s="1"/>
  <c r="O36" i="122" s="1"/>
  <c r="O37" i="122" s="1"/>
  <c r="O38" i="122" s="1"/>
  <c r="O39" i="122" s="1"/>
  <c r="O40" i="122" s="1"/>
  <c r="O41" i="122" s="1"/>
  <c r="O42" i="122" s="1"/>
  <c r="O43" i="122" s="1"/>
  <c r="O44" i="122" s="1"/>
  <c r="O45" i="122" s="1"/>
  <c r="O46" i="122" s="1"/>
  <c r="O47" i="122" s="1"/>
  <c r="O48" i="122" s="1"/>
  <c r="O49" i="122" s="1"/>
  <c r="O50" i="122" s="1"/>
  <c r="O51" i="122" s="1"/>
  <c r="O52" i="122" s="1"/>
  <c r="O53" i="122" s="1"/>
  <c r="S22" i="122"/>
  <c r="S23" i="122" s="1"/>
  <c r="S24" i="122" s="1"/>
  <c r="S25" i="122" s="1"/>
  <c r="S26" i="122" s="1"/>
  <c r="S27" i="122" s="1"/>
  <c r="S28" i="122" s="1"/>
  <c r="S29" i="122" s="1"/>
  <c r="S30" i="122" s="1"/>
  <c r="S31" i="122" s="1"/>
  <c r="S32" i="122" s="1"/>
  <c r="S33" i="122" s="1"/>
  <c r="S34" i="122" s="1"/>
  <c r="S35" i="122" s="1"/>
  <c r="S36" i="122" s="1"/>
  <c r="S37" i="122" s="1"/>
  <c r="S38" i="122" s="1"/>
  <c r="S39" i="122" s="1"/>
  <c r="S40" i="122" s="1"/>
  <c r="S41" i="122" s="1"/>
  <c r="S42" i="122" s="1"/>
  <c r="S43" i="122" s="1"/>
  <c r="S44" i="122" s="1"/>
  <c r="S45" i="122" s="1"/>
  <c r="S46" i="122" s="1"/>
  <c r="S47" i="122" s="1"/>
  <c r="S48" i="122" s="1"/>
  <c r="S49" i="122" s="1"/>
  <c r="S50" i="122" s="1"/>
  <c r="S51" i="122" s="1"/>
  <c r="S52" i="122" s="1"/>
  <c r="S53" i="122" s="1"/>
  <c r="M36" i="119"/>
  <c r="O54" i="122" l="1"/>
  <c r="O55" i="122" s="1"/>
  <c r="O56" i="122" s="1"/>
  <c r="O57" i="122" s="1"/>
  <c r="O58" i="122" s="1"/>
  <c r="O59" i="122" s="1"/>
  <c r="O60" i="122" s="1"/>
  <c r="O61" i="122" s="1"/>
  <c r="O62" i="122" s="1"/>
  <c r="O63" i="122" s="1"/>
  <c r="O64" i="122" s="1"/>
  <c r="O65" i="122" s="1"/>
  <c r="O66" i="122" s="1"/>
  <c r="O67" i="122" s="1"/>
  <c r="O68" i="122" s="1"/>
  <c r="O69" i="122" s="1"/>
  <c r="O70" i="122" s="1"/>
  <c r="O71" i="122" s="1"/>
  <c r="O72" i="122" s="1"/>
  <c r="O73" i="122" s="1"/>
  <c r="O74" i="122" s="1"/>
  <c r="O75" i="122" s="1"/>
  <c r="O76" i="122" s="1"/>
  <c r="O77" i="122" s="1"/>
  <c r="O78" i="122" s="1"/>
  <c r="O79" i="122" s="1"/>
  <c r="O80" i="122" s="1"/>
  <c r="O81" i="122" s="1"/>
  <c r="O82" i="122" s="1"/>
  <c r="O83" i="122" s="1"/>
  <c r="O84" i="122" s="1"/>
  <c r="O85" i="122" s="1"/>
  <c r="O86" i="122" s="1"/>
  <c r="O87" i="122" s="1"/>
  <c r="O88" i="122" s="1"/>
  <c r="O89" i="122" s="1"/>
  <c r="O90" i="122" s="1"/>
  <c r="O91" i="122" s="1"/>
  <c r="O92" i="122" s="1"/>
  <c r="O93" i="122" s="1"/>
  <c r="O94" i="122" s="1"/>
  <c r="O95" i="122" s="1"/>
  <c r="O96" i="122" s="1"/>
  <c r="O97" i="122" s="1"/>
  <c r="O98" i="122" s="1"/>
  <c r="O99" i="122" s="1"/>
  <c r="O100" i="122" s="1"/>
  <c r="O101" i="122" s="1"/>
  <c r="O102" i="122" s="1"/>
  <c r="O103" i="122" s="1"/>
  <c r="O104" i="122" s="1"/>
  <c r="O105" i="122" s="1"/>
  <c r="O106" i="122" s="1"/>
  <c r="O107" i="122" s="1"/>
  <c r="O108" i="122" s="1"/>
  <c r="O109" i="122" s="1"/>
  <c r="O110" i="122" s="1"/>
  <c r="N54" i="122"/>
  <c r="N55" i="122" s="1"/>
  <c r="N56" i="122" s="1"/>
  <c r="N57" i="122" s="1"/>
  <c r="N58" i="122" s="1"/>
  <c r="N59" i="122" s="1"/>
  <c r="N60" i="122" s="1"/>
  <c r="N61" i="122" s="1"/>
  <c r="N62" i="122" s="1"/>
  <c r="N63" i="122" s="1"/>
  <c r="N64" i="122" s="1"/>
  <c r="N65" i="122" s="1"/>
  <c r="N66" i="122" s="1"/>
  <c r="N67" i="122" s="1"/>
  <c r="N68" i="122" s="1"/>
  <c r="N69" i="122" s="1"/>
  <c r="N70" i="122" s="1"/>
  <c r="N71" i="122" s="1"/>
  <c r="N72" i="122" s="1"/>
  <c r="N73" i="122" s="1"/>
  <c r="N74" i="122" s="1"/>
  <c r="N75" i="122" s="1"/>
  <c r="N76" i="122" s="1"/>
  <c r="N77" i="122" s="1"/>
  <c r="N78" i="122" s="1"/>
  <c r="N79" i="122" s="1"/>
  <c r="N80" i="122" s="1"/>
  <c r="N81" i="122" s="1"/>
  <c r="N82" i="122" s="1"/>
  <c r="N83" i="122" s="1"/>
  <c r="N84" i="122" s="1"/>
  <c r="N85" i="122" s="1"/>
  <c r="N86" i="122" s="1"/>
  <c r="N87" i="122" s="1"/>
  <c r="N88" i="122" s="1"/>
  <c r="N89" i="122" s="1"/>
  <c r="N90" i="122" s="1"/>
  <c r="N91" i="122" s="1"/>
  <c r="N92" i="122" s="1"/>
  <c r="N93" i="122" s="1"/>
  <c r="N94" i="122" s="1"/>
  <c r="N95" i="122" s="1"/>
  <c r="N96" i="122" s="1"/>
  <c r="N97" i="122" s="1"/>
  <c r="N98" i="122" s="1"/>
  <c r="N99" i="122" s="1"/>
  <c r="N100" i="122" s="1"/>
  <c r="N101" i="122" s="1"/>
  <c r="N102" i="122" s="1"/>
  <c r="N103" i="122" s="1"/>
  <c r="N104" i="122" s="1"/>
  <c r="N105" i="122" s="1"/>
  <c r="N106" i="122" s="1"/>
  <c r="N107" i="122" s="1"/>
  <c r="N108" i="122" s="1"/>
  <c r="N109" i="122" s="1"/>
  <c r="N110" i="122" s="1"/>
  <c r="M15" i="122"/>
  <c r="M29" i="119"/>
  <c r="M27" i="119"/>
  <c r="L15" i="119" l="1"/>
  <c r="J15" i="119"/>
  <c r="K13" i="119"/>
  <c r="J13" i="119"/>
  <c r="E13" i="119"/>
  <c r="G12" i="119" s="1"/>
  <c r="D13" i="119"/>
  <c r="L12" i="119"/>
  <c r="F12" i="119"/>
  <c r="L11" i="119"/>
  <c r="S11" i="119" s="1"/>
  <c r="L10" i="119"/>
  <c r="F10" i="119"/>
  <c r="L9" i="119"/>
  <c r="F9" i="119"/>
  <c r="L8" i="119"/>
  <c r="F8" i="119"/>
  <c r="L7" i="119"/>
  <c r="F7" i="119"/>
  <c r="L6" i="119"/>
  <c r="F6" i="119"/>
  <c r="L5" i="119"/>
  <c r="F5" i="119"/>
  <c r="L15" i="117"/>
  <c r="J15" i="117"/>
  <c r="S8" i="119" l="1"/>
  <c r="J14" i="119"/>
  <c r="M11" i="119"/>
  <c r="S9" i="119"/>
  <c r="M12" i="119"/>
  <c r="K14" i="119"/>
  <c r="L13" i="119"/>
  <c r="S10" i="119"/>
  <c r="M5" i="119"/>
  <c r="S6" i="119"/>
  <c r="S7" i="119"/>
  <c r="M8" i="119"/>
  <c r="S5" i="119"/>
  <c r="M10" i="119"/>
  <c r="M6" i="119"/>
  <c r="M7" i="119"/>
  <c r="F13" i="119"/>
  <c r="M9" i="119"/>
  <c r="S12" i="119"/>
  <c r="O20" i="117"/>
  <c r="O21" i="117" s="1"/>
  <c r="N20" i="117"/>
  <c r="N21" i="117" s="1"/>
  <c r="N22" i="117" s="1"/>
  <c r="N23" i="117" s="1"/>
  <c r="N24" i="117" s="1"/>
  <c r="N25" i="117" s="1"/>
  <c r="N26" i="117" s="1"/>
  <c r="N27" i="117" s="1"/>
  <c r="N28" i="117" s="1"/>
  <c r="N29" i="117" s="1"/>
  <c r="N30" i="117" s="1"/>
  <c r="N31" i="117" s="1"/>
  <c r="N32" i="117" s="1"/>
  <c r="N33" i="117" s="1"/>
  <c r="N34" i="117" s="1"/>
  <c r="N35" i="117" s="1"/>
  <c r="N36" i="117" s="1"/>
  <c r="N37" i="117" s="1"/>
  <c r="N38" i="117" s="1"/>
  <c r="N39" i="117" s="1"/>
  <c r="N40" i="117" s="1"/>
  <c r="N41" i="117" s="1"/>
  <c r="N42" i="117" s="1"/>
  <c r="N43" i="117" s="1"/>
  <c r="N44" i="117" s="1"/>
  <c r="N45" i="117" s="1"/>
  <c r="N46" i="117" s="1"/>
  <c r="N47" i="117" s="1"/>
  <c r="N48" i="117" s="1"/>
  <c r="N49" i="117" s="1"/>
  <c r="N50" i="117" s="1"/>
  <c r="N51" i="117" s="1"/>
  <c r="N52" i="117" s="1"/>
  <c r="N53" i="117" s="1"/>
  <c r="N54" i="117" s="1"/>
  <c r="N55" i="117" s="1"/>
  <c r="N56" i="117" s="1"/>
  <c r="N57" i="117" s="1"/>
  <c r="N58" i="117" s="1"/>
  <c r="L23" i="119" l="1"/>
  <c r="K23" i="119" s="1"/>
  <c r="L20" i="119"/>
  <c r="M20" i="119" s="1"/>
  <c r="L71" i="117"/>
  <c r="M71" i="117" s="1"/>
  <c r="L73" i="117"/>
  <c r="M73" i="117" s="1"/>
  <c r="M13" i="119"/>
  <c r="L100" i="117"/>
  <c r="M100" i="117" s="1"/>
  <c r="S13" i="119"/>
  <c r="X13" i="119"/>
  <c r="G13" i="119"/>
  <c r="G11" i="119" s="1"/>
  <c r="L14" i="119"/>
  <c r="L99" i="117"/>
  <c r="M99" i="117" s="1"/>
  <c r="L101" i="117"/>
  <c r="M101" i="117" s="1"/>
  <c r="L75" i="117"/>
  <c r="M75" i="117" s="1"/>
  <c r="L77" i="117"/>
  <c r="M77" i="117" s="1"/>
  <c r="L81" i="117"/>
  <c r="M81" i="117" s="1"/>
  <c r="L83" i="117"/>
  <c r="M83" i="117" s="1"/>
  <c r="L85" i="117"/>
  <c r="M85" i="117" s="1"/>
  <c r="L61" i="117"/>
  <c r="M61" i="117" s="1"/>
  <c r="L87" i="117"/>
  <c r="M87" i="117" s="1"/>
  <c r="L63" i="117"/>
  <c r="M63" i="117" s="1"/>
  <c r="L89" i="117"/>
  <c r="M89" i="117" s="1"/>
  <c r="L65" i="117"/>
  <c r="M65" i="117" s="1"/>
  <c r="L93" i="117"/>
  <c r="M93" i="117" s="1"/>
  <c r="L66" i="117"/>
  <c r="M66" i="117" s="1"/>
  <c r="L95" i="117"/>
  <c r="L69" i="117"/>
  <c r="M69" i="117" s="1"/>
  <c r="L97" i="117"/>
  <c r="M97" i="117" s="1"/>
  <c r="L102" i="117"/>
  <c r="M102" i="117" s="1"/>
  <c r="L78" i="117"/>
  <c r="M78" i="117" s="1"/>
  <c r="L90" i="117"/>
  <c r="M90" i="117" s="1"/>
  <c r="L67" i="117"/>
  <c r="M67" i="117" s="1"/>
  <c r="L79" i="117"/>
  <c r="M79" i="117" s="1"/>
  <c r="L91" i="117"/>
  <c r="M91" i="117" s="1"/>
  <c r="L103" i="117"/>
  <c r="M103" i="117" s="1"/>
  <c r="L68" i="117"/>
  <c r="M68" i="117" s="1"/>
  <c r="L80" i="117"/>
  <c r="M80" i="117" s="1"/>
  <c r="L92" i="117"/>
  <c r="M92" i="117" s="1"/>
  <c r="L104" i="117"/>
  <c r="M104" i="117" s="1"/>
  <c r="L70" i="117"/>
  <c r="M70" i="117" s="1"/>
  <c r="L82" i="117"/>
  <c r="M82" i="117" s="1"/>
  <c r="L94" i="117"/>
  <c r="M94" i="117" s="1"/>
  <c r="L60" i="117"/>
  <c r="L72" i="117"/>
  <c r="M72" i="117" s="1"/>
  <c r="L84" i="117"/>
  <c r="M84" i="117" s="1"/>
  <c r="L96" i="117"/>
  <c r="M96" i="117" s="1"/>
  <c r="L62" i="117"/>
  <c r="M62" i="117" s="1"/>
  <c r="L74" i="117"/>
  <c r="M74" i="117" s="1"/>
  <c r="L86" i="117"/>
  <c r="M86" i="117" s="1"/>
  <c r="L98" i="117"/>
  <c r="M98" i="117" s="1"/>
  <c r="L64" i="117"/>
  <c r="M64" i="117" s="1"/>
  <c r="L76" i="117"/>
  <c r="M76" i="117" s="1"/>
  <c r="L88" i="117"/>
  <c r="M88" i="117" s="1"/>
  <c r="S20" i="119" l="1"/>
  <c r="O20" i="119"/>
  <c r="O21" i="119" s="1"/>
  <c r="O22" i="119" s="1"/>
  <c r="O23" i="119" s="1"/>
  <c r="K24" i="119"/>
  <c r="M24" i="119" s="1"/>
  <c r="S24" i="119" s="1"/>
  <c r="S25" i="119" s="1"/>
  <c r="S26" i="119" s="1"/>
  <c r="S27" i="119" s="1"/>
  <c r="S28" i="119" s="1"/>
  <c r="S29" i="119" s="1"/>
  <c r="S30" i="119" s="1"/>
  <c r="S31" i="119" s="1"/>
  <c r="S32" i="119" s="1"/>
  <c r="S33" i="119" s="1"/>
  <c r="S34" i="119" s="1"/>
  <c r="S35" i="119" s="1"/>
  <c r="S36" i="119" s="1"/>
  <c r="S37" i="119" s="1"/>
  <c r="S38" i="119" s="1"/>
  <c r="S39" i="119" s="1"/>
  <c r="S40" i="119" s="1"/>
  <c r="S41" i="119" s="1"/>
  <c r="S42" i="119" s="1"/>
  <c r="S43" i="119" s="1"/>
  <c r="S44" i="119" s="1"/>
  <c r="S45" i="119" s="1"/>
  <c r="S46" i="119" s="1"/>
  <c r="S47" i="119" s="1"/>
  <c r="S48" i="119" s="1"/>
  <c r="S49" i="119" s="1"/>
  <c r="S50" i="119" s="1"/>
  <c r="S51" i="119" s="1"/>
  <c r="S52" i="119" s="1"/>
  <c r="S53" i="119" s="1"/>
  <c r="S54" i="119" s="1"/>
  <c r="S55" i="119" s="1"/>
  <c r="S56" i="119" s="1"/>
  <c r="S57" i="119" s="1"/>
  <c r="S58" i="119" s="1"/>
  <c r="S59" i="119" s="1"/>
  <c r="S60" i="119" s="1"/>
  <c r="S61" i="119" s="1"/>
  <c r="S62" i="119" s="1"/>
  <c r="S63" i="119" s="1"/>
  <c r="S64" i="119" s="1"/>
  <c r="S65" i="119" s="1"/>
  <c r="S66" i="119" s="1"/>
  <c r="S67" i="119" s="1"/>
  <c r="S68" i="119" s="1"/>
  <c r="S69" i="119" s="1"/>
  <c r="S70" i="119" s="1"/>
  <c r="S71" i="119" s="1"/>
  <c r="S72" i="119" s="1"/>
  <c r="S73" i="119" s="1"/>
  <c r="S74" i="119" s="1"/>
  <c r="S75" i="119" s="1"/>
  <c r="S76" i="119" s="1"/>
  <c r="S77" i="119" s="1"/>
  <c r="S78" i="119" s="1"/>
  <c r="S79" i="119" s="1"/>
  <c r="S80" i="119" s="1"/>
  <c r="S81" i="119" s="1"/>
  <c r="S82" i="119" s="1"/>
  <c r="S83" i="119" s="1"/>
  <c r="S84" i="119" s="1"/>
  <c r="S85" i="119" s="1"/>
  <c r="S86" i="119" s="1"/>
  <c r="S87" i="119" s="1"/>
  <c r="S88" i="119" s="1"/>
  <c r="S89" i="119" s="1"/>
  <c r="S90" i="119" s="1"/>
  <c r="S91" i="119" s="1"/>
  <c r="S92" i="119" s="1"/>
  <c r="S93" i="119" s="1"/>
  <c r="S94" i="119" s="1"/>
  <c r="S95" i="119" s="1"/>
  <c r="S96" i="119" s="1"/>
  <c r="S97" i="119" s="1"/>
  <c r="S98" i="119" s="1"/>
  <c r="S99" i="119" s="1"/>
  <c r="S100" i="119" s="1"/>
  <c r="S101" i="119" s="1"/>
  <c r="S102" i="119" s="1"/>
  <c r="S103" i="119" s="1"/>
  <c r="S104" i="119" s="1"/>
  <c r="N23" i="119"/>
  <c r="L12" i="117"/>
  <c r="F12" i="117"/>
  <c r="L11" i="117"/>
  <c r="L9" i="117"/>
  <c r="F9" i="117"/>
  <c r="L8" i="117"/>
  <c r="F8" i="117"/>
  <c r="L7" i="117"/>
  <c r="F7" i="117"/>
  <c r="L6" i="117"/>
  <c r="L5" i="117"/>
  <c r="S12" i="115"/>
  <c r="S11" i="115"/>
  <c r="S10" i="115"/>
  <c r="S9" i="115"/>
  <c r="S8" i="115"/>
  <c r="S7" i="115"/>
  <c r="S6" i="115"/>
  <c r="N24" i="119" l="1"/>
  <c r="N25" i="119" s="1"/>
  <c r="N26" i="119" s="1"/>
  <c r="N27" i="119" s="1"/>
  <c r="N28" i="119" s="1"/>
  <c r="N29" i="119" s="1"/>
  <c r="N30" i="119" s="1"/>
  <c r="N31" i="119" s="1"/>
  <c r="N32" i="119" s="1"/>
  <c r="N33" i="119" s="1"/>
  <c r="N34" i="119" s="1"/>
  <c r="N35" i="119" s="1"/>
  <c r="N36" i="119" s="1"/>
  <c r="N37" i="119" s="1"/>
  <c r="N38" i="119" s="1"/>
  <c r="N39" i="119" s="1"/>
  <c r="N40" i="119" s="1"/>
  <c r="N41" i="119" s="1"/>
  <c r="N42" i="119" s="1"/>
  <c r="N43" i="119" s="1"/>
  <c r="N44" i="119" s="1"/>
  <c r="N45" i="119" s="1"/>
  <c r="N46" i="119" s="1"/>
  <c r="N47" i="119" s="1"/>
  <c r="N48" i="119" s="1"/>
  <c r="N49" i="119" s="1"/>
  <c r="N50" i="119" s="1"/>
  <c r="N51" i="119" s="1"/>
  <c r="N52" i="119" s="1"/>
  <c r="N53" i="119" s="1"/>
  <c r="N54" i="119" s="1"/>
  <c r="N55" i="119" s="1"/>
  <c r="N56" i="119" s="1"/>
  <c r="N57" i="119" s="1"/>
  <c r="N58" i="119" s="1"/>
  <c r="N59" i="119" s="1"/>
  <c r="N60" i="119" s="1"/>
  <c r="N61" i="119" s="1"/>
  <c r="N62" i="119" s="1"/>
  <c r="N63" i="119" s="1"/>
  <c r="N64" i="119" s="1"/>
  <c r="N65" i="119" s="1"/>
  <c r="N66" i="119" s="1"/>
  <c r="N67" i="119" s="1"/>
  <c r="N68" i="119" s="1"/>
  <c r="N69" i="119" s="1"/>
  <c r="N70" i="119" s="1"/>
  <c r="N71" i="119" s="1"/>
  <c r="N72" i="119" s="1"/>
  <c r="N73" i="119" s="1"/>
  <c r="N74" i="119" s="1"/>
  <c r="N75" i="119" s="1"/>
  <c r="N76" i="119" s="1"/>
  <c r="N77" i="119" s="1"/>
  <c r="N78" i="119" s="1"/>
  <c r="N79" i="119" s="1"/>
  <c r="N80" i="119" s="1"/>
  <c r="N81" i="119" s="1"/>
  <c r="N82" i="119" s="1"/>
  <c r="N83" i="119" s="1"/>
  <c r="N84" i="119" s="1"/>
  <c r="N85" i="119" s="1"/>
  <c r="N86" i="119" s="1"/>
  <c r="N87" i="119" s="1"/>
  <c r="N88" i="119" s="1"/>
  <c r="N89" i="119" s="1"/>
  <c r="N90" i="119" s="1"/>
  <c r="N91" i="119" s="1"/>
  <c r="N92" i="119" s="1"/>
  <c r="N93" i="119" s="1"/>
  <c r="N94" i="119" s="1"/>
  <c r="N95" i="119" s="1"/>
  <c r="N96" i="119" s="1"/>
  <c r="N97" i="119" s="1"/>
  <c r="N98" i="119" s="1"/>
  <c r="N99" i="119" s="1"/>
  <c r="N100" i="119" s="1"/>
  <c r="N101" i="119" s="1"/>
  <c r="N102" i="119" s="1"/>
  <c r="N103" i="119" s="1"/>
  <c r="N104" i="119" s="1"/>
  <c r="O24" i="119"/>
  <c r="O25" i="119" s="1"/>
  <c r="O26" i="119" s="1"/>
  <c r="O27" i="119" s="1"/>
  <c r="O28" i="119" s="1"/>
  <c r="O29" i="119" s="1"/>
  <c r="O30" i="119" s="1"/>
  <c r="O31" i="119" s="1"/>
  <c r="O32" i="119" s="1"/>
  <c r="O33" i="119" s="1"/>
  <c r="O34" i="119" s="1"/>
  <c r="O35" i="119" s="1"/>
  <c r="O36" i="119" s="1"/>
  <c r="O37" i="119" s="1"/>
  <c r="O38" i="119" s="1"/>
  <c r="O39" i="119" s="1"/>
  <c r="O40" i="119" s="1"/>
  <c r="O41" i="119" s="1"/>
  <c r="O42" i="119" s="1"/>
  <c r="O43" i="119" s="1"/>
  <c r="O44" i="119" s="1"/>
  <c r="O45" i="119" s="1"/>
  <c r="O46" i="119" s="1"/>
  <c r="O47" i="119" s="1"/>
  <c r="O48" i="119" s="1"/>
  <c r="O49" i="119" s="1"/>
  <c r="O50" i="119" s="1"/>
  <c r="O51" i="119" s="1"/>
  <c r="O52" i="119" s="1"/>
  <c r="O53" i="119" s="1"/>
  <c r="O54" i="119" s="1"/>
  <c r="O55" i="119" s="1"/>
  <c r="O56" i="119" s="1"/>
  <c r="O57" i="119" s="1"/>
  <c r="O58" i="119" s="1"/>
  <c r="O59" i="119" s="1"/>
  <c r="O60" i="119" s="1"/>
  <c r="O61" i="119" s="1"/>
  <c r="O62" i="119" s="1"/>
  <c r="O63" i="119" s="1"/>
  <c r="O64" i="119" s="1"/>
  <c r="O65" i="119" s="1"/>
  <c r="O66" i="119" s="1"/>
  <c r="O67" i="119" s="1"/>
  <c r="O68" i="119" s="1"/>
  <c r="O69" i="119" s="1"/>
  <c r="O70" i="119" s="1"/>
  <c r="O71" i="119" s="1"/>
  <c r="O72" i="119" s="1"/>
  <c r="O73" i="119" s="1"/>
  <c r="O74" i="119" s="1"/>
  <c r="O75" i="119" s="1"/>
  <c r="O76" i="119" s="1"/>
  <c r="O77" i="119" s="1"/>
  <c r="O78" i="119" s="1"/>
  <c r="O79" i="119" s="1"/>
  <c r="O80" i="119" s="1"/>
  <c r="O81" i="119" s="1"/>
  <c r="O82" i="119" s="1"/>
  <c r="O83" i="119" s="1"/>
  <c r="O84" i="119" s="1"/>
  <c r="O85" i="119" s="1"/>
  <c r="O86" i="119" s="1"/>
  <c r="O87" i="119" s="1"/>
  <c r="O88" i="119" s="1"/>
  <c r="O89" i="119" s="1"/>
  <c r="O90" i="119" s="1"/>
  <c r="O91" i="119" s="1"/>
  <c r="O92" i="119" s="1"/>
  <c r="O93" i="119" s="1"/>
  <c r="O94" i="119" s="1"/>
  <c r="O95" i="119" s="1"/>
  <c r="O96" i="119" s="1"/>
  <c r="O97" i="119" s="1"/>
  <c r="O98" i="119" s="1"/>
  <c r="O99" i="119" s="1"/>
  <c r="O100" i="119" s="1"/>
  <c r="O101" i="119" s="1"/>
  <c r="O102" i="119" s="1"/>
  <c r="O103" i="119" s="1"/>
  <c r="O104" i="119" s="1"/>
  <c r="M11" i="117"/>
  <c r="S7" i="117"/>
  <c r="M8" i="117"/>
  <c r="S9" i="117"/>
  <c r="M12" i="117"/>
  <c r="S11" i="117"/>
  <c r="M7" i="117"/>
  <c r="S8" i="117"/>
  <c r="M9" i="117"/>
  <c r="S12" i="117"/>
  <c r="O20" i="115"/>
  <c r="O21" i="115" s="1"/>
  <c r="N20" i="115"/>
  <c r="N21" i="115" s="1"/>
  <c r="N22" i="115" s="1"/>
  <c r="N23" i="115" s="1"/>
  <c r="N24" i="115" s="1"/>
  <c r="N25" i="115" s="1"/>
  <c r="N26" i="115" s="1"/>
  <c r="N27" i="115" s="1"/>
  <c r="N28" i="115" s="1"/>
  <c r="N29" i="115" s="1"/>
  <c r="N30" i="115" s="1"/>
  <c r="N31" i="115" s="1"/>
  <c r="N32" i="115" s="1"/>
  <c r="N33" i="115" s="1"/>
  <c r="N34" i="115" s="1"/>
  <c r="N35" i="115" s="1"/>
  <c r="N36" i="115" s="1"/>
  <c r="N37" i="115" s="1"/>
  <c r="N38" i="115" s="1"/>
  <c r="N39" i="115" s="1"/>
  <c r="N40" i="115" s="1"/>
  <c r="N41" i="115" s="1"/>
  <c r="N42" i="115" s="1"/>
  <c r="N43" i="115" s="1"/>
  <c r="N44" i="115" s="1"/>
  <c r="N45" i="115" s="1"/>
  <c r="N46" i="115" s="1"/>
  <c r="N47" i="115" s="1"/>
  <c r="N48" i="115" s="1"/>
  <c r="N49" i="115" s="1"/>
  <c r="N50" i="115" s="1"/>
  <c r="N51" i="115" s="1"/>
  <c r="N52" i="115" s="1"/>
  <c r="L96" i="115" l="1"/>
  <c r="M96" i="115" s="1"/>
  <c r="L52" i="117"/>
  <c r="M52" i="117" s="1"/>
  <c r="L41" i="117"/>
  <c r="M41" i="117" s="1"/>
  <c r="L29" i="117"/>
  <c r="M29" i="117" s="1"/>
  <c r="L51" i="117"/>
  <c r="M51" i="117" s="1"/>
  <c r="L40" i="117"/>
  <c r="M40" i="117" s="1"/>
  <c r="L28" i="117"/>
  <c r="M28" i="117" s="1"/>
  <c r="L48" i="117"/>
  <c r="M48" i="117" s="1"/>
  <c r="L50" i="117"/>
  <c r="M50" i="117" s="1"/>
  <c r="L39" i="117"/>
  <c r="M39" i="117" s="1"/>
  <c r="L27" i="117"/>
  <c r="M27" i="117" s="1"/>
  <c r="L49" i="117"/>
  <c r="M49" i="117" s="1"/>
  <c r="L38" i="117"/>
  <c r="M38" i="117" s="1"/>
  <c r="L26" i="117"/>
  <c r="M26" i="117" s="1"/>
  <c r="L37" i="117"/>
  <c r="M37" i="117" s="1"/>
  <c r="L47" i="117"/>
  <c r="M47" i="117" s="1"/>
  <c r="L36" i="117"/>
  <c r="L58" i="117"/>
  <c r="L46" i="117"/>
  <c r="M46" i="117" s="1"/>
  <c r="L35" i="117"/>
  <c r="M35" i="117" s="1"/>
  <c r="L23" i="117"/>
  <c r="M23" i="117" s="1"/>
  <c r="L57" i="117"/>
  <c r="L45" i="117"/>
  <c r="M45" i="117" s="1"/>
  <c r="L34" i="117"/>
  <c r="M34" i="117" s="1"/>
  <c r="L22" i="117"/>
  <c r="M22" i="117" s="1"/>
  <c r="L25" i="117"/>
  <c r="M25" i="117" s="1"/>
  <c r="L56" i="117"/>
  <c r="M56" i="117" s="1"/>
  <c r="L44" i="117"/>
  <c r="M44" i="117" s="1"/>
  <c r="L33" i="117"/>
  <c r="M33" i="117" s="1"/>
  <c r="L54" i="117"/>
  <c r="M54" i="117" s="1"/>
  <c r="I26" i="117"/>
  <c r="L31" i="117"/>
  <c r="M31" i="117" s="1"/>
  <c r="L30" i="117"/>
  <c r="M30" i="117" s="1"/>
  <c r="L55" i="117"/>
  <c r="M55" i="117" s="1"/>
  <c r="L43" i="117"/>
  <c r="M43" i="117" s="1"/>
  <c r="L32" i="117"/>
  <c r="M32" i="117" s="1"/>
  <c r="L53" i="117"/>
  <c r="M53" i="117" s="1"/>
  <c r="L42" i="117"/>
  <c r="M42" i="117" s="1"/>
  <c r="L59" i="117"/>
  <c r="L24" i="117"/>
  <c r="M24" i="117" s="1"/>
  <c r="L85" i="115"/>
  <c r="M85" i="115" s="1"/>
  <c r="L88" i="115"/>
  <c r="M88" i="115" s="1"/>
  <c r="L87" i="115"/>
  <c r="M87" i="115" s="1"/>
  <c r="L75" i="115"/>
  <c r="M75" i="115" s="1"/>
  <c r="L76" i="115"/>
  <c r="M76" i="115" s="1"/>
  <c r="L97" i="115"/>
  <c r="M97" i="115" s="1"/>
  <c r="L74" i="115"/>
  <c r="L86" i="115"/>
  <c r="M86" i="115" s="1"/>
  <c r="L89" i="115"/>
  <c r="M89" i="115" s="1"/>
  <c r="L79" i="115"/>
  <c r="M79" i="115" s="1"/>
  <c r="L91" i="115"/>
  <c r="M91" i="115" s="1"/>
  <c r="L90" i="115"/>
  <c r="M90" i="115" s="1"/>
  <c r="L80" i="115"/>
  <c r="M80" i="115" s="1"/>
  <c r="L92" i="115"/>
  <c r="M92" i="115" s="1"/>
  <c r="L78" i="115"/>
  <c r="M78" i="115" s="1"/>
  <c r="L81" i="115"/>
  <c r="M81" i="115" s="1"/>
  <c r="L93" i="115"/>
  <c r="M93" i="115" s="1"/>
  <c r="L82" i="115"/>
  <c r="M82" i="115" s="1"/>
  <c r="L94" i="115"/>
  <c r="M94" i="115" s="1"/>
  <c r="L77" i="115"/>
  <c r="M77" i="115" s="1"/>
  <c r="L83" i="115"/>
  <c r="M83" i="115" s="1"/>
  <c r="L95" i="115"/>
  <c r="M95" i="115" s="1"/>
  <c r="L84" i="115"/>
  <c r="M84" i="115" s="1"/>
  <c r="K16" i="119" l="1"/>
  <c r="K15" i="119" s="1"/>
  <c r="M16" i="119"/>
  <c r="S22" i="117"/>
  <c r="S23" i="117" s="1"/>
  <c r="S24" i="117" s="1"/>
  <c r="S25" i="117" s="1"/>
  <c r="S26" i="117" s="1"/>
  <c r="S27" i="117" s="1"/>
  <c r="S28" i="117" s="1"/>
  <c r="S29" i="117" s="1"/>
  <c r="S30" i="117" s="1"/>
  <c r="S31" i="117" s="1"/>
  <c r="S32" i="117" s="1"/>
  <c r="S33" i="117" s="1"/>
  <c r="S34" i="117" s="1"/>
  <c r="S35" i="117" s="1"/>
  <c r="S36" i="117" s="1"/>
  <c r="S37" i="117" s="1"/>
  <c r="S38" i="117" s="1"/>
  <c r="S39" i="117" s="1"/>
  <c r="S40" i="117" s="1"/>
  <c r="S41" i="117" s="1"/>
  <c r="S42" i="117" s="1"/>
  <c r="S43" i="117" s="1"/>
  <c r="S44" i="117" s="1"/>
  <c r="S45" i="117" s="1"/>
  <c r="S46" i="117" s="1"/>
  <c r="S47" i="117" s="1"/>
  <c r="S48" i="117" s="1"/>
  <c r="S49" i="117" s="1"/>
  <c r="S50" i="117" s="1"/>
  <c r="S51" i="117" s="1"/>
  <c r="S52" i="117" s="1"/>
  <c r="S53" i="117" s="1"/>
  <c r="S54" i="117" s="1"/>
  <c r="S55" i="117" s="1"/>
  <c r="S56" i="117" s="1"/>
  <c r="S57" i="117" s="1"/>
  <c r="S58" i="117" s="1"/>
  <c r="O22" i="117"/>
  <c r="O23" i="117" s="1"/>
  <c r="O24" i="117" s="1"/>
  <c r="O25" i="117" s="1"/>
  <c r="O26" i="117" s="1"/>
  <c r="O27" i="117" s="1"/>
  <c r="O28" i="117" s="1"/>
  <c r="O29" i="117" s="1"/>
  <c r="O30" i="117" s="1"/>
  <c r="O31" i="117" s="1"/>
  <c r="O32" i="117" s="1"/>
  <c r="O33" i="117" s="1"/>
  <c r="O34" i="117" s="1"/>
  <c r="O35" i="117" s="1"/>
  <c r="O36" i="117" s="1"/>
  <c r="O37" i="117" s="1"/>
  <c r="O38" i="117" s="1"/>
  <c r="O39" i="117" s="1"/>
  <c r="O40" i="117" s="1"/>
  <c r="O41" i="117" s="1"/>
  <c r="O42" i="117" s="1"/>
  <c r="O43" i="117" s="1"/>
  <c r="O44" i="117" s="1"/>
  <c r="O45" i="117" s="1"/>
  <c r="O46" i="117" s="1"/>
  <c r="O47" i="117" s="1"/>
  <c r="O48" i="117" s="1"/>
  <c r="O49" i="117" s="1"/>
  <c r="O50" i="117" s="1"/>
  <c r="O51" i="117" s="1"/>
  <c r="O52" i="117" s="1"/>
  <c r="O53" i="117" s="1"/>
  <c r="O54" i="117" s="1"/>
  <c r="O55" i="117" s="1"/>
  <c r="O56" i="117" s="1"/>
  <c r="O57" i="117" s="1"/>
  <c r="O58" i="117" s="1"/>
  <c r="E14" i="115"/>
  <c r="D14" i="115"/>
  <c r="K13" i="115"/>
  <c r="J13" i="115"/>
  <c r="E13" i="115"/>
  <c r="D13" i="115"/>
  <c r="R12" i="115"/>
  <c r="L12" i="115"/>
  <c r="F12" i="115"/>
  <c r="L11" i="115"/>
  <c r="F11" i="115"/>
  <c r="L10" i="115"/>
  <c r="F10" i="115"/>
  <c r="R9" i="115"/>
  <c r="L9" i="115"/>
  <c r="F9" i="115"/>
  <c r="R8" i="115"/>
  <c r="L8" i="115"/>
  <c r="F8" i="115"/>
  <c r="R7" i="115"/>
  <c r="L7" i="115"/>
  <c r="F7" i="115"/>
  <c r="R6" i="115"/>
  <c r="L6" i="115"/>
  <c r="F6" i="115"/>
  <c r="R5" i="115"/>
  <c r="L5" i="115"/>
  <c r="F5" i="115"/>
  <c r="M15" i="119" l="1"/>
  <c r="M14" i="119"/>
  <c r="M11" i="115"/>
  <c r="M9" i="115"/>
  <c r="M7" i="115"/>
  <c r="M10" i="115"/>
  <c r="M8" i="115"/>
  <c r="F13" i="115"/>
  <c r="S5" i="115"/>
  <c r="M6" i="115"/>
  <c r="F14" i="115"/>
  <c r="M12" i="115"/>
  <c r="S20" i="115"/>
  <c r="L13" i="115"/>
  <c r="M5" i="115"/>
  <c r="M13" i="115" l="1"/>
  <c r="L72" i="115" l="1"/>
  <c r="M72" i="115" s="1"/>
  <c r="L60" i="115"/>
  <c r="M60" i="115" s="1"/>
  <c r="L65" i="115"/>
  <c r="M65" i="115" s="1"/>
  <c r="L71" i="115"/>
  <c r="M71" i="115" s="1"/>
  <c r="L59" i="115"/>
  <c r="M59" i="115" s="1"/>
  <c r="L54" i="115"/>
  <c r="L61" i="115"/>
  <c r="M61" i="115" s="1"/>
  <c r="L70" i="115"/>
  <c r="M70" i="115" s="1"/>
  <c r="L58" i="115"/>
  <c r="M58" i="115" s="1"/>
  <c r="L63" i="115"/>
  <c r="M63" i="115" s="1"/>
  <c r="L69" i="115"/>
  <c r="M69" i="115" s="1"/>
  <c r="L57" i="115"/>
  <c r="M57" i="115" s="1"/>
  <c r="L66" i="115"/>
  <c r="M66" i="115" s="1"/>
  <c r="L64" i="115"/>
  <c r="M64" i="115" s="1"/>
  <c r="L68" i="115"/>
  <c r="M68" i="115" s="1"/>
  <c r="L56" i="115"/>
  <c r="M56" i="115" s="1"/>
  <c r="L67" i="115"/>
  <c r="M67" i="115" s="1"/>
  <c r="L55" i="115"/>
  <c r="M55" i="115" s="1"/>
  <c r="L73" i="115"/>
  <c r="K73" i="115" s="1"/>
  <c r="K74" i="115" s="1"/>
  <c r="M74" i="115" s="1"/>
  <c r="S74" i="115" s="1"/>
  <c r="S75" i="115" s="1"/>
  <c r="S76" i="115" s="1"/>
  <c r="L62" i="115"/>
  <c r="M62" i="115" s="1"/>
  <c r="L22" i="115" l="1"/>
  <c r="M22" i="115" s="1"/>
  <c r="O22" i="115" s="1"/>
  <c r="L48" i="115"/>
  <c r="M48" i="115" s="1"/>
  <c r="L36" i="115"/>
  <c r="M36" i="115" s="1"/>
  <c r="L24" i="115"/>
  <c r="M24" i="115" s="1"/>
  <c r="L42" i="115"/>
  <c r="M42" i="115" s="1"/>
  <c r="L29" i="115"/>
  <c r="M29" i="115" s="1"/>
  <c r="L40" i="115"/>
  <c r="M40" i="115" s="1"/>
  <c r="L47" i="115"/>
  <c r="M47" i="115" s="1"/>
  <c r="L35" i="115"/>
  <c r="M35" i="115" s="1"/>
  <c r="L23" i="115"/>
  <c r="M23" i="115" s="1"/>
  <c r="L25" i="115"/>
  <c r="M25" i="115" s="1"/>
  <c r="L46" i="115"/>
  <c r="M46" i="115" s="1"/>
  <c r="L34" i="115"/>
  <c r="M34" i="115" s="1"/>
  <c r="L28" i="115"/>
  <c r="M28" i="115" s="1"/>
  <c r="L39" i="115"/>
  <c r="M39" i="115" s="1"/>
  <c r="L27" i="115"/>
  <c r="M27" i="115" s="1"/>
  <c r="L37" i="115"/>
  <c r="M37" i="115" s="1"/>
  <c r="L45" i="115"/>
  <c r="M45" i="115" s="1"/>
  <c r="L33" i="115"/>
  <c r="M33" i="115" s="1"/>
  <c r="L51" i="115"/>
  <c r="M51" i="115" s="1"/>
  <c r="L49" i="115"/>
  <c r="M49" i="115" s="1"/>
  <c r="L44" i="115"/>
  <c r="M44" i="115" s="1"/>
  <c r="L32" i="115"/>
  <c r="M32" i="115" s="1"/>
  <c r="L30" i="115"/>
  <c r="M30" i="115" s="1"/>
  <c r="L53" i="115"/>
  <c r="K53" i="115" s="1"/>
  <c r="L41" i="115"/>
  <c r="M41" i="115" s="1"/>
  <c r="L52" i="115"/>
  <c r="M52" i="115" s="1"/>
  <c r="L43" i="115"/>
  <c r="M43" i="115" s="1"/>
  <c r="L31" i="115"/>
  <c r="M31" i="115" s="1"/>
  <c r="L50" i="115"/>
  <c r="M50" i="115" s="1"/>
  <c r="L38" i="115"/>
  <c r="M38" i="115" s="1"/>
  <c r="L26" i="115"/>
  <c r="M26" i="115" s="1"/>
  <c r="S22" i="115" l="1"/>
  <c r="S23" i="115" s="1"/>
  <c r="S24" i="115" s="1"/>
  <c r="S25" i="115" s="1"/>
  <c r="S26" i="115" s="1"/>
  <c r="S27" i="115" s="1"/>
  <c r="S28" i="115" s="1"/>
  <c r="S29" i="115" s="1"/>
  <c r="S30" i="115" s="1"/>
  <c r="S31" i="115" s="1"/>
  <c r="S32" i="115" s="1"/>
  <c r="S33" i="115" s="1"/>
  <c r="S34" i="115" s="1"/>
  <c r="S35" i="115" s="1"/>
  <c r="S36" i="115" s="1"/>
  <c r="S37" i="115" s="1"/>
  <c r="S38" i="115" s="1"/>
  <c r="S39" i="115" s="1"/>
  <c r="S40" i="115" s="1"/>
  <c r="S41" i="115" s="1"/>
  <c r="S42" i="115" s="1"/>
  <c r="S43" i="115" s="1"/>
  <c r="S44" i="115" s="1"/>
  <c r="S45" i="115" s="1"/>
  <c r="S46" i="115" s="1"/>
  <c r="S47" i="115" s="1"/>
  <c r="S48" i="115" s="1"/>
  <c r="S49" i="115" s="1"/>
  <c r="S50" i="115" s="1"/>
  <c r="S51" i="115" s="1"/>
  <c r="S52" i="115" s="1"/>
  <c r="S53" i="115" s="1"/>
  <c r="K54" i="115"/>
  <c r="M54" i="115" s="1"/>
  <c r="N53" i="115"/>
  <c r="K16" i="115"/>
  <c r="K15" i="115" s="1"/>
  <c r="O23" i="115"/>
  <c r="O24" i="115" s="1"/>
  <c r="O25" i="115" s="1"/>
  <c r="O26" i="115" s="1"/>
  <c r="O27" i="115" s="1"/>
  <c r="O28" i="115" s="1"/>
  <c r="O29" i="115" s="1"/>
  <c r="O30" i="115" s="1"/>
  <c r="O31" i="115" s="1"/>
  <c r="O32" i="115" s="1"/>
  <c r="O33" i="115" s="1"/>
  <c r="O34" i="115" s="1"/>
  <c r="O35" i="115" s="1"/>
  <c r="O36" i="115" s="1"/>
  <c r="O37" i="115" s="1"/>
  <c r="O38" i="115" s="1"/>
  <c r="O39" i="115" s="1"/>
  <c r="O40" i="115" s="1"/>
  <c r="O41" i="115" s="1"/>
  <c r="O42" i="115" s="1"/>
  <c r="O43" i="115" s="1"/>
  <c r="O44" i="115" s="1"/>
  <c r="O45" i="115" s="1"/>
  <c r="O46" i="115" s="1"/>
  <c r="O47" i="115" s="1"/>
  <c r="O48" i="115" s="1"/>
  <c r="O49" i="115" s="1"/>
  <c r="O50" i="115" s="1"/>
  <c r="O51" i="115" s="1"/>
  <c r="O52" i="115" s="1"/>
  <c r="O53" i="115" s="1"/>
  <c r="O54" i="115" s="1"/>
  <c r="O55" i="115" s="1"/>
  <c r="O56" i="115" s="1"/>
  <c r="O57" i="115" s="1"/>
  <c r="O58" i="115" s="1"/>
  <c r="O59" i="115" s="1"/>
  <c r="O60" i="115" s="1"/>
  <c r="O61" i="115" s="1"/>
  <c r="O62" i="115" s="1"/>
  <c r="O63" i="115" s="1"/>
  <c r="O64" i="115" s="1"/>
  <c r="O65" i="115" s="1"/>
  <c r="O66" i="115" s="1"/>
  <c r="O67" i="115" s="1"/>
  <c r="O68" i="115" s="1"/>
  <c r="O69" i="115" s="1"/>
  <c r="O70" i="115" s="1"/>
  <c r="O71" i="115" s="1"/>
  <c r="O72" i="115" s="1"/>
  <c r="O73" i="115" s="1"/>
  <c r="O74" i="115" s="1"/>
  <c r="O75" i="115" s="1"/>
  <c r="O76" i="115" s="1"/>
  <c r="O77" i="115" s="1"/>
  <c r="O78" i="115" s="1"/>
  <c r="O79" i="115" s="1"/>
  <c r="O80" i="115" s="1"/>
  <c r="O81" i="115" s="1"/>
  <c r="O82" i="115" s="1"/>
  <c r="O83" i="115" s="1"/>
  <c r="O84" i="115" s="1"/>
  <c r="O85" i="115" s="1"/>
  <c r="O86" i="115" s="1"/>
  <c r="O87" i="115" s="1"/>
  <c r="O88" i="115" s="1"/>
  <c r="O89" i="115" s="1"/>
  <c r="O90" i="115" s="1"/>
  <c r="O91" i="115" s="1"/>
  <c r="O92" i="115" s="1"/>
  <c r="O93" i="115" s="1"/>
  <c r="O94" i="115" s="1"/>
  <c r="O95" i="115" s="1"/>
  <c r="O96" i="115" s="1"/>
  <c r="O97" i="115" s="1"/>
  <c r="N54" i="115" l="1"/>
  <c r="N55" i="115" s="1"/>
  <c r="N56" i="115" s="1"/>
  <c r="N57" i="115" s="1"/>
  <c r="N58" i="115" s="1"/>
  <c r="N59" i="115" s="1"/>
  <c r="N60" i="115" s="1"/>
  <c r="N61" i="115" s="1"/>
  <c r="N62" i="115" s="1"/>
  <c r="N63" i="115" s="1"/>
  <c r="N64" i="115" s="1"/>
  <c r="N65" i="115" s="1"/>
  <c r="N66" i="115" s="1"/>
  <c r="N67" i="115" s="1"/>
  <c r="N68" i="115" s="1"/>
  <c r="N69" i="115" s="1"/>
  <c r="N70" i="115" s="1"/>
  <c r="N71" i="115" s="1"/>
  <c r="N72" i="115" s="1"/>
  <c r="N73" i="115" s="1"/>
  <c r="N74" i="115" s="1"/>
  <c r="N75" i="115" s="1"/>
  <c r="N76" i="115" s="1"/>
  <c r="N77" i="115" s="1"/>
  <c r="N78" i="115" s="1"/>
  <c r="N79" i="115" s="1"/>
  <c r="N80" i="115" s="1"/>
  <c r="N81" i="115" s="1"/>
  <c r="N82" i="115" s="1"/>
  <c r="N83" i="115" s="1"/>
  <c r="N84" i="115" s="1"/>
  <c r="N85" i="115" s="1"/>
  <c r="N86" i="115" s="1"/>
  <c r="N87" i="115" s="1"/>
  <c r="N88" i="115" s="1"/>
  <c r="N89" i="115" s="1"/>
  <c r="N90" i="115" s="1"/>
  <c r="N91" i="115" s="1"/>
  <c r="N92" i="115" s="1"/>
  <c r="N93" i="115" s="1"/>
  <c r="N94" i="115" s="1"/>
  <c r="N95" i="115" s="1"/>
  <c r="N96" i="115" s="1"/>
  <c r="N97" i="115" s="1"/>
  <c r="S54" i="115"/>
  <c r="S55" i="115" s="1"/>
  <c r="S56" i="115" s="1"/>
  <c r="S57" i="115" s="1"/>
  <c r="S58" i="115" s="1"/>
  <c r="S59" i="115" s="1"/>
  <c r="S60" i="115" s="1"/>
  <c r="S61" i="115" s="1"/>
  <c r="S62" i="115" s="1"/>
  <c r="S63" i="115" s="1"/>
  <c r="S64" i="115" s="1"/>
  <c r="S65" i="115" s="1"/>
  <c r="S66" i="115" s="1"/>
  <c r="S67" i="115" s="1"/>
  <c r="S68" i="115" s="1"/>
  <c r="S69" i="115" s="1"/>
  <c r="S70" i="115" s="1"/>
  <c r="S71" i="115" s="1"/>
  <c r="S72" i="115" s="1"/>
  <c r="S73" i="115" s="1"/>
  <c r="S77" i="115" s="1"/>
  <c r="S78" i="115" s="1"/>
  <c r="S79" i="115" s="1"/>
  <c r="S80" i="115" s="1"/>
  <c r="S81" i="115" s="1"/>
  <c r="S82" i="115" s="1"/>
  <c r="S83" i="115" s="1"/>
  <c r="S84" i="115" s="1"/>
  <c r="S85" i="115" s="1"/>
  <c r="S86" i="115" s="1"/>
  <c r="S87" i="115" s="1"/>
  <c r="S88" i="115" s="1"/>
  <c r="S89" i="115" s="1"/>
  <c r="S90" i="115" s="1"/>
  <c r="S91" i="115" s="1"/>
  <c r="S92" i="115" s="1"/>
  <c r="S93" i="115" s="1"/>
  <c r="S94" i="115" s="1"/>
  <c r="S95" i="115" s="1"/>
  <c r="S96" i="115" s="1"/>
  <c r="S97" i="115" s="1"/>
  <c r="M16" i="115"/>
  <c r="M15" i="115" l="1"/>
  <c r="M14" i="115"/>
  <c r="R11" i="115" l="1"/>
  <c r="P13" i="115" l="1"/>
  <c r="J14" i="115" s="1"/>
  <c r="P14" i="115" l="1"/>
  <c r="R10" i="115"/>
  <c r="R13" i="115" s="1"/>
  <c r="Q13" i="115"/>
  <c r="G12" i="115" s="1"/>
  <c r="R14" i="115" l="1"/>
  <c r="G13" i="115"/>
  <c r="G11" i="115" s="1"/>
  <c r="X13" i="115"/>
  <c r="S13" i="115"/>
  <c r="L14" i="115"/>
  <c r="K14" i="115"/>
  <c r="Q14" i="115"/>
  <c r="D13" i="117" l="1"/>
  <c r="J13" i="117" l="1"/>
  <c r="L10" i="117"/>
  <c r="K13" i="117"/>
  <c r="J14" i="117" l="1"/>
  <c r="L13" i="117"/>
  <c r="S59" i="117" l="1"/>
  <c r="O59" i="117"/>
  <c r="K59" i="117"/>
  <c r="K60" i="117" s="1"/>
  <c r="K16" i="117" l="1"/>
  <c r="K15" i="117" s="1"/>
  <c r="M60" i="117"/>
  <c r="O60" i="117" s="1"/>
  <c r="O61" i="117" s="1"/>
  <c r="O62" i="117" s="1"/>
  <c r="O63" i="117" s="1"/>
  <c r="O64" i="117" s="1"/>
  <c r="O65" i="117" s="1"/>
  <c r="O66" i="117" s="1"/>
  <c r="O67" i="117" s="1"/>
  <c r="O68" i="117" s="1"/>
  <c r="O69" i="117" s="1"/>
  <c r="O70" i="117" s="1"/>
  <c r="O71" i="117" s="1"/>
  <c r="O72" i="117" s="1"/>
  <c r="O73" i="117" s="1"/>
  <c r="O74" i="117" s="1"/>
  <c r="O75" i="117" s="1"/>
  <c r="O76" i="117" s="1"/>
  <c r="O77" i="117" s="1"/>
  <c r="O78" i="117" s="1"/>
  <c r="O79" i="117" s="1"/>
  <c r="O80" i="117" s="1"/>
  <c r="O81" i="117" s="1"/>
  <c r="O82" i="117" s="1"/>
  <c r="O83" i="117" s="1"/>
  <c r="O84" i="117" s="1"/>
  <c r="O85" i="117" s="1"/>
  <c r="O86" i="117" s="1"/>
  <c r="O87" i="117" s="1"/>
  <c r="O88" i="117" s="1"/>
  <c r="O89" i="117" s="1"/>
  <c r="O90" i="117" s="1"/>
  <c r="O91" i="117" s="1"/>
  <c r="O92" i="117" s="1"/>
  <c r="O93" i="117" s="1"/>
  <c r="O94" i="117" s="1"/>
  <c r="O95" i="117" s="1"/>
  <c r="O96" i="117" s="1"/>
  <c r="O97" i="117" s="1"/>
  <c r="O98" i="117" s="1"/>
  <c r="O99" i="117" s="1"/>
  <c r="O100" i="117" s="1"/>
  <c r="O101" i="117" s="1"/>
  <c r="O102" i="117" s="1"/>
  <c r="O103" i="117" s="1"/>
  <c r="O104" i="117" s="1"/>
  <c r="N59" i="117"/>
  <c r="N60" i="117" s="1"/>
  <c r="N61" i="117" s="1"/>
  <c r="N62" i="117" s="1"/>
  <c r="N63" i="117" s="1"/>
  <c r="N64" i="117" s="1"/>
  <c r="N65" i="117" s="1"/>
  <c r="N66" i="117" s="1"/>
  <c r="N67" i="117" s="1"/>
  <c r="N68" i="117" s="1"/>
  <c r="N69" i="117" s="1"/>
  <c r="N70" i="117" s="1"/>
  <c r="N71" i="117" s="1"/>
  <c r="N72" i="117" s="1"/>
  <c r="N73" i="117" s="1"/>
  <c r="N74" i="117" s="1"/>
  <c r="N75" i="117" s="1"/>
  <c r="N76" i="117" s="1"/>
  <c r="N77" i="117" s="1"/>
  <c r="N78" i="117" s="1"/>
  <c r="N79" i="117" s="1"/>
  <c r="N80" i="117" s="1"/>
  <c r="N81" i="117" s="1"/>
  <c r="N82" i="117" s="1"/>
  <c r="N83" i="117" s="1"/>
  <c r="N84" i="117" s="1"/>
  <c r="N85" i="117" s="1"/>
  <c r="N86" i="117" s="1"/>
  <c r="N87" i="117" s="1"/>
  <c r="N88" i="117" s="1"/>
  <c r="N89" i="117" s="1"/>
  <c r="N90" i="117" s="1"/>
  <c r="N91" i="117" s="1"/>
  <c r="N92" i="117" s="1"/>
  <c r="N93" i="117" s="1"/>
  <c r="N94" i="117" s="1"/>
  <c r="N95" i="117" s="1"/>
  <c r="N96" i="117" s="1"/>
  <c r="N97" i="117" s="1"/>
  <c r="N98" i="117" s="1"/>
  <c r="N99" i="117" s="1"/>
  <c r="N100" i="117" s="1"/>
  <c r="N101" i="117" s="1"/>
  <c r="N102" i="117" s="1"/>
  <c r="N103" i="117" s="1"/>
  <c r="N104" i="117" s="1"/>
  <c r="M16" i="117" l="1"/>
  <c r="S60" i="117"/>
  <c r="S61" i="117" s="1"/>
  <c r="S62" i="117" s="1"/>
  <c r="S63" i="117" s="1"/>
  <c r="S64" i="117" s="1"/>
  <c r="S65" i="117" s="1"/>
  <c r="S66" i="117" s="1"/>
  <c r="S67" i="117" s="1"/>
  <c r="S68" i="117" s="1"/>
  <c r="S69" i="117" s="1"/>
  <c r="S70" i="117" s="1"/>
  <c r="S71" i="117" s="1"/>
  <c r="S72" i="117" s="1"/>
  <c r="S73" i="117" s="1"/>
  <c r="S74" i="117" s="1"/>
  <c r="S75" i="117" s="1"/>
  <c r="S76" i="117" s="1"/>
  <c r="S77" i="117" s="1"/>
  <c r="S78" i="117" s="1"/>
  <c r="S79" i="117" s="1"/>
  <c r="S80" i="117" s="1"/>
  <c r="S81" i="117" s="1"/>
  <c r="S82" i="117" s="1"/>
  <c r="S83" i="117" s="1"/>
  <c r="S84" i="117" s="1"/>
  <c r="S85" i="117" s="1"/>
  <c r="S86" i="117" s="1"/>
  <c r="S87" i="117" s="1"/>
  <c r="S88" i="117" s="1"/>
  <c r="S89" i="117" s="1"/>
  <c r="S90" i="117" s="1"/>
  <c r="S91" i="117" s="1"/>
  <c r="S92" i="117" s="1"/>
  <c r="S93" i="117" s="1"/>
  <c r="S94" i="117" s="1"/>
  <c r="S95" i="117" s="1"/>
  <c r="S96" i="117" s="1"/>
  <c r="S97" i="117" s="1"/>
  <c r="S98" i="117" s="1"/>
  <c r="S99" i="117" s="1"/>
  <c r="S100" i="117" s="1"/>
  <c r="S101" i="117" s="1"/>
  <c r="S102" i="117" s="1"/>
  <c r="S103" i="117" s="1"/>
  <c r="S104" i="117" s="1"/>
  <c r="M15" i="117" l="1"/>
  <c r="M14" i="117"/>
  <c r="F5" i="117"/>
  <c r="S5" i="117" l="1"/>
  <c r="M5" i="117"/>
  <c r="F10" i="117"/>
  <c r="S10" i="117" l="1"/>
  <c r="M10" i="117"/>
  <c r="F6" i="117"/>
  <c r="S6" i="117" s="1"/>
  <c r="E13" i="117"/>
  <c r="G12" i="117" s="1"/>
  <c r="K14" i="117" l="1"/>
  <c r="M6" i="117"/>
  <c r="F13" i="117"/>
  <c r="G13" i="117" l="1"/>
  <c r="G11" i="117" s="1"/>
  <c r="M13" i="117"/>
  <c r="S13" i="117"/>
  <c r="L14" i="117"/>
  <c r="X13" i="117"/>
  <c r="D13" i="122" l="1"/>
  <c r="J13" i="122"/>
  <c r="J14" i="122" s="1"/>
  <c r="M18" i="1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6D25188D-9B3F-4773-867E-625F13F314AD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CF717EEB-061C-4F5B-8190-7F41C5E87AC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A243FA92-1A63-4EFC-929B-8E6A810F1BD6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46FA92DB-2B9A-4975-B6DF-FF83C21F9AB2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1EB35600-3314-45DB-A660-9B5101DA3824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N11" authorId="0" shapeId="0" xr:uid="{EECA23A2-2079-4143-B4B1-8EA277B0384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F468A55C-C238-4558-B2DC-186A48D0915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E439775C-94EA-49FD-AB25-5DDC9675E07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75462F9F-488B-471E-BE7F-791B68A67548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B856E786-6CAB-4514-8291-B63D26F6178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</authors>
  <commentList>
    <comment ref="B11" authorId="0" shapeId="0" xr:uid="{603E6A9F-9C2C-4DA4-8062-C82766C0A86C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1" authorId="0" shapeId="0" xr:uid="{7D608139-1D2A-4E43-B227-391AC3F56149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이미순 (LEE MI SUN)</author>
    <author>이선희 (LEE SUN HEE)</author>
  </authors>
  <commentList>
    <comment ref="B12" authorId="0" shapeId="0" xr:uid="{55608856-9C5F-4134-A99B-B455FF0372DF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12" authorId="0" shapeId="0" xr:uid="{D4A121A4-050C-47EB-AD40-A9E43B592671}">
      <text>
        <r>
          <rPr>
            <b/>
            <sz val="8"/>
            <color indexed="81"/>
            <rFont val="맑은 고딕"/>
            <family val="3"/>
            <charset val="129"/>
            <scheme val="major"/>
          </rPr>
          <t>생산성향상 격려금 (PI : Productivity Incentive) : 전도금 송금환율 반영하여 정산</t>
        </r>
      </text>
    </comment>
    <comment ref="H20" authorId="1" shapeId="0" xr:uid="{17961E69-672D-44BA-B1EB-260F9087E954}">
      <text>
        <r>
          <rPr>
            <sz val="9"/>
            <color indexed="81"/>
            <rFont val="돋움"/>
            <family val="3"/>
            <charset val="129"/>
          </rPr>
          <t xml:space="preserve">대/소 계정 확인 후 내용 기재
대계정      소계정               내용
업무추진비 일반                업무추진비
여비교통비 해외               사무실 주차비 / 시내교통비 / 여비교통비 / 주유비 / 주차비 / 출장비 / 톨비
지급임차료 사무실임차료   사무실 임대료/전기세 관련
지급임차료 차량임차료      차량 Rent비
통신비 기타                     사무실 WIFI+통신비 / 개인 통신비
해외지사비 　                  Q2 기업소득세 / 차량 기사비용 및 기사 야근비용 / 
                                     급여 / 사무실운영비 / 사무용품 / 은행 수수료 / 택배비 기타 등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<sst xmlns="http://schemas.openxmlformats.org/spreadsheetml/2006/main" count="2409" uniqueCount="318">
  <si>
    <t>대계정</t>
    <phoneticPr fontId="14" type="noConversion"/>
  </si>
  <si>
    <t>소계정</t>
    <phoneticPr fontId="14" type="noConversion"/>
  </si>
  <si>
    <t>업무추진비</t>
  </si>
  <si>
    <t>일반</t>
  </si>
  <si>
    <t>여비교통비</t>
  </si>
  <si>
    <t>해외</t>
  </si>
  <si>
    <t>지급임차료</t>
  </si>
  <si>
    <t>차량임차료</t>
    <phoneticPr fontId="11" type="noConversion"/>
  </si>
  <si>
    <t>통신비</t>
  </si>
  <si>
    <t>기타</t>
    <phoneticPr fontId="11" type="noConversion"/>
  </si>
  <si>
    <t>해외지사비</t>
  </si>
  <si>
    <t>Total</t>
    <phoneticPr fontId="11" type="noConversion"/>
  </si>
  <si>
    <t>날짜</t>
    <phoneticPr fontId="14" type="noConversion"/>
  </si>
  <si>
    <t>내역</t>
    <phoneticPr fontId="14" type="noConversion"/>
  </si>
  <si>
    <t>증빙번호</t>
    <phoneticPr fontId="14" type="noConversion"/>
  </si>
  <si>
    <t>입금</t>
    <phoneticPr fontId="14" type="noConversion"/>
  </si>
  <si>
    <t>출금</t>
    <phoneticPr fontId="14" type="noConversion"/>
  </si>
  <si>
    <t>잔액</t>
    <phoneticPr fontId="14" type="noConversion"/>
  </si>
  <si>
    <t>비고</t>
    <phoneticPr fontId="14" type="noConversion"/>
  </si>
  <si>
    <t>USD</t>
    <phoneticPr fontId="14" type="noConversion"/>
  </si>
  <si>
    <t>환산요율</t>
  </si>
  <si>
    <t>이자</t>
    <phoneticPr fontId="13" type="noConversion"/>
  </si>
  <si>
    <t>잡이익</t>
    <phoneticPr fontId="10" type="noConversion"/>
  </si>
  <si>
    <t>사무실</t>
    <phoneticPr fontId="10" type="noConversion"/>
  </si>
  <si>
    <t>지급임차료</t>
    <phoneticPr fontId="10" type="noConversion"/>
  </si>
  <si>
    <t>해외지사비</t>
    <phoneticPr fontId="10" type="noConversion"/>
  </si>
  <si>
    <t>은행 수수료</t>
    <phoneticPr fontId="10" type="noConversion"/>
  </si>
  <si>
    <t>통신비</t>
    <phoneticPr fontId="10" type="noConversion"/>
  </si>
  <si>
    <t>업무추진비</t>
    <phoneticPr fontId="10" type="noConversion"/>
  </si>
  <si>
    <t>시내교통비</t>
    <phoneticPr fontId="10" type="noConversion"/>
  </si>
  <si>
    <t>기타</t>
    <phoneticPr fontId="10" type="noConversion"/>
  </si>
  <si>
    <t>일반</t>
    <phoneticPr fontId="10" type="noConversion"/>
  </si>
  <si>
    <t>여비교통비</t>
    <phoneticPr fontId="10" type="noConversion"/>
  </si>
  <si>
    <t>해외</t>
    <phoneticPr fontId="10" type="noConversion"/>
  </si>
  <si>
    <t>사무실임차료</t>
    <phoneticPr fontId="11" type="noConversion"/>
  </si>
  <si>
    <t>사무실운영비</t>
    <phoneticPr fontId="10" type="noConversion"/>
  </si>
  <si>
    <t>신순연</t>
    <phoneticPr fontId="10" type="noConversion"/>
  </si>
  <si>
    <t>김명관</t>
    <phoneticPr fontId="10" type="noConversion"/>
  </si>
  <si>
    <t>차량임차료</t>
    <phoneticPr fontId="10" type="noConversion"/>
  </si>
  <si>
    <t>세무대행비</t>
    <phoneticPr fontId="13" type="noConversion"/>
  </si>
  <si>
    <t>신순연</t>
    <phoneticPr fontId="13" type="noConversion"/>
  </si>
  <si>
    <t>은행수수료</t>
    <phoneticPr fontId="10" type="noConversion"/>
  </si>
  <si>
    <t>▶ 업무추진비 사용 내역</t>
  </si>
  <si>
    <t>NO</t>
  </si>
  <si>
    <t>정산일자</t>
  </si>
  <si>
    <t>사용일자</t>
  </si>
  <si>
    <t>사용처</t>
  </si>
  <si>
    <t>사용금액</t>
  </si>
  <si>
    <t>사용목적(상세 기재)</t>
  </si>
  <si>
    <t>고객명</t>
  </si>
  <si>
    <t>RMB</t>
  </si>
  <si>
    <t>차량 Rent비</t>
  </si>
  <si>
    <t>세무대행비</t>
  </si>
  <si>
    <t>사무실 운영비</t>
    <phoneticPr fontId="10" type="noConversion"/>
  </si>
  <si>
    <t>일자</t>
    <phoneticPr fontId="13" type="noConversion"/>
  </si>
  <si>
    <t>내용</t>
    <phoneticPr fontId="13" type="noConversion"/>
  </si>
  <si>
    <t>인원</t>
    <phoneticPr fontId="13" type="noConversion"/>
  </si>
  <si>
    <t>시간</t>
    <phoneticPr fontId="13" type="noConversion"/>
  </si>
  <si>
    <t>비용</t>
    <phoneticPr fontId="13" type="noConversion"/>
  </si>
  <si>
    <t>비고</t>
    <phoneticPr fontId="13" type="noConversion"/>
  </si>
  <si>
    <t>심천지사</t>
    <phoneticPr fontId="13" type="noConversion"/>
  </si>
  <si>
    <t>KRW</t>
  </si>
  <si>
    <t>USD입금 and RMB 환전</t>
    <phoneticPr fontId="13" type="noConversion"/>
  </si>
  <si>
    <t>USD입금 and RMB 환전</t>
    <phoneticPr fontId="10" type="noConversion"/>
  </si>
  <si>
    <t>김명관_업무추진비</t>
    <phoneticPr fontId="10" type="noConversion"/>
  </si>
  <si>
    <t>Pan Shi Qiang_통신비</t>
    <phoneticPr fontId="10" type="noConversion"/>
  </si>
  <si>
    <t>Pan Shi Qiang_택배비</t>
    <phoneticPr fontId="10" type="noConversion"/>
  </si>
  <si>
    <t>Pan Shi Qiang_시내교통비</t>
    <phoneticPr fontId="10" type="noConversion"/>
  </si>
  <si>
    <t>수수료</t>
  </si>
  <si>
    <t>주재원 주재수당</t>
  </si>
  <si>
    <t>보험(주재원/현채인)</t>
  </si>
  <si>
    <t>세금(주재원/현채인)</t>
  </si>
  <si>
    <t>현채인 월급</t>
  </si>
  <si>
    <t>대행수수료</t>
  </si>
  <si>
    <t>林洁婷 임결정</t>
  </si>
  <si>
    <t>주재원 주택수당</t>
  </si>
  <si>
    <t>보험비(회사납부)
公司缴纳部分合计</t>
  </si>
  <si>
    <t>일비</t>
  </si>
  <si>
    <t>FAE (Pan Shi Qiang)</t>
    <phoneticPr fontId="10" type="noConversion"/>
  </si>
  <si>
    <t>Liu Ming Liang_주차비</t>
    <phoneticPr fontId="10" type="noConversion"/>
  </si>
  <si>
    <t>Liu Ming Liang_톨비</t>
    <phoneticPr fontId="10" type="noConversion"/>
  </si>
  <si>
    <t>Liu Ming Liang_주유비</t>
    <phoneticPr fontId="10" type="noConversion"/>
  </si>
  <si>
    <t>Chen Guo Liang_주차비</t>
    <phoneticPr fontId="10" type="noConversion"/>
  </si>
  <si>
    <t>Chen Guo Liang_톨비</t>
    <phoneticPr fontId="10" type="noConversion"/>
  </si>
  <si>
    <t>Chen Guo Liang_주유비</t>
    <phoneticPr fontId="10" type="noConversion"/>
  </si>
  <si>
    <t>Zhang Liang_택배비</t>
    <phoneticPr fontId="10" type="noConversion"/>
  </si>
  <si>
    <t>Zhang Liang_시내교통비</t>
    <phoneticPr fontId="10" type="noConversion"/>
  </si>
  <si>
    <t>Zhang Liang_통신비</t>
    <phoneticPr fontId="10" type="noConversion"/>
  </si>
  <si>
    <t xml:space="preserve"> </t>
    <phoneticPr fontId="10" type="noConversion"/>
  </si>
  <si>
    <t xml:space="preserve"> </t>
    <phoneticPr fontId="14" type="noConversion"/>
  </si>
  <si>
    <t>금액 (CNY)</t>
    <phoneticPr fontId="14" type="noConversion"/>
  </si>
  <si>
    <t>금액 (USD)</t>
    <phoneticPr fontId="14" type="noConversion"/>
  </si>
  <si>
    <t>금액 (KRW)</t>
    <phoneticPr fontId="14" type="noConversion"/>
  </si>
  <si>
    <t>업무추진비</t>
    <phoneticPr fontId="14" type="noConversion"/>
  </si>
  <si>
    <t>여비교통비</t>
    <phoneticPr fontId="14" type="noConversion"/>
  </si>
  <si>
    <t>해외</t>
    <phoneticPr fontId="14" type="noConversion"/>
  </si>
  <si>
    <t>사무실임차료</t>
  </si>
  <si>
    <t>지급임차료</t>
    <phoneticPr fontId="14" type="noConversion"/>
  </si>
  <si>
    <t>급여(incentive)</t>
    <phoneticPr fontId="13" type="noConversion"/>
  </si>
  <si>
    <t>성과급여조정</t>
    <phoneticPr fontId="13" type="noConversion"/>
  </si>
  <si>
    <r>
      <rPr>
        <b/>
        <sz val="9"/>
        <color rgb="FFFF0000"/>
        <rFont val="맑은 고딕"/>
        <family val="3"/>
        <charset val="129"/>
        <scheme val="major"/>
      </rPr>
      <t>(-)</t>
    </r>
    <r>
      <rPr>
        <sz val="9"/>
        <color theme="1"/>
        <rFont val="맑은 고딕"/>
        <family val="3"/>
        <charset val="129"/>
        <scheme val="major"/>
      </rPr>
      <t>잡이익</t>
    </r>
    <r>
      <rPr>
        <b/>
        <sz val="9"/>
        <color theme="1"/>
        <rFont val="맑은 고딕"/>
        <family val="3"/>
        <charset val="129"/>
        <scheme val="major"/>
      </rPr>
      <t>(50)</t>
    </r>
    <phoneticPr fontId="13" type="noConversion"/>
  </si>
  <si>
    <t>(-)잡이익</t>
    <phoneticPr fontId="13" type="noConversion"/>
  </si>
  <si>
    <t>담당자</t>
    <phoneticPr fontId="14" type="noConversion"/>
  </si>
  <si>
    <t>항목</t>
    <phoneticPr fontId="13" type="noConversion"/>
  </si>
  <si>
    <t>날짜</t>
  </si>
  <si>
    <t>내역</t>
  </si>
  <si>
    <t>담당자</t>
  </si>
  <si>
    <t>증빙번호</t>
  </si>
  <si>
    <t>대계정</t>
  </si>
  <si>
    <t>소계정</t>
  </si>
  <si>
    <t>CNY</t>
  </si>
  <si>
    <t>환산요율</t>
    <phoneticPr fontId="13" type="noConversion"/>
  </si>
  <si>
    <t>차량 기사비</t>
  </si>
  <si>
    <t>기사 야근비용</t>
  </si>
  <si>
    <t>보너스</t>
  </si>
  <si>
    <t>신순연
책임</t>
    <phoneticPr fontId="11" type="noConversion"/>
  </si>
  <si>
    <t>1월 송금</t>
    <phoneticPr fontId="10" type="noConversion"/>
  </si>
  <si>
    <t>사무실임차료</t>
    <phoneticPr fontId="10" type="noConversion"/>
  </si>
  <si>
    <t>참석자</t>
  </si>
  <si>
    <t>고객</t>
  </si>
  <si>
    <t>2월 송금</t>
    <phoneticPr fontId="10" type="noConversion"/>
  </si>
  <si>
    <t>Pan Shi Qiang_출장비</t>
    <phoneticPr fontId="10" type="noConversion"/>
  </si>
  <si>
    <t>사용자</t>
    <phoneticPr fontId="13" type="noConversion"/>
  </si>
  <si>
    <t>DBGC</t>
    <phoneticPr fontId="13" type="noConversion"/>
  </si>
  <si>
    <t>Lin Jie Ting_통신비</t>
    <phoneticPr fontId="10" type="noConversion"/>
  </si>
  <si>
    <t>Lin Jie Ting_택배비</t>
    <phoneticPr fontId="10" type="noConversion"/>
  </si>
  <si>
    <t>3월 송금</t>
    <phoneticPr fontId="10" type="noConversion"/>
  </si>
  <si>
    <t>사무실 주차비</t>
  </si>
  <si>
    <t>임결정</t>
    <phoneticPr fontId="10" type="noConversion"/>
  </si>
  <si>
    <t>포상금</t>
    <phoneticPr fontId="10" type="noConversion"/>
  </si>
  <si>
    <t>포상금</t>
    <phoneticPr fontId="13" type="noConversion"/>
  </si>
  <si>
    <t>5월 송금</t>
    <phoneticPr fontId="10" type="noConversion"/>
  </si>
  <si>
    <t>Lin Jie Ting_업무추진비</t>
    <phoneticPr fontId="10" type="noConversion"/>
  </si>
  <si>
    <t>Lin Jie Ting_시내/시외교통비</t>
    <phoneticPr fontId="10" type="noConversion"/>
  </si>
  <si>
    <t>김명관_출장비</t>
    <phoneticPr fontId="10" type="noConversion"/>
  </si>
  <si>
    <t>사무실 임대료/전기세 관련</t>
    <phoneticPr fontId="13" type="noConversion"/>
  </si>
  <si>
    <t>Zhang Liang_사무용품</t>
    <phoneticPr fontId="10" type="noConversion"/>
  </si>
  <si>
    <t>Zhang Liang_출장비</t>
    <phoneticPr fontId="10" type="noConversion"/>
  </si>
  <si>
    <t>12월 송금</t>
    <phoneticPr fontId="10" type="noConversion"/>
  </si>
  <si>
    <t>24년 12월 송금_1,433.2(#)</t>
    <phoneticPr fontId="14" type="noConversion"/>
  </si>
  <si>
    <t>사무실</t>
  </si>
  <si>
    <t>시내</t>
  </si>
  <si>
    <t>사무용픔</t>
  </si>
  <si>
    <t>시내/시외</t>
  </si>
  <si>
    <t>사무실 WIFI+통신비</t>
    <phoneticPr fontId="10" type="noConversion"/>
  </si>
  <si>
    <t>Pan Shi Qiang</t>
    <phoneticPr fontId="10" type="noConversion"/>
  </si>
  <si>
    <t>Zhang Liang</t>
    <phoneticPr fontId="10" type="noConversion"/>
  </si>
  <si>
    <t>Lin Jie Ting</t>
    <phoneticPr fontId="10" type="noConversion"/>
  </si>
  <si>
    <t>Chen Guo Liang</t>
    <phoneticPr fontId="10" type="noConversion"/>
  </si>
  <si>
    <t>Liu Ming Liang</t>
    <phoneticPr fontId="10" type="noConversion"/>
  </si>
  <si>
    <t>Piao Mei Ling</t>
    <phoneticPr fontId="10" type="noConversion"/>
  </si>
  <si>
    <t>Lin Jie Ting / pc. 모니터</t>
    <phoneticPr fontId="10" type="noConversion"/>
  </si>
  <si>
    <t>朴美玲 박미령</t>
  </si>
  <si>
    <t>25년 1월 송금_1458.2(#)</t>
    <phoneticPr fontId="14" type="noConversion"/>
  </si>
  <si>
    <t>보증금 입금 내역_1,234.5 (#1900000828 / #1200000234 / #100013313)</t>
  </si>
  <si>
    <t>4분기 세금 비용</t>
    <phoneticPr fontId="13" type="noConversion"/>
  </si>
  <si>
    <t>DB HITEK조회확인서 수수료</t>
    <phoneticPr fontId="13" type="noConversion"/>
  </si>
  <si>
    <r>
      <rPr>
        <sz val="9"/>
        <color theme="1"/>
        <rFont val="맑은 고딕"/>
        <family val="3"/>
        <charset val="134"/>
        <scheme val="major"/>
      </rPr>
      <t>张</t>
    </r>
    <r>
      <rPr>
        <sz val="9"/>
        <color theme="1"/>
        <rFont val="맑은 고딕"/>
        <family val="3"/>
        <charset val="129"/>
        <scheme val="major"/>
      </rPr>
      <t>亮(Zhang Liang)</t>
    </r>
  </si>
  <si>
    <r>
      <t>▶ 25년 1월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</si>
  <si>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t>출장비</t>
  </si>
  <si>
    <t>시내교통비</t>
  </si>
  <si>
    <t>택배비</t>
  </si>
  <si>
    <t>주유비</t>
  </si>
  <si>
    <t>주차비</t>
  </si>
  <si>
    <t>톨비</t>
  </si>
  <si>
    <t>사무용품</t>
  </si>
  <si>
    <t>1월 2차 송금</t>
    <phoneticPr fontId="10" type="noConversion"/>
  </si>
  <si>
    <t>전문법율서비스</t>
    <phoneticPr fontId="10" type="noConversion"/>
  </si>
  <si>
    <t>25년 1월 2차 송금_1,434.30 (#)</t>
    <phoneticPr fontId="14" type="noConversion"/>
  </si>
  <si>
    <t>급여</t>
    <phoneticPr fontId="10" type="noConversion"/>
  </si>
  <si>
    <t>신순연_사무실 wfi, 통신비</t>
    <phoneticPr fontId="13" type="noConversion"/>
  </si>
  <si>
    <t>Lin Jie Ting_사무용품비</t>
    <phoneticPr fontId="10" type="noConversion"/>
  </si>
  <si>
    <t>Piao Mei Ling_업무추진비</t>
    <phoneticPr fontId="10" type="noConversion"/>
  </si>
  <si>
    <t>Piao Mei Ling_통신비</t>
    <phoneticPr fontId="10" type="noConversion"/>
  </si>
  <si>
    <t>Piao Mei Ling_출장비</t>
    <phoneticPr fontId="10" type="noConversion"/>
  </si>
  <si>
    <t>Piao Mei Ling_시내교통비</t>
    <phoneticPr fontId="10" type="noConversion"/>
  </si>
  <si>
    <t>Piao Mei Ling_사무실운영비</t>
    <phoneticPr fontId="10" type="noConversion"/>
  </si>
  <si>
    <t>25년 2월 송금_1447.40 (#)</t>
    <phoneticPr fontId="14" type="noConversion"/>
  </si>
  <si>
    <r>
      <t>▶ 25년 2월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</si>
  <si>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t>25년 3월 송금_1,446.30 (#)</t>
    <phoneticPr fontId="14" type="noConversion"/>
  </si>
  <si>
    <t>학자금</t>
  </si>
  <si>
    <t>세차비</t>
  </si>
  <si>
    <t>신순연</t>
  </si>
  <si>
    <t>박미령</t>
    <phoneticPr fontId="10" type="noConversion"/>
  </si>
  <si>
    <t>시내/시외교통비</t>
    <phoneticPr fontId="10" type="noConversion"/>
  </si>
  <si>
    <r>
      <t>▶ 25년 3월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</si>
  <si>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r>
      <t>▶ 25년 4월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</si>
  <si>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t>25년 4월 송금_1,482.90 (#)</t>
    <phoneticPr fontId="14" type="noConversion"/>
  </si>
  <si>
    <t>1분기 기업 소득세</t>
    <phoneticPr fontId="13" type="noConversion"/>
  </si>
  <si>
    <t>Pan Shi Qiang</t>
    <phoneticPr fontId="13" type="noConversion"/>
  </si>
  <si>
    <t>Zhang Liang</t>
    <phoneticPr fontId="13" type="noConversion"/>
  </si>
  <si>
    <t>Lin Jie Ting</t>
  </si>
  <si>
    <t>Piao Mei Ling</t>
  </si>
  <si>
    <t>Chen Guo Liang_주유비_주차비_톨비</t>
    <phoneticPr fontId="10" type="noConversion"/>
  </si>
  <si>
    <t>Liu Ming Liang_주유비_주차비_톨비</t>
  </si>
  <si>
    <t>FAE (Pan Shi Qiang)
7/1 입사
潘世强</t>
    <phoneticPr fontId="11" type="noConversion"/>
  </si>
  <si>
    <r>
      <rPr>
        <sz val="10"/>
        <color indexed="8"/>
        <rFont val="새굴림"/>
        <family val="1"/>
        <charset val="129"/>
      </rPr>
      <t>张</t>
    </r>
    <r>
      <rPr>
        <sz val="10"/>
        <color indexed="8"/>
        <rFont val="맑은 고딕"/>
        <family val="3"/>
        <charset val="129"/>
      </rPr>
      <t>亮(Zhang Liang)
23/8/1 입사</t>
    </r>
    <phoneticPr fontId="11" type="noConversion"/>
  </si>
  <si>
    <r>
      <t>林</t>
    </r>
    <r>
      <rPr>
        <sz val="10"/>
        <color indexed="8"/>
        <rFont val="새굴림"/>
        <family val="1"/>
      </rPr>
      <t>洁婷</t>
    </r>
    <r>
      <rPr>
        <sz val="10"/>
        <color indexed="8"/>
        <rFont val="맑은 고딕"/>
        <family val="3"/>
        <charset val="129"/>
      </rPr>
      <t xml:space="preserve"> 임결정
23/9/18 입사</t>
    </r>
    <phoneticPr fontId="11" type="noConversion"/>
  </si>
  <si>
    <r>
      <t>朴美玲 박미령</t>
    </r>
    <r>
      <rPr>
        <sz val="10"/>
        <color indexed="8"/>
        <rFont val="맑은 고딕"/>
        <family val="3"/>
        <charset val="129"/>
      </rPr>
      <t xml:space="preserve">
23/9/18 입사</t>
    </r>
    <phoneticPr fontId="11" type="noConversion"/>
  </si>
  <si>
    <t>김명관 프로</t>
    <phoneticPr fontId="11" type="noConversion"/>
  </si>
  <si>
    <t>신순연 프로</t>
    <phoneticPr fontId="11" type="noConversion"/>
  </si>
  <si>
    <t>4월 송금</t>
    <phoneticPr fontId="10" type="noConversion"/>
  </si>
  <si>
    <r>
      <t>▶ 25년 5월 전도금 정산 내역 (심천지사)_</t>
    </r>
    <r>
      <rPr>
        <b/>
        <sz val="9"/>
        <color theme="9" tint="-0.249977111117893"/>
        <rFont val="맑은 고딕"/>
        <family val="3"/>
        <charset val="129"/>
        <scheme val="major"/>
      </rPr>
      <t>4000061 (B2F590)</t>
    </r>
    <phoneticPr fontId="11" type="noConversion"/>
  </si>
  <si>
    <t>사무실 임대료/전기세 관련</t>
  </si>
  <si>
    <t>사무실 운영비(신한은행 이체 프로그램 비용)</t>
    <phoneticPr fontId="13" type="noConversion"/>
  </si>
  <si>
    <t>새차 6월 주차비</t>
    <phoneticPr fontId="13" type="noConversion"/>
  </si>
  <si>
    <t>추진비</t>
  </si>
  <si>
    <t>시내 교통비</t>
    <phoneticPr fontId="10" type="noConversion"/>
  </si>
  <si>
    <t>시내/시외 교통비</t>
    <phoneticPr fontId="10" type="noConversion"/>
  </si>
  <si>
    <t>사무실 운영비(24년 회계심사비)</t>
    <phoneticPr fontId="10" type="noConversion"/>
  </si>
  <si>
    <t>김명관</t>
  </si>
  <si>
    <t>24년 회계심사비</t>
    <phoneticPr fontId="13" type="noConversion"/>
  </si>
  <si>
    <t>신한은행 이체 프로그램 비용</t>
    <phoneticPr fontId="13" type="noConversion"/>
  </si>
  <si>
    <t>김명관
수석</t>
    <phoneticPr fontId="11" type="noConversion"/>
  </si>
  <si>
    <t>25년 5월 송금_1405.60 (#)</t>
    <phoneticPr fontId="14" type="noConversion"/>
  </si>
  <si>
    <r>
      <rPr>
        <b/>
        <sz val="9"/>
        <color rgb="FFFF0000"/>
        <rFont val="Malgun Gothic Semilight"/>
        <family val="2"/>
        <charset val="134"/>
      </rPr>
      <t>(-)</t>
    </r>
    <r>
      <rPr>
        <sz val="9"/>
        <color theme="1"/>
        <rFont val="Malgun Gothic Semilight"/>
        <family val="2"/>
        <charset val="134"/>
      </rPr>
      <t>잡이익</t>
    </r>
    <r>
      <rPr>
        <b/>
        <sz val="9"/>
        <color theme="1"/>
        <rFont val="Malgun Gothic Semilight"/>
        <family val="2"/>
        <charset val="134"/>
      </rPr>
      <t>(50)</t>
    </r>
    <phoneticPr fontId="13" type="noConversion"/>
  </si>
  <si>
    <t>HKC</t>
  </si>
  <si>
    <t>CSOT</t>
  </si>
  <si>
    <t>기타</t>
  </si>
  <si>
    <t>Liu Ming Liang</t>
    <phoneticPr fontId="62" type="noConversion"/>
  </si>
  <si>
    <t>chen feng jun</t>
    <phoneticPr fontId="13" type="noConversion"/>
  </si>
  <si>
    <t>chen guo liang</t>
    <phoneticPr fontId="13" type="noConversion"/>
  </si>
  <si>
    <t>-</t>
  </si>
  <si>
    <t>zhangliang</t>
  </si>
  <si>
    <t>HKC업무 추진</t>
  </si>
  <si>
    <t>SDPC</t>
  </si>
  <si>
    <t>xiongfeng</t>
  </si>
  <si>
    <t>星巴克</t>
  </si>
  <si>
    <t>Coffee with CSOT</t>
  </si>
  <si>
    <t>xiongfeng/金总</t>
  </si>
  <si>
    <t>爱人餐饮</t>
  </si>
  <si>
    <t>Lunch with CSOT</t>
  </si>
  <si>
    <t>PIAO MEILING</t>
  </si>
  <si>
    <t>同盛餐饮</t>
  </si>
  <si>
    <t>박미령</t>
  </si>
  <si>
    <t>CSOT 업무 추진</t>
  </si>
  <si>
    <t>大师兄餐饮</t>
  </si>
  <si>
    <t>Have coffee with SDPC</t>
  </si>
  <si>
    <t>魏慧</t>
  </si>
  <si>
    <t>裴娟实</t>
  </si>
  <si>
    <t>星莹美食店</t>
  </si>
  <si>
    <t>裴娟实/彩霞</t>
  </si>
  <si>
    <t>萍乡土菜</t>
  </si>
  <si>
    <t>Lunch with FITI</t>
  </si>
  <si>
    <t>牛佳兴</t>
  </si>
  <si>
    <t>晶东</t>
  </si>
  <si>
    <t>고객 업무 추진 및 CRM 유지</t>
  </si>
  <si>
    <t>Li Xiang Yu</t>
  </si>
  <si>
    <t>郭老二</t>
  </si>
  <si>
    <t>TianMa</t>
  </si>
  <si>
    <t>Mason전문가, Eddie전문가</t>
  </si>
  <si>
    <t>고재홍 상무, 최상신 전문위원, 김기일 프로, 박상현 프로, 황대욱 프로, 변승찬 프로, 권유석 지사장, 김명관 프로, 신순연 프로</t>
  </si>
  <si>
    <t>韩庭</t>
  </si>
  <si>
    <t>고재홍 상무, 최상신 전문위원, 김기일 프로, 박상현 프로, 황대욱 프로, 변승찬 프로, 신순연 프로</t>
  </si>
  <si>
    <t>鱼头泡饭</t>
  </si>
  <si>
    <t>Pan Xiao Dong과장</t>
  </si>
  <si>
    <t>京华楼</t>
  </si>
  <si>
    <t>Nate전문가</t>
  </si>
  <si>
    <t>권유석 지사장, 이상태 프로, 박미령 프로, Xiong Feng프로, 신순연 프로</t>
  </si>
  <si>
    <t>Liu Kai Yu, Jiang Song Lin(대리점)</t>
  </si>
  <si>
    <t>Zhang Liang, Lin Wei Jian, 신순연</t>
  </si>
  <si>
    <t>河坝</t>
    <phoneticPr fontId="62" type="noConversion"/>
  </si>
  <si>
    <t>3월26일</t>
  </si>
  <si>
    <t>권유석</t>
  </si>
  <si>
    <t>스.벅</t>
  </si>
  <si>
    <t>음료</t>
  </si>
  <si>
    <t>조달구매</t>
  </si>
  <si>
    <t>권유석/정겨운</t>
  </si>
  <si>
    <t>소풍</t>
  </si>
  <si>
    <t>석식</t>
  </si>
  <si>
    <t>3월31일</t>
  </si>
  <si>
    <t>홍콩반점</t>
  </si>
  <si>
    <t>SDC</t>
  </si>
  <si>
    <t>구매(신우철 부장)</t>
  </si>
  <si>
    <t>4월2일</t>
  </si>
  <si>
    <t>세븐일레븐</t>
  </si>
  <si>
    <t>영업/KA</t>
  </si>
  <si>
    <t>권유석/신순연</t>
  </si>
  <si>
    <t>4월3일</t>
  </si>
  <si>
    <t>BOE</t>
  </si>
  <si>
    <t>김문청 사장</t>
  </si>
  <si>
    <t>4월17일</t>
  </si>
  <si>
    <t>김청길 사장(MTK 대리점)</t>
  </si>
  <si>
    <t>4월21일</t>
  </si>
  <si>
    <t>전통 찻집</t>
  </si>
  <si>
    <t>ESWIN</t>
  </si>
  <si>
    <t>구매 책임자/담당자</t>
  </si>
  <si>
    <t>订餐卡</t>
  </si>
  <si>
    <t>중식</t>
  </si>
  <si>
    <t>스타벅스</t>
  </si>
  <si>
    <t>Liu Wei, Yu Han</t>
  </si>
  <si>
    <t>Fan Xiankun, Yu Han</t>
  </si>
  <si>
    <t>SDPC便利店</t>
  </si>
  <si>
    <t>SDPC업무 추진</t>
  </si>
  <si>
    <t>孙志强</t>
  </si>
  <si>
    <t>印尼餐厅</t>
  </si>
  <si>
    <t>DK Park、Eddie等</t>
  </si>
  <si>
    <t>zhangliang、shenshunyan</t>
  </si>
  <si>
    <t>H1水果店</t>
  </si>
  <si>
    <t>费如涵、陈杰</t>
  </si>
  <si>
    <t xml:space="preserve">통장 일자 </t>
  </si>
  <si>
    <t>지급</t>
  </si>
  <si>
    <t>송금액</t>
  </si>
  <si>
    <t>입금</t>
  </si>
  <si>
    <t>출금</t>
  </si>
  <si>
    <t>잔액</t>
  </si>
  <si>
    <t>지급시
환율</t>
  </si>
  <si>
    <t>전표번호</t>
  </si>
  <si>
    <t>USD</t>
  </si>
  <si>
    <r>
      <t>▶ 00년 00월 전도금 정산 내역 (심천지사)_</t>
    </r>
    <r>
      <rPr>
        <b/>
        <sz val="9"/>
        <color theme="9" tint="-0.249977111117893"/>
        <rFont val="Malgun Gothic Semilight"/>
        <family val="2"/>
        <charset val="134"/>
      </rPr>
      <t>4000061 (B2F590)</t>
    </r>
    <phoneticPr fontId="11" type="noConversion"/>
  </si>
  <si>
    <t>00년 00월 송금_1405.60 (#)</t>
    <phoneticPr fontId="14" type="noConversion"/>
  </si>
  <si>
    <t>00년 00월 송금_1358.90 (#)</t>
    <phoneticPr fontId="14" type="noConversion"/>
  </si>
  <si>
    <t>세금과공과</t>
  </si>
  <si>
    <t>출금일자</t>
  </si>
  <si>
    <t>증빙일자</t>
  </si>
  <si>
    <t>비고1</t>
    <phoneticPr fontId="14" type="noConversion"/>
  </si>
  <si>
    <t>비고2</t>
    <phoneticPr fontId="10" type="noConversion"/>
  </si>
  <si>
    <t>증빙번호(FULL)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</si>
</sst>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₩&quot;#,##0;\-&quot;₩&quot;#,##0"/>
    <numFmt numFmtId="41" formatCode="_-* #,##0_-;\-* #,##0_-;_-* &quot;-&quot;_-;_-@_-"/>
    <numFmt numFmtId="43" formatCode="_-* #,##0.00_-;\-* #,##0.00_-;_-* &quot;-&quot;??_-;_-@_-"/>
    <numFmt numFmtId="25" formatCode="\$#,##0.00_);\(\$#,##0.00\)"/>
    <numFmt numFmtId="176" formatCode="_ * #,##0_ ;_ * \-#,##0_ ;_ * &quot;-&quot;_ ;_ @_ "/>
    <numFmt numFmtId="177" formatCode="_ * #,##0.00_ ;_ * \-#,##0.00_ ;_ * &quot;-&quot;??_ ;_ @_ "/>
    <numFmt numFmtId="178" formatCode="#,##0.00_);[Red]\(#,##0.00\)"/>
    <numFmt numFmtId="179" formatCode="#,##0.00_ "/>
    <numFmt numFmtId="180" formatCode="_-* #,##0.00_-;\-* #,##0.00_-;_-* &quot;-&quot;_-;_-@_-"/>
    <numFmt numFmtId="181" formatCode="#,##0.00000_ "/>
    <numFmt numFmtId="182" formatCode="0_);[Red]\(0\)"/>
    <numFmt numFmtId="183" formatCode="_-* #,##0.0000_-;\-* #,##0.0000_-;_-* &quot;-&quot;_-;_-@_-"/>
    <numFmt numFmtId="184" formatCode="m&quot;/&quot;d;@"/>
    <numFmt numFmtId="185" formatCode="mm&quot;월&quot;\ dd&quot;일&quot;"/>
    <numFmt numFmtId="186" formatCode="_-* #,##0.0_-;\-* #,##0.0_-;_-* &quot;-&quot;_-;_-@_-"/>
    <numFmt numFmtId="187" formatCode="[$¥-804]#,##0.00"/>
    <numFmt numFmtId="188" formatCode="#,##0.0000_ "/>
    <numFmt numFmtId="189" formatCode="yyyy&quot;-&quot;m&quot;-&quot;d;@"/>
    <numFmt numFmtId="190" formatCode="0.00_ "/>
    <numFmt numFmtId="191" formatCode="_-* #,##0.000_-;\-* #,##0.000_-;_-* &quot;-&quot;_-;_-@_-"/>
    <numFmt numFmtId="192" formatCode="0.000000000"/>
  </numFmts>
  <fonts count="8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34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2"/>
      <name val="宋体"/>
      <family val="3"/>
      <charset val="134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9"/>
      <color rgb="FF0070C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9"/>
      <color theme="3" tint="-0.249977111117893"/>
      <name val="맑은 고딕"/>
      <family val="3"/>
      <charset val="129"/>
      <scheme val="major"/>
    </font>
    <font>
      <b/>
      <sz val="8"/>
      <color indexed="81"/>
      <name val="맑은 고딕"/>
      <family val="3"/>
      <charset val="129"/>
      <scheme val="major"/>
    </font>
    <font>
      <sz val="10"/>
      <color indexed="8"/>
      <name val="새굴림"/>
      <family val="1"/>
      <charset val="129"/>
    </font>
    <font>
      <sz val="10"/>
      <color indexed="8"/>
      <name val="맑은 고딕"/>
      <family val="3"/>
      <charset val="129"/>
    </font>
    <font>
      <sz val="10"/>
      <color indexed="8"/>
      <name val="새굴림"/>
      <family val="1"/>
    </font>
    <font>
      <b/>
      <sz val="9"/>
      <name val="맑은 고딕"/>
      <family val="3"/>
      <charset val="129"/>
      <scheme val="major"/>
    </font>
    <font>
      <sz val="9"/>
      <color theme="6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Malgun Gothic"/>
      <family val="2"/>
    </font>
    <font>
      <sz val="10"/>
      <color theme="1"/>
      <name val="Malgun Gothic"/>
      <family val="2"/>
    </font>
    <font>
      <sz val="9"/>
      <name val="Malgun Gothic"/>
      <family val="2"/>
    </font>
    <font>
      <sz val="10"/>
      <name val="Malgun Gothic"/>
      <family val="2"/>
    </font>
    <font>
      <sz val="9"/>
      <color theme="1"/>
      <name val="맑은 고딕"/>
      <family val="3"/>
      <charset val="134"/>
      <scheme val="major"/>
    </font>
    <font>
      <sz val="9"/>
      <name val="맑은 고딕"/>
      <family val="3"/>
      <scheme val="major"/>
    </font>
    <font>
      <sz val="9"/>
      <color theme="0"/>
      <name val="맑은 고딕"/>
      <family val="3"/>
      <scheme val="major"/>
    </font>
    <font>
      <sz val="9"/>
      <color theme="1"/>
      <name val="맑은 고딕"/>
      <family val="3"/>
      <scheme val="major"/>
    </font>
    <font>
      <sz val="9"/>
      <color rgb="FFFF0000"/>
      <name val="맑은 고딕"/>
      <family val="3"/>
      <scheme val="major"/>
    </font>
    <font>
      <b/>
      <sz val="9"/>
      <color theme="1"/>
      <name val="맑은 고딕"/>
      <family val="3"/>
      <scheme val="major"/>
    </font>
    <font>
      <b/>
      <sz val="9"/>
      <color theme="9" tint="-0.249977111117893"/>
      <name val="맑은 고딕"/>
      <family val="3"/>
      <charset val="129"/>
      <scheme val="major"/>
    </font>
    <font>
      <sz val="11"/>
      <color theme="1"/>
      <name val="맑은 고딕"/>
      <family val="3"/>
      <charset val="134"/>
      <scheme val="minor"/>
    </font>
    <font>
      <b/>
      <sz val="9"/>
      <color theme="0" tint="-4.9989318521683403E-2"/>
      <name val="맑은 고딕"/>
      <family val="3"/>
      <charset val="129"/>
      <scheme val="major"/>
    </font>
    <font>
      <sz val="9"/>
      <color theme="1"/>
      <name val="Malgun Gothic"/>
      <family val="2"/>
      <charset val="134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9"/>
      <name val="맑은 고딕"/>
      <family val="3"/>
      <charset val="134"/>
      <scheme val="minor"/>
    </font>
    <font>
      <sz val="11"/>
      <color theme="1"/>
      <name val="Malgun Gothic"/>
      <family val="3"/>
      <charset val="129"/>
    </font>
    <font>
      <b/>
      <sz val="13"/>
      <color theme="1"/>
      <name val="Malgun Gothic Semilight"/>
      <family val="2"/>
      <charset val="134"/>
    </font>
    <font>
      <sz val="10"/>
      <color theme="1"/>
      <name val="Malgun Gothic Semilight"/>
      <family val="2"/>
      <charset val="134"/>
    </font>
    <font>
      <b/>
      <sz val="10"/>
      <color theme="1"/>
      <name val="Malgun Gothic Semilight"/>
      <family val="2"/>
      <charset val="134"/>
    </font>
    <font>
      <b/>
      <sz val="10"/>
      <color theme="0"/>
      <name val="Malgun Gothic Semilight"/>
      <family val="2"/>
      <charset val="134"/>
    </font>
    <font>
      <sz val="10"/>
      <name val="Malgun Gothic Semilight"/>
      <family val="2"/>
      <charset val="134"/>
    </font>
    <font>
      <sz val="10"/>
      <color theme="1"/>
      <name val="Malgun Gothic"/>
      <family val="2"/>
      <charset val="129"/>
    </font>
    <font>
      <sz val="9"/>
      <name val="Malgun Gothic Semilight"/>
      <family val="2"/>
      <charset val="134"/>
    </font>
    <font>
      <sz val="9"/>
      <color theme="0"/>
      <name val="Malgun Gothic Semilight"/>
      <family val="2"/>
      <charset val="134"/>
    </font>
    <font>
      <sz val="9"/>
      <color theme="1"/>
      <name val="Malgun Gothic Semilight"/>
      <family val="2"/>
      <charset val="134"/>
    </font>
    <font>
      <sz val="9"/>
      <color rgb="FFFF0000"/>
      <name val="Malgun Gothic Semilight"/>
      <family val="2"/>
      <charset val="134"/>
    </font>
    <font>
      <b/>
      <sz val="9"/>
      <color theme="1"/>
      <name val="Malgun Gothic Semilight"/>
      <family val="2"/>
      <charset val="134"/>
    </font>
    <font>
      <b/>
      <sz val="9"/>
      <color theme="9" tint="-0.249977111117893"/>
      <name val="Malgun Gothic Semilight"/>
      <family val="2"/>
      <charset val="134"/>
    </font>
    <font>
      <b/>
      <sz val="9"/>
      <color theme="0"/>
      <name val="Malgun Gothic Semilight"/>
      <family val="2"/>
      <charset val="134"/>
    </font>
    <font>
      <b/>
      <sz val="9"/>
      <color rgb="FF0070C0"/>
      <name val="Malgun Gothic Semilight"/>
      <family val="2"/>
      <charset val="134"/>
    </font>
    <font>
      <b/>
      <sz val="9"/>
      <color rgb="FFFF0000"/>
      <name val="Malgun Gothic Semilight"/>
      <family val="2"/>
      <charset val="134"/>
    </font>
    <font>
      <b/>
      <sz val="9"/>
      <color theme="0" tint="-4.9989318521683403E-2"/>
      <name val="Malgun Gothic Semilight"/>
      <family val="2"/>
      <charset val="134"/>
    </font>
    <font>
      <sz val="9"/>
      <color theme="6"/>
      <name val="Malgun Gothic Semilight"/>
      <family val="2"/>
      <charset val="134"/>
    </font>
    <font>
      <b/>
      <sz val="9"/>
      <color theme="3" tint="-0.249977111117893"/>
      <name val="Malgun Gothic Semilight"/>
      <family val="2"/>
      <charset val="134"/>
    </font>
    <font>
      <b/>
      <sz val="9"/>
      <name val="Malgun Gothic Semilight"/>
      <family val="2"/>
      <charset val="134"/>
    </font>
    <font>
      <sz val="10"/>
      <color theme="1"/>
      <name val="宋体"/>
      <family val="2"/>
      <charset val="134"/>
    </font>
    <font>
      <sz val="10"/>
      <color theme="1"/>
      <name val="Malgun Gothic"/>
      <family val="2"/>
      <charset val="134"/>
    </font>
    <font>
      <sz val="11"/>
      <color theme="1"/>
      <name val="Malgun Gothic"/>
      <family val="2"/>
      <charset val="129"/>
    </font>
    <font>
      <b/>
      <sz val="9"/>
      <name val="Malgun Gothic Semilight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DA9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FED8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auto="1"/>
      </left>
      <right style="thin">
        <color theme="0" tint="-0.14990691854609822"/>
      </right>
      <top style="thin">
        <color theme="0" tint="-0.14990691854609822"/>
      </top>
      <bottom style="medium">
        <color auto="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medium">
        <color auto="1"/>
      </bottom>
      <diagonal/>
    </border>
    <border>
      <left style="thin">
        <color theme="0" tint="-0.14990691854609822"/>
      </left>
      <right style="medium">
        <color auto="1"/>
      </right>
      <top style="thin">
        <color theme="0" tint="-0.14990691854609822"/>
      </top>
      <bottom style="medium">
        <color auto="1"/>
      </bottom>
      <diagonal/>
    </border>
  </borders>
  <cellStyleXfs count="565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6" fillId="0" borderId="0"/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9" fillId="0" borderId="0"/>
    <xf numFmtId="0" fontId="25" fillId="0" borderId="0"/>
    <xf numFmtId="0" fontId="26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187" fontId="16" fillId="0" borderId="0"/>
    <xf numFmtId="187" fontId="18" fillId="0" borderId="0">
      <alignment vertical="center"/>
    </xf>
    <xf numFmtId="0" fontId="18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0" fontId="57" fillId="0" borderId="0">
      <alignment vertical="center"/>
    </xf>
    <xf numFmtId="41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57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9" fillId="0" borderId="0">
      <alignment vertical="center"/>
    </xf>
    <xf numFmtId="41" fontId="18" fillId="0" borderId="0">
      <alignment vertical="center"/>
    </xf>
  </cellStyleXfs>
  <cellXfs count="650">
    <xf numFmtId="0" fontId="0" fillId="0" borderId="0" xfId="0">
      <alignment vertical="center"/>
    </xf>
    <xf numFmtId="0" fontId="12" fillId="0" borderId="0" xfId="0" applyFont="1">
      <alignment vertical="center"/>
    </xf>
    <xf numFmtId="0" fontId="12" fillId="0" borderId="11" xfId="0" applyFont="1" applyBorder="1">
      <alignment vertical="center"/>
    </xf>
    <xf numFmtId="182" fontId="15" fillId="2" borderId="11" xfId="2" applyNumberFormat="1" applyFont="1" applyFill="1" applyBorder="1" applyAlignment="1">
      <alignment horizontal="center" vertical="center"/>
    </xf>
    <xf numFmtId="4" fontId="12" fillId="0" borderId="11" xfId="0" applyNumberFormat="1" applyFont="1" applyBorder="1">
      <alignment vertical="center"/>
    </xf>
    <xf numFmtId="0" fontId="15" fillId="0" borderId="0" xfId="0" applyFont="1">
      <alignment vertical="center"/>
    </xf>
    <xf numFmtId="0" fontId="17" fillId="7" borderId="11" xfId="2" applyFont="1" applyFill="1" applyBorder="1" applyAlignment="1">
      <alignment horizontal="center" vertical="center"/>
    </xf>
    <xf numFmtId="182" fontId="17" fillId="7" borderId="11" xfId="2" applyNumberFormat="1" applyFont="1" applyFill="1" applyBorder="1" applyAlignment="1">
      <alignment vertical="center"/>
    </xf>
    <xf numFmtId="0" fontId="18" fillId="0" borderId="0" xfId="3">
      <alignment vertical="center"/>
    </xf>
    <xf numFmtId="0" fontId="15" fillId="2" borderId="20" xfId="2" applyFont="1" applyFill="1" applyBorder="1" applyAlignment="1">
      <alignment horizontal="center" vertical="center"/>
    </xf>
    <xf numFmtId="184" fontId="12" fillId="0" borderId="19" xfId="0" applyNumberFormat="1" applyFont="1" applyBorder="1" applyAlignment="1">
      <alignment horizontal="center" vertical="center"/>
    </xf>
    <xf numFmtId="14" fontId="17" fillId="7" borderId="19" xfId="2" applyNumberFormat="1" applyFont="1" applyFill="1" applyBorder="1" applyAlignment="1">
      <alignment horizontal="center" vertical="center"/>
    </xf>
    <xf numFmtId="180" fontId="24" fillId="7" borderId="20" xfId="2" applyNumberFormat="1" applyFont="1" applyFill="1" applyBorder="1" applyAlignment="1">
      <alignment vertical="center"/>
    </xf>
    <xf numFmtId="184" fontId="12" fillId="0" borderId="26" xfId="0" applyNumberFormat="1" applyFont="1" applyBorder="1" applyAlignment="1">
      <alignment horizontal="center" vertical="center"/>
    </xf>
    <xf numFmtId="0" fontId="30" fillId="0" borderId="0" xfId="137" applyNumberFormat="1" applyFont="1" applyAlignment="1">
      <alignment vertical="center"/>
    </xf>
    <xf numFmtId="184" fontId="30" fillId="0" borderId="0" xfId="137" applyNumberFormat="1" applyFont="1" applyAlignment="1">
      <alignment horizontal="center" vertical="center"/>
    </xf>
    <xf numFmtId="187" fontId="30" fillId="0" borderId="0" xfId="137" applyFont="1" applyAlignment="1">
      <alignment horizontal="center" vertical="center"/>
    </xf>
    <xf numFmtId="179" fontId="30" fillId="0" borderId="0" xfId="4" applyNumberFormat="1" applyFont="1" applyFill="1" applyAlignment="1">
      <alignment vertical="center"/>
    </xf>
    <xf numFmtId="188" fontId="30" fillId="0" borderId="0" xfId="4" applyNumberFormat="1" applyFont="1" applyFill="1" applyAlignment="1">
      <alignment vertical="center" shrinkToFit="1"/>
    </xf>
    <xf numFmtId="179" fontId="30" fillId="0" borderId="0" xfId="4" applyNumberFormat="1" applyFont="1" applyFill="1" applyAlignment="1">
      <alignment vertical="center" shrinkToFit="1"/>
    </xf>
    <xf numFmtId="179" fontId="30" fillId="0" borderId="0" xfId="4" applyNumberFormat="1" applyFont="1" applyFill="1" applyBorder="1" applyAlignment="1">
      <alignment vertical="center"/>
    </xf>
    <xf numFmtId="179" fontId="30" fillId="0" borderId="0" xfId="137" applyNumberFormat="1" applyFont="1" applyAlignment="1">
      <alignment vertical="center"/>
    </xf>
    <xf numFmtId="187" fontId="30" fillId="0" borderId="0" xfId="137" applyFont="1" applyAlignment="1">
      <alignment vertical="center"/>
    </xf>
    <xf numFmtId="187" fontId="30" fillId="0" borderId="0" xfId="137" applyFont="1" applyAlignment="1">
      <alignment vertical="center" shrinkToFit="1"/>
    </xf>
    <xf numFmtId="0" fontId="32" fillId="0" borderId="0" xfId="137" applyNumberFormat="1" applyFont="1" applyAlignment="1">
      <alignment vertical="center"/>
    </xf>
    <xf numFmtId="187" fontId="33" fillId="0" borderId="0" xfId="138" applyFont="1">
      <alignment vertical="center"/>
    </xf>
    <xf numFmtId="0" fontId="35" fillId="0" borderId="0" xfId="137" applyNumberFormat="1" applyFont="1" applyAlignment="1">
      <alignment vertical="center"/>
    </xf>
    <xf numFmtId="179" fontId="35" fillId="0" borderId="0" xfId="4" quotePrefix="1" applyNumberFormat="1" applyFont="1" applyFill="1" applyAlignment="1">
      <alignment horizontal="left" vertical="center"/>
    </xf>
    <xf numFmtId="179" fontId="35" fillId="0" borderId="0" xfId="4" applyNumberFormat="1" applyFont="1" applyFill="1" applyAlignment="1">
      <alignment horizontal="left" vertical="center"/>
    </xf>
    <xf numFmtId="179" fontId="35" fillId="0" borderId="0" xfId="4" applyNumberFormat="1" applyFont="1" applyFill="1" applyAlignment="1">
      <alignment horizontal="left" vertical="center" shrinkToFit="1"/>
    </xf>
    <xf numFmtId="179" fontId="35" fillId="0" borderId="0" xfId="137" applyNumberFormat="1" applyFont="1" applyAlignment="1">
      <alignment horizontal="left" vertical="center" shrinkToFit="1"/>
    </xf>
    <xf numFmtId="187" fontId="35" fillId="0" borderId="0" xfId="138" applyFont="1">
      <alignment vertical="center"/>
    </xf>
    <xf numFmtId="184" fontId="28" fillId="2" borderId="1" xfId="4" applyNumberFormat="1" applyFont="1" applyFill="1" applyBorder="1" applyAlignment="1">
      <alignment horizontal="center" vertical="center"/>
    </xf>
    <xf numFmtId="179" fontId="28" fillId="2" borderId="1" xfId="4" applyNumberFormat="1" applyFont="1" applyFill="1" applyBorder="1" applyAlignment="1">
      <alignment horizontal="center" vertical="center"/>
    </xf>
    <xf numFmtId="179" fontId="28" fillId="2" borderId="1" xfId="4" applyNumberFormat="1" applyFont="1" applyFill="1" applyBorder="1" applyAlignment="1">
      <alignment horizontal="center" vertical="center" shrinkToFit="1"/>
    </xf>
    <xf numFmtId="180" fontId="28" fillId="2" borderId="1" xfId="4" applyNumberFormat="1" applyFont="1" applyFill="1" applyBorder="1" applyAlignment="1">
      <alignment horizontal="center" vertical="center" wrapText="1"/>
    </xf>
    <xf numFmtId="179" fontId="28" fillId="2" borderId="1" xfId="4" applyNumberFormat="1" applyFont="1" applyFill="1" applyBorder="1" applyAlignment="1">
      <alignment horizontal="center" vertical="center" wrapText="1"/>
    </xf>
    <xf numFmtId="187" fontId="33" fillId="0" borderId="0" xfId="138" applyFont="1" applyAlignment="1">
      <alignment vertical="center" shrinkToFit="1"/>
    </xf>
    <xf numFmtId="180" fontId="28" fillId="2" borderId="1" xfId="4" applyNumberFormat="1" applyFont="1" applyFill="1" applyBorder="1" applyAlignment="1">
      <alignment horizontal="center" vertical="center" shrinkToFit="1"/>
    </xf>
    <xf numFmtId="0" fontId="32" fillId="0" borderId="0" xfId="138" applyNumberFormat="1" applyFont="1">
      <alignment vertical="center"/>
    </xf>
    <xf numFmtId="184" fontId="33" fillId="0" borderId="1" xfId="138" applyNumberFormat="1" applyFont="1" applyBorder="1" applyAlignment="1">
      <alignment horizontal="left" vertical="center"/>
    </xf>
    <xf numFmtId="187" fontId="33" fillId="0" borderId="1" xfId="138" applyFont="1" applyBorder="1" applyAlignment="1">
      <alignment horizontal="left" vertical="center"/>
    </xf>
    <xf numFmtId="180" fontId="33" fillId="0" borderId="1" xfId="4" applyNumberFormat="1" applyFont="1" applyBorder="1" applyAlignment="1">
      <alignment vertical="center" shrinkToFit="1"/>
    </xf>
    <xf numFmtId="180" fontId="33" fillId="0" borderId="2" xfId="4" applyNumberFormat="1" applyFont="1" applyFill="1" applyBorder="1">
      <alignment vertical="center"/>
    </xf>
    <xf numFmtId="41" fontId="33" fillId="0" borderId="1" xfId="4" applyFont="1" applyBorder="1" applyAlignment="1">
      <alignment vertical="center" shrinkToFit="1"/>
    </xf>
    <xf numFmtId="187" fontId="30" fillId="0" borderId="0" xfId="4" applyNumberFormat="1" applyFont="1" applyAlignment="1">
      <alignment vertical="center" shrinkToFit="1"/>
    </xf>
    <xf numFmtId="187" fontId="33" fillId="0" borderId="1" xfId="138" applyFont="1" applyBorder="1">
      <alignment vertical="center"/>
    </xf>
    <xf numFmtId="180" fontId="33" fillId="0" borderId="1" xfId="4" applyNumberFormat="1" applyFont="1" applyBorder="1">
      <alignment vertical="center"/>
    </xf>
    <xf numFmtId="187" fontId="33" fillId="0" borderId="0" xfId="4" applyNumberFormat="1" applyFont="1" applyAlignment="1">
      <alignment vertical="center" shrinkToFit="1"/>
    </xf>
    <xf numFmtId="187" fontId="36" fillId="0" borderId="0" xfId="4" applyNumberFormat="1" applyFont="1" applyAlignment="1">
      <alignment vertical="center" shrinkToFit="1"/>
    </xf>
    <xf numFmtId="187" fontId="32" fillId="0" borderId="0" xfId="4" applyNumberFormat="1" applyFont="1" applyAlignment="1">
      <alignment vertical="center" shrinkToFit="1"/>
    </xf>
    <xf numFmtId="43" fontId="32" fillId="0" borderId="0" xfId="138" applyNumberFormat="1" applyFont="1" applyAlignment="1">
      <alignment vertical="center" shrinkToFit="1"/>
    </xf>
    <xf numFmtId="187" fontId="33" fillId="3" borderId="1" xfId="138" applyFont="1" applyFill="1" applyBorder="1">
      <alignment vertical="center"/>
    </xf>
    <xf numFmtId="180" fontId="33" fillId="3" borderId="1" xfId="4" applyNumberFormat="1" applyFont="1" applyFill="1" applyBorder="1" applyAlignment="1">
      <alignment vertical="center" shrinkToFit="1"/>
    </xf>
    <xf numFmtId="41" fontId="33" fillId="3" borderId="1" xfId="4" applyFont="1" applyFill="1" applyBorder="1" applyAlignment="1">
      <alignment vertical="center" shrinkToFit="1"/>
    </xf>
    <xf numFmtId="43" fontId="32" fillId="0" borderId="0" xfId="138" applyNumberFormat="1" applyFont="1" applyAlignment="1">
      <alignment horizontal="right" vertical="center" shrinkToFit="1"/>
    </xf>
    <xf numFmtId="180" fontId="33" fillId="3" borderId="1" xfId="4" applyNumberFormat="1" applyFont="1" applyFill="1" applyBorder="1">
      <alignment vertical="center"/>
    </xf>
    <xf numFmtId="25" fontId="32" fillId="0" borderId="0" xfId="138" applyNumberFormat="1" applyFont="1" applyAlignment="1">
      <alignment horizontal="right" vertical="center" shrinkToFit="1"/>
    </xf>
    <xf numFmtId="180" fontId="28" fillId="2" borderId="1" xfId="4" applyNumberFormat="1" applyFont="1" applyFill="1" applyBorder="1" applyAlignment="1">
      <alignment vertical="center" shrinkToFit="1"/>
    </xf>
    <xf numFmtId="5" fontId="32" fillId="0" borderId="0" xfId="138" applyNumberFormat="1" applyFont="1" applyAlignment="1">
      <alignment horizontal="right" vertical="center" shrinkToFit="1"/>
    </xf>
    <xf numFmtId="184" fontId="33" fillId="0" borderId="0" xfId="138" applyNumberFormat="1" applyFont="1" applyAlignment="1">
      <alignment horizontal="center" vertical="center"/>
    </xf>
    <xf numFmtId="187" fontId="33" fillId="0" borderId="0" xfId="138" applyFont="1" applyAlignment="1">
      <alignment horizontal="left" vertical="center"/>
    </xf>
    <xf numFmtId="41" fontId="33" fillId="0" borderId="0" xfId="4" applyFont="1" applyAlignment="1">
      <alignment horizontal="left" vertical="center"/>
    </xf>
    <xf numFmtId="187" fontId="36" fillId="0" borderId="0" xfId="138" applyFont="1" applyAlignment="1">
      <alignment horizontal="right" vertical="center" shrinkToFit="1"/>
    </xf>
    <xf numFmtId="180" fontId="33" fillId="0" borderId="0" xfId="4" applyNumberFormat="1" applyFont="1">
      <alignment vertical="center"/>
    </xf>
    <xf numFmtId="180" fontId="33" fillId="0" borderId="0" xfId="4" applyNumberFormat="1" applyFont="1" applyAlignment="1">
      <alignment vertical="center" shrinkToFit="1"/>
    </xf>
    <xf numFmtId="184" fontId="38" fillId="2" borderId="6" xfId="4" applyNumberFormat="1" applyFont="1" applyFill="1" applyBorder="1" applyAlignment="1">
      <alignment horizontal="center" vertical="center"/>
    </xf>
    <xf numFmtId="179" fontId="38" fillId="2" borderId="5" xfId="4" applyNumberFormat="1" applyFont="1" applyFill="1" applyBorder="1" applyAlignment="1">
      <alignment horizontal="center" vertical="center"/>
    </xf>
    <xf numFmtId="187" fontId="38" fillId="2" borderId="8" xfId="4" applyNumberFormat="1" applyFont="1" applyFill="1" applyBorder="1" applyAlignment="1">
      <alignment horizontal="center" vertical="center"/>
    </xf>
    <xf numFmtId="179" fontId="38" fillId="2" borderId="8" xfId="4" applyNumberFormat="1" applyFont="1" applyFill="1" applyBorder="1" applyAlignment="1">
      <alignment horizontal="center" vertical="center"/>
    </xf>
    <xf numFmtId="179" fontId="38" fillId="2" borderId="8" xfId="4" applyNumberFormat="1" applyFont="1" applyFill="1" applyBorder="1" applyAlignment="1">
      <alignment horizontal="center" vertical="center" shrinkToFit="1"/>
    </xf>
    <xf numFmtId="179" fontId="38" fillId="2" borderId="1" xfId="4" applyNumberFormat="1" applyFont="1" applyFill="1" applyBorder="1" applyAlignment="1">
      <alignment horizontal="center" vertical="center" shrinkToFit="1"/>
    </xf>
    <xf numFmtId="184" fontId="28" fillId="2" borderId="10" xfId="4" applyNumberFormat="1" applyFont="1" applyFill="1" applyBorder="1" applyAlignment="1">
      <alignment horizontal="center" vertical="center"/>
    </xf>
    <xf numFmtId="179" fontId="28" fillId="2" borderId="9" xfId="4" applyNumberFormat="1" applyFont="1" applyFill="1" applyBorder="1" applyAlignment="1">
      <alignment horizontal="center" vertical="center"/>
    </xf>
    <xf numFmtId="187" fontId="28" fillId="2" borderId="12" xfId="4" applyNumberFormat="1" applyFont="1" applyFill="1" applyBorder="1" applyAlignment="1">
      <alignment horizontal="center" vertical="center"/>
    </xf>
    <xf numFmtId="179" fontId="28" fillId="2" borderId="12" xfId="4" applyNumberFormat="1" applyFont="1" applyFill="1" applyBorder="1" applyAlignment="1">
      <alignment horizontal="center" vertical="center"/>
    </xf>
    <xf numFmtId="179" fontId="28" fillId="2" borderId="12" xfId="4" applyNumberFormat="1" applyFont="1" applyFill="1" applyBorder="1" applyAlignment="1">
      <alignment horizontal="center" vertical="center" shrinkToFit="1"/>
    </xf>
    <xf numFmtId="180" fontId="28" fillId="2" borderId="8" xfId="4" applyNumberFormat="1" applyFont="1" applyFill="1" applyBorder="1" applyAlignment="1">
      <alignment horizontal="center" vertical="center"/>
    </xf>
    <xf numFmtId="180" fontId="28" fillId="2" borderId="8" xfId="4" applyNumberFormat="1" applyFont="1" applyFill="1" applyBorder="1" applyAlignment="1">
      <alignment horizontal="center" vertical="center" shrinkToFit="1"/>
    </xf>
    <xf numFmtId="183" fontId="30" fillId="0" borderId="27" xfId="4" applyNumberFormat="1" applyFont="1" applyFill="1" applyBorder="1" applyAlignment="1">
      <alignment horizontal="right" vertical="center" shrinkToFit="1"/>
    </xf>
    <xf numFmtId="0" fontId="33" fillId="0" borderId="0" xfId="138" applyNumberFormat="1" applyFont="1">
      <alignment vertical="center"/>
    </xf>
    <xf numFmtId="184" fontId="33" fillId="0" borderId="27" xfId="138" applyNumberFormat="1" applyFont="1" applyBorder="1" applyAlignment="1">
      <alignment horizontal="center" vertical="center" wrapText="1" shrinkToFit="1"/>
    </xf>
    <xf numFmtId="0" fontId="33" fillId="0" borderId="27" xfId="138" applyNumberFormat="1" applyFont="1" applyBorder="1" applyAlignment="1">
      <alignment horizontal="center" vertical="center" wrapText="1" shrinkToFit="1"/>
    </xf>
    <xf numFmtId="187" fontId="36" fillId="0" borderId="0" xfId="138" applyFont="1">
      <alignment vertical="center"/>
    </xf>
    <xf numFmtId="180" fontId="12" fillId="0" borderId="27" xfId="1" applyNumberFormat="1" applyFont="1" applyFill="1" applyBorder="1" applyAlignment="1">
      <alignment horizontal="center" vertical="center"/>
    </xf>
    <xf numFmtId="180" fontId="33" fillId="0" borderId="27" xfId="1" applyNumberFormat="1" applyFont="1" applyFill="1" applyBorder="1" applyAlignment="1">
      <alignment vertical="center" shrinkToFit="1"/>
    </xf>
    <xf numFmtId="180" fontId="28" fillId="2" borderId="5" xfId="4" applyNumberFormat="1" applyFont="1" applyFill="1" applyBorder="1" applyAlignment="1">
      <alignment horizontal="center" vertical="center"/>
    </xf>
    <xf numFmtId="179" fontId="28" fillId="2" borderId="31" xfId="138" applyNumberFormat="1" applyFont="1" applyFill="1" applyBorder="1" applyAlignment="1">
      <alignment horizontal="center" vertical="center"/>
    </xf>
    <xf numFmtId="179" fontId="28" fillId="2" borderId="32" xfId="138" applyNumberFormat="1" applyFont="1" applyFill="1" applyBorder="1" applyAlignment="1">
      <alignment horizontal="center" vertical="center"/>
    </xf>
    <xf numFmtId="180" fontId="33" fillId="9" borderId="27" xfId="1" applyNumberFormat="1" applyFont="1" applyFill="1" applyBorder="1" applyAlignment="1">
      <alignment vertical="center" shrinkToFit="1"/>
    </xf>
    <xf numFmtId="180" fontId="12" fillId="0" borderId="27" xfId="1" applyNumberFormat="1" applyFont="1" applyFill="1" applyBorder="1">
      <alignment vertical="center"/>
    </xf>
    <xf numFmtId="180" fontId="17" fillId="0" borderId="27" xfId="1" applyNumberFormat="1" applyFont="1" applyFill="1" applyBorder="1" applyAlignment="1">
      <alignment horizontal="center" vertical="center"/>
    </xf>
    <xf numFmtId="187" fontId="33" fillId="0" borderId="27" xfId="138" quotePrefix="1" applyFont="1" applyBorder="1" applyAlignment="1">
      <alignment vertical="center" shrinkToFit="1"/>
    </xf>
    <xf numFmtId="41" fontId="33" fillId="0" borderId="1" xfId="4" applyFont="1" applyFill="1" applyBorder="1" applyAlignment="1">
      <alignment vertical="center" shrinkToFit="1"/>
    </xf>
    <xf numFmtId="189" fontId="29" fillId="13" borderId="27" xfId="138" applyNumberFormat="1" applyFont="1" applyFill="1" applyBorder="1" applyAlignment="1">
      <alignment horizontal="center" vertical="center"/>
    </xf>
    <xf numFmtId="187" fontId="29" fillId="13" borderId="27" xfId="138" applyFont="1" applyFill="1" applyBorder="1">
      <alignment vertical="center"/>
    </xf>
    <xf numFmtId="187" fontId="29" fillId="13" borderId="27" xfId="138" applyFont="1" applyFill="1" applyBorder="1" applyAlignment="1">
      <alignment horizontal="left" vertical="center"/>
    </xf>
    <xf numFmtId="187" fontId="29" fillId="13" borderId="27" xfId="138" applyFont="1" applyFill="1" applyBorder="1" applyAlignment="1">
      <alignment vertical="center" shrinkToFit="1"/>
    </xf>
    <xf numFmtId="180" fontId="29" fillId="13" borderId="27" xfId="138" applyNumberFormat="1" applyFont="1" applyFill="1" applyBorder="1">
      <alignment vertical="center"/>
    </xf>
    <xf numFmtId="180" fontId="29" fillId="13" borderId="27" xfId="1" applyNumberFormat="1" applyFont="1" applyFill="1" applyBorder="1">
      <alignment vertical="center"/>
    </xf>
    <xf numFmtId="180" fontId="29" fillId="13" borderId="27" xfId="4" applyNumberFormat="1" applyFont="1" applyFill="1" applyBorder="1">
      <alignment vertical="center"/>
    </xf>
    <xf numFmtId="187" fontId="33" fillId="13" borderId="27" xfId="138" applyFont="1" applyFill="1" applyBorder="1" applyAlignment="1">
      <alignment vertical="center" shrinkToFit="1"/>
    </xf>
    <xf numFmtId="0" fontId="45" fillId="0" borderId="0" xfId="3" applyFont="1">
      <alignment vertical="center"/>
    </xf>
    <xf numFmtId="180" fontId="30" fillId="0" borderId="1" xfId="4" applyNumberFormat="1" applyFont="1" applyBorder="1">
      <alignment vertical="center"/>
    </xf>
    <xf numFmtId="180" fontId="30" fillId="0" borderId="1" xfId="4" applyNumberFormat="1" applyFont="1" applyFill="1" applyBorder="1">
      <alignment vertical="center"/>
    </xf>
    <xf numFmtId="183" fontId="30" fillId="11" borderId="27" xfId="4" applyNumberFormat="1" applyFont="1" applyFill="1" applyBorder="1" applyAlignment="1">
      <alignment horizontal="right" vertical="center" shrinkToFit="1"/>
    </xf>
    <xf numFmtId="187" fontId="33" fillId="11" borderId="27" xfId="138" quotePrefix="1" applyFont="1" applyFill="1" applyBorder="1" applyAlignment="1">
      <alignment vertical="center" shrinkToFit="1"/>
    </xf>
    <xf numFmtId="179" fontId="28" fillId="0" borderId="0" xfId="4" applyNumberFormat="1" applyFont="1" applyFill="1" applyBorder="1" applyAlignment="1">
      <alignment horizontal="left" vertical="center"/>
    </xf>
    <xf numFmtId="41" fontId="32" fillId="0" borderId="0" xfId="4" applyFont="1" applyAlignment="1">
      <alignment horizontal="left" vertical="center"/>
    </xf>
    <xf numFmtId="184" fontId="33" fillId="10" borderId="27" xfId="138" applyNumberFormat="1" applyFont="1" applyFill="1" applyBorder="1" applyAlignment="1">
      <alignment horizontal="center" vertical="center" wrapText="1" shrinkToFit="1"/>
    </xf>
    <xf numFmtId="0" fontId="33" fillId="10" borderId="27" xfId="138" applyNumberFormat="1" applyFont="1" applyFill="1" applyBorder="1" applyAlignment="1">
      <alignment horizontal="center" vertical="center" wrapText="1" shrinkToFit="1"/>
    </xf>
    <xf numFmtId="183" fontId="30" fillId="10" borderId="27" xfId="4" applyNumberFormat="1" applyFont="1" applyFill="1" applyBorder="1" applyAlignment="1">
      <alignment horizontal="right" vertical="center" shrinkToFit="1"/>
    </xf>
    <xf numFmtId="179" fontId="28" fillId="0" borderId="0" xfId="4" quotePrefix="1" applyNumberFormat="1" applyFont="1" applyFill="1" applyBorder="1" applyAlignment="1">
      <alignment horizontal="left" vertical="center"/>
    </xf>
    <xf numFmtId="180" fontId="32" fillId="0" borderId="0" xfId="4" applyNumberFormat="1" applyFont="1" applyAlignment="1">
      <alignment vertical="center" shrinkToFit="1"/>
    </xf>
    <xf numFmtId="41" fontId="32" fillId="0" borderId="0" xfId="1" applyFont="1" applyAlignment="1">
      <alignment vertical="center" shrinkToFit="1"/>
    </xf>
    <xf numFmtId="180" fontId="36" fillId="0" borderId="0" xfId="1" applyNumberFormat="1" applyFont="1">
      <alignment vertical="center"/>
    </xf>
    <xf numFmtId="187" fontId="36" fillId="0" borderId="0" xfId="138" applyFont="1" applyAlignment="1">
      <alignment vertical="center" shrinkToFit="1"/>
    </xf>
    <xf numFmtId="41" fontId="30" fillId="0" borderId="0" xfId="1" applyFont="1">
      <alignment vertical="center"/>
    </xf>
    <xf numFmtId="187" fontId="30" fillId="0" borderId="0" xfId="138" applyFont="1">
      <alignment vertical="center"/>
    </xf>
    <xf numFmtId="41" fontId="36" fillId="3" borderId="1" xfId="4" applyFont="1" applyFill="1" applyBorder="1" applyAlignment="1">
      <alignment vertical="center" shrinkToFit="1"/>
    </xf>
    <xf numFmtId="180" fontId="36" fillId="3" borderId="1" xfId="4" applyNumberFormat="1" applyFont="1" applyFill="1" applyBorder="1">
      <alignment vertical="center"/>
    </xf>
    <xf numFmtId="187" fontId="29" fillId="13" borderId="27" xfId="138" applyFont="1" applyFill="1" applyBorder="1" applyAlignment="1">
      <alignment horizontal="center" vertical="center"/>
    </xf>
    <xf numFmtId="187" fontId="32" fillId="0" borderId="0" xfId="138" applyFont="1" applyAlignment="1">
      <alignment vertical="center" shrinkToFit="1"/>
    </xf>
    <xf numFmtId="187" fontId="32" fillId="0" borderId="0" xfId="138" applyFont="1">
      <alignment vertical="center"/>
    </xf>
    <xf numFmtId="0" fontId="30" fillId="0" borderId="0" xfId="137" applyNumberFormat="1" applyFont="1" applyAlignment="1">
      <alignment vertical="center" shrinkToFit="1"/>
    </xf>
    <xf numFmtId="184" fontId="28" fillId="2" borderId="3" xfId="138" applyNumberFormat="1" applyFont="1" applyFill="1" applyBorder="1" applyAlignment="1">
      <alignment horizontal="center" vertical="center" shrinkToFit="1"/>
    </xf>
    <xf numFmtId="187" fontId="28" fillId="2" borderId="4" xfId="138" applyFont="1" applyFill="1" applyBorder="1" applyAlignment="1">
      <alignment horizontal="center" vertical="center" shrinkToFit="1"/>
    </xf>
    <xf numFmtId="41" fontId="28" fillId="2" borderId="1" xfId="4" applyFont="1" applyFill="1" applyBorder="1" applyAlignment="1">
      <alignment vertical="center" shrinkToFit="1"/>
    </xf>
    <xf numFmtId="186" fontId="30" fillId="0" borderId="0" xfId="1" applyNumberFormat="1" applyFont="1" applyFill="1" applyAlignment="1">
      <alignment vertical="center" shrinkToFit="1"/>
    </xf>
    <xf numFmtId="180" fontId="33" fillId="0" borderId="0" xfId="1" applyNumberFormat="1" applyFont="1" applyFill="1">
      <alignment vertical="center"/>
    </xf>
    <xf numFmtId="41" fontId="32" fillId="0" borderId="0" xfId="1" applyFont="1">
      <alignment vertical="center"/>
    </xf>
    <xf numFmtId="187" fontId="33" fillId="0" borderId="0" xfId="138" applyFont="1" applyAlignment="1">
      <alignment horizontal="center" vertical="center" shrinkToFit="1"/>
    </xf>
    <xf numFmtId="180" fontId="36" fillId="0" borderId="0" xfId="1" applyNumberFormat="1" applyFont="1" applyFill="1">
      <alignment vertical="center"/>
    </xf>
    <xf numFmtId="41" fontId="33" fillId="0" borderId="0" xfId="1" applyFont="1" applyAlignment="1">
      <alignment vertical="center" shrinkToFit="1"/>
    </xf>
    <xf numFmtId="179" fontId="28" fillId="2" borderId="8" xfId="4" applyNumberFormat="1" applyFont="1" applyFill="1" applyBorder="1" applyAlignment="1">
      <alignment horizontal="center" vertical="center" shrinkToFit="1"/>
    </xf>
    <xf numFmtId="180" fontId="43" fillId="13" borderId="27" xfId="1" applyNumberFormat="1" applyFont="1" applyFill="1" applyBorder="1">
      <alignment vertical="center"/>
    </xf>
    <xf numFmtId="180" fontId="37" fillId="13" borderId="27" xfId="1" applyNumberFormat="1" applyFont="1" applyFill="1" applyBorder="1">
      <alignment vertical="center"/>
    </xf>
    <xf numFmtId="190" fontId="37" fillId="13" borderId="27" xfId="138" applyNumberFormat="1" applyFont="1" applyFill="1" applyBorder="1" applyAlignment="1">
      <alignment horizontal="left" vertical="center"/>
    </xf>
    <xf numFmtId="180" fontId="33" fillId="4" borderId="27" xfId="4" applyNumberFormat="1" applyFont="1" applyFill="1" applyBorder="1" applyAlignment="1">
      <alignment vertical="center" shrinkToFit="1"/>
    </xf>
    <xf numFmtId="180" fontId="33" fillId="11" borderId="27" xfId="4" applyNumberFormat="1" applyFont="1" applyFill="1" applyBorder="1" applyAlignment="1">
      <alignment vertical="center" shrinkToFit="1"/>
    </xf>
    <xf numFmtId="187" fontId="33" fillId="0" borderId="27" xfId="138" applyFont="1" applyBorder="1" applyAlignment="1">
      <alignment horizontal="left" vertical="center" shrinkToFit="1"/>
    </xf>
    <xf numFmtId="180" fontId="33" fillId="5" borderId="27" xfId="4" applyNumberFormat="1" applyFont="1" applyFill="1" applyBorder="1" applyAlignment="1">
      <alignment vertical="center" shrinkToFit="1"/>
    </xf>
    <xf numFmtId="187" fontId="33" fillId="0" borderId="27" xfId="138" applyFont="1" applyBorder="1" applyAlignment="1">
      <alignment vertical="center" shrinkToFit="1"/>
    </xf>
    <xf numFmtId="0" fontId="30" fillId="11" borderId="27" xfId="0" applyFont="1" applyFill="1" applyBorder="1" applyAlignment="1">
      <alignment horizontal="center" vertical="center" wrapText="1"/>
    </xf>
    <xf numFmtId="0" fontId="33" fillId="0" borderId="27" xfId="0" applyFont="1" applyBorder="1" applyAlignment="1">
      <alignment horizontal="left" vertical="center"/>
    </xf>
    <xf numFmtId="0" fontId="30" fillId="0" borderId="27" xfId="0" applyFont="1" applyBorder="1" applyAlignment="1">
      <alignment horizontal="center" vertical="center" wrapText="1"/>
    </xf>
    <xf numFmtId="180" fontId="33" fillId="0" borderId="27" xfId="1" applyNumberFormat="1" applyFont="1" applyFill="1" applyBorder="1" applyAlignment="1">
      <alignment horizontal="center" vertical="center"/>
    </xf>
    <xf numFmtId="180" fontId="30" fillId="0" borderId="27" xfId="1" applyNumberFormat="1" applyFont="1" applyFill="1" applyBorder="1" applyAlignment="1">
      <alignment horizontal="center" vertical="center"/>
    </xf>
    <xf numFmtId="184" fontId="30" fillId="0" borderId="27" xfId="0" applyNumberFormat="1" applyFont="1" applyBorder="1" applyAlignment="1">
      <alignment horizontal="left" vertical="center"/>
    </xf>
    <xf numFmtId="0" fontId="33" fillId="0" borderId="27" xfId="0" applyFont="1" applyBorder="1" applyAlignment="1">
      <alignment horizontal="center" vertical="center"/>
    </xf>
    <xf numFmtId="178" fontId="33" fillId="0" borderId="27" xfId="0" applyNumberFormat="1" applyFont="1" applyBorder="1" applyAlignment="1">
      <alignment horizontal="center" vertical="center"/>
    </xf>
    <xf numFmtId="178" fontId="33" fillId="0" borderId="1" xfId="4" applyNumberFormat="1" applyFont="1" applyBorder="1">
      <alignment vertical="center"/>
    </xf>
    <xf numFmtId="187" fontId="33" fillId="11" borderId="27" xfId="138" applyFont="1" applyFill="1" applyBorder="1" applyAlignment="1">
      <alignment horizontal="left" vertical="center" shrinkToFit="1"/>
    </xf>
    <xf numFmtId="180" fontId="33" fillId="0" borderId="27" xfId="4" applyNumberFormat="1" applyFont="1" applyFill="1" applyBorder="1" applyAlignment="1">
      <alignment vertical="center" shrinkToFit="1"/>
    </xf>
    <xf numFmtId="180" fontId="33" fillId="0" borderId="0" xfId="1" applyNumberFormat="1" applyFont="1" applyAlignment="1">
      <alignment vertical="center" shrinkToFit="1"/>
    </xf>
    <xf numFmtId="180" fontId="33" fillId="16" borderId="27" xfId="4" applyNumberFormat="1" applyFont="1" applyFill="1" applyBorder="1" applyAlignment="1">
      <alignment vertical="center" shrinkToFit="1"/>
    </xf>
    <xf numFmtId="0" fontId="33" fillId="10" borderId="27" xfId="0" applyFont="1" applyFill="1" applyBorder="1" applyAlignment="1">
      <alignment horizontal="left" vertical="center"/>
    </xf>
    <xf numFmtId="180" fontId="33" fillId="10" borderId="27" xfId="1" applyNumberFormat="1" applyFont="1" applyFill="1" applyBorder="1" applyAlignment="1">
      <alignment horizontal="center" vertical="center"/>
    </xf>
    <xf numFmtId="180" fontId="33" fillId="10" borderId="27" xfId="4" applyNumberFormat="1" applyFont="1" applyFill="1" applyBorder="1" applyAlignment="1">
      <alignment vertical="center" shrinkToFit="1"/>
    </xf>
    <xf numFmtId="187" fontId="33" fillId="10" borderId="27" xfId="138" applyFont="1" applyFill="1" applyBorder="1" applyAlignment="1">
      <alignment horizontal="left" vertical="center" shrinkToFit="1"/>
    </xf>
    <xf numFmtId="187" fontId="33" fillId="10" borderId="27" xfId="138" quotePrefix="1" applyFont="1" applyFill="1" applyBorder="1" applyAlignment="1">
      <alignment vertical="center" shrinkToFit="1"/>
    </xf>
    <xf numFmtId="180" fontId="33" fillId="11" borderId="0" xfId="1" applyNumberFormat="1" applyFont="1" applyFill="1">
      <alignment vertical="center"/>
    </xf>
    <xf numFmtId="180" fontId="33" fillId="0" borderId="27" xfId="1" applyNumberFormat="1" applyFont="1" applyFill="1" applyBorder="1" applyAlignment="1">
      <alignment horizontal="center" vertical="center" wrapText="1" shrinkToFit="1"/>
    </xf>
    <xf numFmtId="0" fontId="33" fillId="11" borderId="27" xfId="0" applyFont="1" applyFill="1" applyBorder="1" applyAlignment="1">
      <alignment horizontal="left" vertical="center"/>
    </xf>
    <xf numFmtId="180" fontId="30" fillId="11" borderId="27" xfId="4" applyNumberFormat="1" applyFont="1" applyFill="1" applyBorder="1" applyAlignment="1">
      <alignment vertical="center" shrinkToFit="1"/>
    </xf>
    <xf numFmtId="189" fontId="29" fillId="13" borderId="35" xfId="138" applyNumberFormat="1" applyFont="1" applyFill="1" applyBorder="1" applyAlignment="1">
      <alignment horizontal="center" vertical="center"/>
    </xf>
    <xf numFmtId="187" fontId="29" fillId="13" borderId="35" xfId="138" applyFont="1" applyFill="1" applyBorder="1">
      <alignment vertical="center"/>
    </xf>
    <xf numFmtId="187" fontId="29" fillId="13" borderId="35" xfId="138" applyFont="1" applyFill="1" applyBorder="1" applyAlignment="1">
      <alignment horizontal="left" vertical="center"/>
    </xf>
    <xf numFmtId="187" fontId="29" fillId="13" borderId="35" xfId="138" applyFont="1" applyFill="1" applyBorder="1" applyAlignment="1">
      <alignment horizontal="center" vertical="center"/>
    </xf>
    <xf numFmtId="187" fontId="29" fillId="13" borderId="35" xfId="138" applyFont="1" applyFill="1" applyBorder="1" applyAlignment="1">
      <alignment vertical="center" shrinkToFit="1"/>
    </xf>
    <xf numFmtId="180" fontId="29" fillId="13" borderId="35" xfId="138" applyNumberFormat="1" applyFont="1" applyFill="1" applyBorder="1">
      <alignment vertical="center"/>
    </xf>
    <xf numFmtId="180" fontId="29" fillId="13" borderId="35" xfId="4" applyNumberFormat="1" applyFont="1" applyFill="1" applyBorder="1">
      <alignment vertical="center"/>
    </xf>
    <xf numFmtId="180" fontId="29" fillId="13" borderId="35" xfId="1" applyNumberFormat="1" applyFont="1" applyFill="1" applyBorder="1">
      <alignment vertical="center"/>
    </xf>
    <xf numFmtId="180" fontId="43" fillId="13" borderId="35" xfId="1" applyNumberFormat="1" applyFont="1" applyFill="1" applyBorder="1">
      <alignment vertical="center"/>
    </xf>
    <xf numFmtId="180" fontId="37" fillId="13" borderId="35" xfId="1" applyNumberFormat="1" applyFont="1" applyFill="1" applyBorder="1">
      <alignment vertical="center"/>
    </xf>
    <xf numFmtId="190" fontId="37" fillId="13" borderId="35" xfId="138" applyNumberFormat="1" applyFont="1" applyFill="1" applyBorder="1" applyAlignment="1">
      <alignment horizontal="left" vertical="center"/>
    </xf>
    <xf numFmtId="187" fontId="33" fillId="13" borderId="35" xfId="138" applyFont="1" applyFill="1" applyBorder="1" applyAlignment="1">
      <alignment vertical="center" shrinkToFit="1"/>
    </xf>
    <xf numFmtId="0" fontId="46" fillId="0" borderId="27" xfId="0" applyFont="1" applyBorder="1" applyAlignment="1">
      <alignment horizontal="left" vertical="center"/>
    </xf>
    <xf numFmtId="0" fontId="30" fillId="0" borderId="27" xfId="0" applyFont="1" applyBorder="1">
      <alignment vertical="center"/>
    </xf>
    <xf numFmtId="178" fontId="48" fillId="0" borderId="27" xfId="0" applyNumberFormat="1" applyFont="1" applyBorder="1" applyAlignment="1">
      <alignment horizontal="center" vertical="center"/>
    </xf>
    <xf numFmtId="187" fontId="36" fillId="0" borderId="27" xfId="138" applyFont="1" applyBorder="1">
      <alignment vertical="center"/>
    </xf>
    <xf numFmtId="0" fontId="30" fillId="0" borderId="27" xfId="138" applyNumberFormat="1" applyFont="1" applyBorder="1" applyAlignment="1">
      <alignment horizontal="center" vertical="center" wrapText="1" shrinkToFit="1"/>
    </xf>
    <xf numFmtId="180" fontId="33" fillId="8" borderId="27" xfId="4" applyNumberFormat="1" applyFont="1" applyFill="1" applyBorder="1" applyAlignment="1">
      <alignment vertical="center" shrinkToFit="1"/>
    </xf>
    <xf numFmtId="0" fontId="30" fillId="0" borderId="27" xfId="0" applyFont="1" applyBorder="1" applyAlignment="1">
      <alignment horizontal="left" vertical="center"/>
    </xf>
    <xf numFmtId="4" fontId="32" fillId="0" borderId="0" xfId="0" applyNumberFormat="1" applyFont="1">
      <alignment vertical="center"/>
    </xf>
    <xf numFmtId="0" fontId="33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78" fontId="30" fillId="0" borderId="27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36" fillId="0" borderId="27" xfId="0" applyFont="1" applyBorder="1" applyAlignment="1">
      <alignment horizontal="center" vertical="center"/>
    </xf>
    <xf numFmtId="0" fontId="51" fillId="0" borderId="0" xfId="137" applyNumberFormat="1" applyFont="1" applyAlignment="1">
      <alignment vertical="center"/>
    </xf>
    <xf numFmtId="184" fontId="51" fillId="0" borderId="0" xfId="137" applyNumberFormat="1" applyFont="1" applyAlignment="1">
      <alignment horizontal="center" vertical="center"/>
    </xf>
    <xf numFmtId="187" fontId="51" fillId="0" borderId="0" xfId="137" applyFont="1" applyAlignment="1">
      <alignment horizontal="center" vertical="center"/>
    </xf>
    <xf numFmtId="179" fontId="51" fillId="0" borderId="0" xfId="4" applyNumberFormat="1" applyFont="1" applyFill="1" applyAlignment="1">
      <alignment vertical="center"/>
    </xf>
    <xf numFmtId="188" fontId="51" fillId="0" borderId="0" xfId="4" applyNumberFormat="1" applyFont="1" applyFill="1" applyAlignment="1">
      <alignment vertical="center" shrinkToFit="1"/>
    </xf>
    <xf numFmtId="179" fontId="51" fillId="0" borderId="0" xfId="4" applyNumberFormat="1" applyFont="1" applyFill="1" applyAlignment="1">
      <alignment vertical="center" shrinkToFit="1"/>
    </xf>
    <xf numFmtId="179" fontId="51" fillId="0" borderId="0" xfId="4" applyNumberFormat="1" applyFont="1" applyFill="1" applyBorder="1" applyAlignment="1">
      <alignment vertical="center"/>
    </xf>
    <xf numFmtId="179" fontId="51" fillId="0" borderId="0" xfId="137" applyNumberFormat="1" applyFont="1" applyAlignment="1">
      <alignment vertical="center"/>
    </xf>
    <xf numFmtId="187" fontId="51" fillId="0" borderId="0" xfId="137" applyFont="1" applyAlignment="1">
      <alignment vertical="center"/>
    </xf>
    <xf numFmtId="187" fontId="51" fillId="0" borderId="0" xfId="137" applyFont="1" applyAlignment="1">
      <alignment vertical="center" shrinkToFit="1"/>
    </xf>
    <xf numFmtId="0" fontId="52" fillId="0" borderId="0" xfId="137" applyNumberFormat="1" applyFont="1" applyAlignment="1">
      <alignment vertical="center"/>
    </xf>
    <xf numFmtId="187" fontId="53" fillId="0" borderId="0" xfId="138" applyFont="1">
      <alignment vertical="center"/>
    </xf>
    <xf numFmtId="187" fontId="54" fillId="0" borderId="0" xfId="138" applyFont="1">
      <alignment vertical="center"/>
    </xf>
    <xf numFmtId="0" fontId="53" fillId="0" borderId="0" xfId="138" applyNumberFormat="1" applyFont="1">
      <alignment vertical="center"/>
    </xf>
    <xf numFmtId="184" fontId="55" fillId="0" borderId="0" xfId="138" applyNumberFormat="1" applyFont="1" applyAlignment="1">
      <alignment horizontal="left" vertical="center"/>
    </xf>
    <xf numFmtId="43" fontId="33" fillId="0" borderId="0" xfId="138" applyNumberFormat="1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187" fontId="33" fillId="0" borderId="0" xfId="138" applyFont="1" applyAlignment="1">
      <alignment horizontal="center" vertical="center"/>
    </xf>
    <xf numFmtId="180" fontId="33" fillId="0" borderId="0" xfId="4" applyNumberFormat="1" applyFont="1" applyFill="1" applyBorder="1">
      <alignment vertical="center"/>
    </xf>
    <xf numFmtId="180" fontId="44" fillId="0" borderId="0" xfId="1" applyNumberFormat="1" applyFont="1" applyAlignment="1">
      <alignment horizontal="right" vertical="center"/>
    </xf>
    <xf numFmtId="180" fontId="33" fillId="0" borderId="0" xfId="1" applyNumberFormat="1" applyFont="1" applyAlignment="1">
      <alignment horizontal="right" vertical="center"/>
    </xf>
    <xf numFmtId="0" fontId="33" fillId="10" borderId="1" xfId="0" applyFont="1" applyFill="1" applyBorder="1" applyAlignment="1">
      <alignment horizontal="center" vertical="center"/>
    </xf>
    <xf numFmtId="0" fontId="30" fillId="10" borderId="1" xfId="0" applyFont="1" applyFill="1" applyBorder="1" applyAlignment="1">
      <alignment horizontal="center" vertical="center" wrapText="1"/>
    </xf>
    <xf numFmtId="178" fontId="33" fillId="10" borderId="27" xfId="0" applyNumberFormat="1" applyFont="1" applyFill="1" applyBorder="1" applyAlignment="1">
      <alignment horizontal="center" vertical="center"/>
    </xf>
    <xf numFmtId="0" fontId="33" fillId="10" borderId="27" xfId="0" applyFont="1" applyFill="1" applyBorder="1" applyAlignment="1">
      <alignment horizontal="center" vertical="center"/>
    </xf>
    <xf numFmtId="184" fontId="33" fillId="8" borderId="27" xfId="138" applyNumberFormat="1" applyFont="1" applyFill="1" applyBorder="1" applyAlignment="1">
      <alignment horizontal="center" vertical="center" wrapText="1" shrinkToFit="1"/>
    </xf>
    <xf numFmtId="0" fontId="33" fillId="8" borderId="27" xfId="0" applyFont="1" applyFill="1" applyBorder="1" applyAlignment="1">
      <alignment horizontal="left" vertical="center"/>
    </xf>
    <xf numFmtId="0" fontId="33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0" fontId="33" fillId="8" borderId="27" xfId="138" applyNumberFormat="1" applyFont="1" applyFill="1" applyBorder="1" applyAlignment="1">
      <alignment horizontal="center" vertical="center" wrapText="1" shrinkToFit="1"/>
    </xf>
    <xf numFmtId="178" fontId="30" fillId="8" borderId="27" xfId="0" applyNumberFormat="1" applyFont="1" applyFill="1" applyBorder="1" applyAlignment="1">
      <alignment horizontal="center" vertical="center"/>
    </xf>
    <xf numFmtId="187" fontId="36" fillId="8" borderId="27" xfId="138" applyFont="1" applyFill="1" applyBorder="1">
      <alignment vertical="center"/>
    </xf>
    <xf numFmtId="180" fontId="33" fillId="8" borderId="27" xfId="1" applyNumberFormat="1" applyFont="1" applyFill="1" applyBorder="1" applyAlignment="1">
      <alignment horizontal="center" vertical="center"/>
    </xf>
    <xf numFmtId="183" fontId="30" fillId="8" borderId="27" xfId="4" applyNumberFormat="1" applyFont="1" applyFill="1" applyBorder="1" applyAlignment="1">
      <alignment horizontal="right" vertical="center" shrinkToFit="1"/>
    </xf>
    <xf numFmtId="187" fontId="33" fillId="8" borderId="27" xfId="138" applyFont="1" applyFill="1" applyBorder="1" applyAlignment="1">
      <alignment horizontal="left" vertical="center" shrinkToFit="1"/>
    </xf>
    <xf numFmtId="187" fontId="33" fillId="8" borderId="27" xfId="138" quotePrefix="1" applyFont="1" applyFill="1" applyBorder="1" applyAlignment="1">
      <alignment vertical="center" shrinkToFit="1"/>
    </xf>
    <xf numFmtId="0" fontId="30" fillId="8" borderId="1" xfId="0" applyFont="1" applyFill="1" applyBorder="1" applyAlignment="1">
      <alignment horizontal="center" vertical="center"/>
    </xf>
    <xf numFmtId="184" fontId="33" fillId="14" borderId="27" xfId="138" applyNumberFormat="1" applyFont="1" applyFill="1" applyBorder="1" applyAlignment="1">
      <alignment horizontal="center" vertical="center" wrapText="1" shrinkToFit="1"/>
    </xf>
    <xf numFmtId="0" fontId="33" fillId="14" borderId="27" xfId="0" applyFont="1" applyFill="1" applyBorder="1" applyAlignment="1">
      <alignment horizontal="left" vertical="center"/>
    </xf>
    <xf numFmtId="184" fontId="30" fillId="14" borderId="27" xfId="0" applyNumberFormat="1" applyFont="1" applyFill="1" applyBorder="1" applyAlignment="1">
      <alignment horizontal="left" vertical="center"/>
    </xf>
    <xf numFmtId="0" fontId="30" fillId="14" borderId="27" xfId="0" applyFont="1" applyFill="1" applyBorder="1" applyAlignment="1">
      <alignment horizontal="center" vertical="center" wrapText="1"/>
    </xf>
    <xf numFmtId="0" fontId="33" fillId="14" borderId="27" xfId="138" applyNumberFormat="1" applyFont="1" applyFill="1" applyBorder="1" applyAlignment="1">
      <alignment horizontal="center" vertical="center" wrapText="1" shrinkToFit="1"/>
    </xf>
    <xf numFmtId="180" fontId="33" fillId="14" borderId="27" xfId="1" applyNumberFormat="1" applyFont="1" applyFill="1" applyBorder="1" applyAlignment="1">
      <alignment horizontal="center" vertical="center"/>
    </xf>
    <xf numFmtId="183" fontId="30" fillId="14" borderId="27" xfId="4" applyNumberFormat="1" applyFont="1" applyFill="1" applyBorder="1" applyAlignment="1">
      <alignment horizontal="right" vertical="center" shrinkToFit="1"/>
    </xf>
    <xf numFmtId="180" fontId="33" fillId="14" borderId="27" xfId="4" applyNumberFormat="1" applyFont="1" applyFill="1" applyBorder="1" applyAlignment="1">
      <alignment vertical="center" shrinkToFit="1"/>
    </xf>
    <xf numFmtId="187" fontId="33" fillId="14" borderId="27" xfId="138" applyFont="1" applyFill="1" applyBorder="1" applyAlignment="1">
      <alignment horizontal="left" vertical="center" shrinkToFit="1"/>
    </xf>
    <xf numFmtId="187" fontId="33" fillId="14" borderId="27" xfId="138" quotePrefix="1" applyFont="1" applyFill="1" applyBorder="1" applyAlignment="1">
      <alignment vertical="center" shrinkToFit="1"/>
    </xf>
    <xf numFmtId="41" fontId="32" fillId="0" borderId="0" xfId="138" applyNumberFormat="1" applyFont="1">
      <alignment vertical="center"/>
    </xf>
    <xf numFmtId="41" fontId="33" fillId="14" borderId="27" xfId="1" applyFont="1" applyFill="1" applyBorder="1" applyAlignment="1">
      <alignment horizontal="center" vertical="center" wrapText="1" shrinkToFit="1"/>
    </xf>
    <xf numFmtId="184" fontId="38" fillId="2" borderId="27" xfId="4" applyNumberFormat="1" applyFont="1" applyFill="1" applyBorder="1" applyAlignment="1">
      <alignment horizontal="center" vertical="center"/>
    </xf>
    <xf numFmtId="179" fontId="38" fillId="2" borderId="27" xfId="4" applyNumberFormat="1" applyFont="1" applyFill="1" applyBorder="1" applyAlignment="1">
      <alignment horizontal="center" vertical="center"/>
    </xf>
    <xf numFmtId="187" fontId="38" fillId="2" borderId="27" xfId="4" applyNumberFormat="1" applyFont="1" applyFill="1" applyBorder="1" applyAlignment="1">
      <alignment horizontal="center" vertical="center"/>
    </xf>
    <xf numFmtId="179" fontId="38" fillId="2" borderId="27" xfId="4" applyNumberFormat="1" applyFont="1" applyFill="1" applyBorder="1" applyAlignment="1">
      <alignment horizontal="center" vertical="center" shrinkToFit="1"/>
    </xf>
    <xf numFmtId="184" fontId="28" fillId="2" borderId="27" xfId="4" applyNumberFormat="1" applyFont="1" applyFill="1" applyBorder="1" applyAlignment="1">
      <alignment horizontal="center" vertical="center"/>
    </xf>
    <xf numFmtId="179" fontId="28" fillId="2" borderId="27" xfId="4" applyNumberFormat="1" applyFont="1" applyFill="1" applyBorder="1" applyAlignment="1">
      <alignment horizontal="center" vertical="center"/>
    </xf>
    <xf numFmtId="187" fontId="28" fillId="2" borderId="27" xfId="4" applyNumberFormat="1" applyFont="1" applyFill="1" applyBorder="1" applyAlignment="1">
      <alignment horizontal="center" vertical="center"/>
    </xf>
    <xf numFmtId="179" fontId="28" fillId="2" borderId="27" xfId="4" applyNumberFormat="1" applyFont="1" applyFill="1" applyBorder="1" applyAlignment="1">
      <alignment horizontal="center" vertical="center" shrinkToFit="1"/>
    </xf>
    <xf numFmtId="180" fontId="28" fillId="2" borderId="27" xfId="4" applyNumberFormat="1" applyFont="1" applyFill="1" applyBorder="1" applyAlignment="1">
      <alignment horizontal="center" vertical="center"/>
    </xf>
    <xf numFmtId="180" fontId="28" fillId="2" borderId="27" xfId="4" applyNumberFormat="1" applyFont="1" applyFill="1" applyBorder="1" applyAlignment="1">
      <alignment horizontal="center" vertical="center" shrinkToFit="1"/>
    </xf>
    <xf numFmtId="179" fontId="28" fillId="2" borderId="27" xfId="138" applyNumberFormat="1" applyFont="1" applyFill="1" applyBorder="1" applyAlignment="1">
      <alignment horizontal="center" vertical="center"/>
    </xf>
    <xf numFmtId="0" fontId="33" fillId="8" borderId="27" xfId="0" applyFont="1" applyFill="1" applyBorder="1" applyAlignment="1">
      <alignment horizontal="center" vertical="center"/>
    </xf>
    <xf numFmtId="0" fontId="30" fillId="8" borderId="27" xfId="0" applyFont="1" applyFill="1" applyBorder="1" applyAlignment="1">
      <alignment horizontal="center" vertical="center"/>
    </xf>
    <xf numFmtId="0" fontId="30" fillId="8" borderId="27" xfId="0" applyFont="1" applyFill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/>
    </xf>
    <xf numFmtId="184" fontId="29" fillId="0" borderId="0" xfId="138" applyNumberFormat="1" applyFont="1" applyAlignment="1">
      <alignment horizontal="left" vertical="center"/>
    </xf>
    <xf numFmtId="184" fontId="33" fillId="8" borderId="27" xfId="0" applyNumberFormat="1" applyFont="1" applyFill="1" applyBorder="1" applyAlignment="1">
      <alignment horizontal="center" vertical="center"/>
    </xf>
    <xf numFmtId="184" fontId="33" fillId="0" borderId="27" xfId="0" applyNumberFormat="1" applyFont="1" applyBorder="1" applyAlignment="1">
      <alignment horizontal="center" vertical="center"/>
    </xf>
    <xf numFmtId="185" fontId="33" fillId="0" borderId="27" xfId="0" applyNumberFormat="1" applyFont="1" applyBorder="1" applyAlignment="1">
      <alignment horizontal="center" vertical="center"/>
    </xf>
    <xf numFmtId="180" fontId="30" fillId="0" borderId="27" xfId="1" applyNumberFormat="1" applyFont="1" applyFill="1" applyBorder="1" applyAlignment="1">
      <alignment horizontal="center" vertical="center" wrapText="1"/>
    </xf>
    <xf numFmtId="180" fontId="30" fillId="0" borderId="27" xfId="1" applyNumberFormat="1" applyFont="1" applyFill="1" applyBorder="1" applyAlignment="1">
      <alignment horizontal="center" vertical="center" wrapText="1" shrinkToFit="1"/>
    </xf>
    <xf numFmtId="187" fontId="30" fillId="0" borderId="1" xfId="138" applyFont="1" applyBorder="1" applyAlignment="1">
      <alignment horizontal="left" vertical="center"/>
    </xf>
    <xf numFmtId="41" fontId="30" fillId="0" borderId="1" xfId="4" applyFont="1" applyFill="1" applyBorder="1" applyAlignment="1">
      <alignment vertical="center" shrinkToFit="1"/>
    </xf>
    <xf numFmtId="187" fontId="30" fillId="0" borderId="1" xfId="138" applyFont="1" applyBorder="1">
      <alignment vertical="center"/>
    </xf>
    <xf numFmtId="187" fontId="30" fillId="3" borderId="1" xfId="138" applyFont="1" applyFill="1" applyBorder="1">
      <alignment vertical="center"/>
    </xf>
    <xf numFmtId="180" fontId="30" fillId="3" borderId="1" xfId="4" applyNumberFormat="1" applyFont="1" applyFill="1" applyBorder="1">
      <alignment vertical="center"/>
    </xf>
    <xf numFmtId="41" fontId="30" fillId="3" borderId="1" xfId="4" applyFont="1" applyFill="1" applyBorder="1" applyAlignment="1">
      <alignment vertical="center" shrinkToFit="1"/>
    </xf>
    <xf numFmtId="180" fontId="30" fillId="0" borderId="1" xfId="4" applyNumberFormat="1" applyFont="1" applyBorder="1" applyAlignment="1">
      <alignment vertical="center" shrinkToFit="1"/>
    </xf>
    <xf numFmtId="187" fontId="30" fillId="0" borderId="0" xfId="137" applyFont="1" applyAlignment="1">
      <alignment horizontal="left" vertical="center"/>
    </xf>
    <xf numFmtId="179" fontId="28" fillId="2" borderId="1" xfId="4" applyNumberFormat="1" applyFont="1" applyFill="1" applyBorder="1" applyAlignment="1">
      <alignment horizontal="left" vertical="center"/>
    </xf>
    <xf numFmtId="187" fontId="33" fillId="3" borderId="1" xfId="138" applyFont="1" applyFill="1" applyBorder="1" applyAlignment="1">
      <alignment horizontal="left" vertical="center"/>
    </xf>
    <xf numFmtId="187" fontId="28" fillId="2" borderId="4" xfId="138" applyFont="1" applyFill="1" applyBorder="1" applyAlignment="1">
      <alignment horizontal="left" vertical="center" shrinkToFit="1"/>
    </xf>
    <xf numFmtId="179" fontId="38" fillId="2" borderId="27" xfId="4" applyNumberFormat="1" applyFont="1" applyFill="1" applyBorder="1" applyAlignment="1">
      <alignment horizontal="left" vertical="center"/>
    </xf>
    <xf numFmtId="179" fontId="28" fillId="2" borderId="27" xfId="4" applyNumberFormat="1" applyFont="1" applyFill="1" applyBorder="1" applyAlignment="1">
      <alignment horizontal="left" vertical="center"/>
    </xf>
    <xf numFmtId="179" fontId="30" fillId="0" borderId="0" xfId="4" applyNumberFormat="1" applyFont="1" applyFill="1" applyAlignment="1">
      <alignment horizontal="center" vertical="center" shrinkToFit="1"/>
    </xf>
    <xf numFmtId="180" fontId="33" fillId="0" borderId="0" xfId="4" applyNumberFormat="1" applyFont="1" applyAlignment="1">
      <alignment horizontal="center" vertical="center" shrinkToFit="1"/>
    </xf>
    <xf numFmtId="179" fontId="35" fillId="0" borderId="0" xfId="4" applyNumberFormat="1" applyFont="1" applyFill="1" applyAlignment="1">
      <alignment horizontal="center" vertical="center" shrinkToFit="1"/>
    </xf>
    <xf numFmtId="180" fontId="30" fillId="0" borderId="1" xfId="4" applyNumberFormat="1" applyFont="1" applyBorder="1" applyAlignment="1">
      <alignment horizontal="center" vertical="center"/>
    </xf>
    <xf numFmtId="180" fontId="30" fillId="0" borderId="1" xfId="4" applyNumberFormat="1" applyFont="1" applyFill="1" applyBorder="1" applyAlignment="1">
      <alignment horizontal="center" vertical="center"/>
    </xf>
    <xf numFmtId="180" fontId="36" fillId="3" borderId="1" xfId="4" applyNumberFormat="1" applyFont="1" applyFill="1" applyBorder="1" applyAlignment="1">
      <alignment horizontal="center" vertical="center"/>
    </xf>
    <xf numFmtId="180" fontId="33" fillId="0" borderId="1" xfId="4" applyNumberFormat="1" applyFont="1" applyBorder="1" applyAlignment="1">
      <alignment horizontal="center" vertical="center"/>
    </xf>
    <xf numFmtId="180" fontId="33" fillId="0" borderId="0" xfId="1" applyNumberFormat="1" applyFont="1" applyAlignment="1">
      <alignment horizontal="center" vertical="center" shrinkToFit="1"/>
    </xf>
    <xf numFmtId="180" fontId="44" fillId="0" borderId="0" xfId="1" applyNumberFormat="1" applyFont="1" applyAlignment="1">
      <alignment horizontal="center" vertical="center"/>
    </xf>
    <xf numFmtId="180" fontId="29" fillId="13" borderId="27" xfId="4" applyNumberFormat="1" applyFont="1" applyFill="1" applyBorder="1" applyAlignment="1">
      <alignment horizontal="center" vertical="center"/>
    </xf>
    <xf numFmtId="178" fontId="30" fillId="11" borderId="27" xfId="0" applyNumberFormat="1" applyFont="1" applyFill="1" applyBorder="1" applyAlignment="1">
      <alignment horizontal="center" vertical="center"/>
    </xf>
    <xf numFmtId="180" fontId="46" fillId="0" borderId="27" xfId="1" applyNumberFormat="1" applyFont="1" applyBorder="1" applyAlignment="1">
      <alignment horizontal="center" vertical="center"/>
    </xf>
    <xf numFmtId="178" fontId="46" fillId="11" borderId="27" xfId="0" applyNumberFormat="1" applyFont="1" applyFill="1" applyBorder="1" applyAlignment="1">
      <alignment horizontal="center" vertical="center"/>
    </xf>
    <xf numFmtId="180" fontId="28" fillId="2" borderId="27" xfId="1" applyNumberFormat="1" applyFont="1" applyFill="1" applyBorder="1" applyAlignment="1">
      <alignment horizontal="center" vertical="center"/>
    </xf>
    <xf numFmtId="180" fontId="33" fillId="4" borderId="0" xfId="1" applyNumberFormat="1" applyFont="1" applyFill="1">
      <alignment vertical="center"/>
    </xf>
    <xf numFmtId="186" fontId="33" fillId="11" borderId="27" xfId="4" applyNumberFormat="1" applyFont="1" applyFill="1" applyBorder="1" applyAlignment="1">
      <alignment vertical="center" shrinkToFit="1"/>
    </xf>
    <xf numFmtId="180" fontId="30" fillId="0" borderId="0" xfId="4" applyNumberFormat="1" applyFont="1" applyAlignment="1">
      <alignment horizontal="left" vertical="center"/>
    </xf>
    <xf numFmtId="180" fontId="58" fillId="2" borderId="1" xfId="4" applyNumberFormat="1" applyFont="1" applyFill="1" applyBorder="1" applyAlignment="1">
      <alignment vertical="center" shrinkToFit="1"/>
    </xf>
    <xf numFmtId="41" fontId="30" fillId="0" borderId="0" xfId="1" applyFont="1" applyAlignment="1">
      <alignment horizontal="left" vertical="center"/>
    </xf>
    <xf numFmtId="180" fontId="33" fillId="11" borderId="27" xfId="1" applyNumberFormat="1" applyFont="1" applyFill="1" applyBorder="1" applyAlignment="1">
      <alignment vertical="center" shrinkToFit="1"/>
    </xf>
    <xf numFmtId="180" fontId="30" fillId="11" borderId="27" xfId="1" applyNumberFormat="1" applyFont="1" applyFill="1" applyBorder="1" applyAlignment="1">
      <alignment vertical="center" shrinkToFit="1"/>
    </xf>
    <xf numFmtId="180" fontId="30" fillId="9" borderId="27" xfId="4" applyNumberFormat="1" applyFont="1" applyFill="1" applyBorder="1" applyAlignment="1">
      <alignment vertical="center" shrinkToFit="1"/>
    </xf>
    <xf numFmtId="184" fontId="33" fillId="11" borderId="27" xfId="0" applyNumberFormat="1" applyFont="1" applyFill="1" applyBorder="1" applyAlignment="1">
      <alignment horizontal="center" vertical="center"/>
    </xf>
    <xf numFmtId="0" fontId="33" fillId="11" borderId="27" xfId="0" applyFont="1" applyFill="1" applyBorder="1" applyAlignment="1">
      <alignment horizontal="center" vertical="center"/>
    </xf>
    <xf numFmtId="180" fontId="30" fillId="4" borderId="27" xfId="4" applyNumberFormat="1" applyFont="1" applyFill="1" applyBorder="1" applyAlignment="1">
      <alignment vertical="center" shrinkToFit="1"/>
    </xf>
    <xf numFmtId="0" fontId="59" fillId="0" borderId="27" xfId="0" applyFont="1" applyBorder="1" applyAlignment="1">
      <alignment horizontal="left" vertical="center"/>
    </xf>
    <xf numFmtId="0" fontId="46" fillId="11" borderId="27" xfId="0" applyFont="1" applyFill="1" applyBorder="1" applyAlignment="1">
      <alignment horizontal="left" vertical="center"/>
    </xf>
    <xf numFmtId="178" fontId="48" fillId="11" borderId="27" xfId="0" applyNumberFormat="1" applyFont="1" applyFill="1" applyBorder="1" applyAlignment="1">
      <alignment horizontal="center" vertical="center"/>
    </xf>
    <xf numFmtId="187" fontId="36" fillId="11" borderId="27" xfId="138" applyFont="1" applyFill="1" applyBorder="1">
      <alignment vertical="center"/>
    </xf>
    <xf numFmtId="0" fontId="46" fillId="0" borderId="27" xfId="0" applyFont="1" applyBorder="1" applyAlignment="1">
      <alignment horizontal="center" vertical="center" wrapText="1"/>
    </xf>
    <xf numFmtId="187" fontId="33" fillId="0" borderId="27" xfId="138" quotePrefix="1" applyFont="1" applyBorder="1" applyAlignment="1">
      <alignment horizontal="left" vertical="center" shrinkToFit="1"/>
    </xf>
    <xf numFmtId="0" fontId="47" fillId="0" borderId="27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/>
    </xf>
    <xf numFmtId="0" fontId="41" fillId="0" borderId="27" xfId="0" applyFont="1" applyBorder="1" applyAlignment="1">
      <alignment horizontal="left" vertical="center" wrapText="1"/>
    </xf>
    <xf numFmtId="180" fontId="29" fillId="13" borderId="27" xfId="1" applyNumberFormat="1" applyFont="1" applyFill="1" applyBorder="1" applyAlignment="1">
      <alignment horizontal="center" vertical="center"/>
    </xf>
    <xf numFmtId="180" fontId="48" fillId="0" borderId="27" xfId="1" applyNumberFormat="1" applyFont="1" applyBorder="1" applyAlignment="1">
      <alignment horizontal="center" vertical="center"/>
    </xf>
    <xf numFmtId="180" fontId="30" fillId="11" borderId="27" xfId="1" applyNumberFormat="1" applyFont="1" applyFill="1" applyBorder="1" applyAlignment="1">
      <alignment horizontal="center" vertical="center"/>
    </xf>
    <xf numFmtId="180" fontId="33" fillId="0" borderId="27" xfId="1" applyNumberFormat="1" applyFont="1" applyBorder="1" applyAlignment="1">
      <alignment horizontal="center" vertical="center"/>
    </xf>
    <xf numFmtId="0" fontId="33" fillId="11" borderId="0" xfId="138" applyNumberFormat="1" applyFont="1" applyFill="1">
      <alignment vertical="center"/>
    </xf>
    <xf numFmtId="187" fontId="33" fillId="11" borderId="0" xfId="138" applyFont="1" applyFill="1">
      <alignment vertical="center"/>
    </xf>
    <xf numFmtId="187" fontId="36" fillId="11" borderId="0" xfId="138" applyFont="1" applyFill="1">
      <alignment vertical="center"/>
    </xf>
    <xf numFmtId="180" fontId="48" fillId="0" borderId="27" xfId="1" applyNumberFormat="1" applyFont="1" applyFill="1" applyBorder="1" applyAlignment="1">
      <alignment horizontal="center" vertical="center"/>
    </xf>
    <xf numFmtId="180" fontId="46" fillId="0" borderId="27" xfId="1" applyNumberFormat="1" applyFont="1" applyBorder="1" applyAlignment="1">
      <alignment horizontal="center" vertical="center" wrapText="1"/>
    </xf>
    <xf numFmtId="184" fontId="33" fillId="11" borderId="35" xfId="0" applyNumberFormat="1" applyFont="1" applyFill="1" applyBorder="1" applyAlignment="1">
      <alignment horizontal="center" vertical="center"/>
    </xf>
    <xf numFmtId="0" fontId="33" fillId="11" borderId="35" xfId="0" applyFont="1" applyFill="1" applyBorder="1" applyAlignment="1">
      <alignment horizontal="center" vertical="center"/>
    </xf>
    <xf numFmtId="0" fontId="30" fillId="11" borderId="35" xfId="0" applyFont="1" applyFill="1" applyBorder="1" applyAlignment="1">
      <alignment horizontal="center" vertical="center" wrapText="1"/>
    </xf>
    <xf numFmtId="178" fontId="30" fillId="11" borderId="35" xfId="0" applyNumberFormat="1" applyFont="1" applyFill="1" applyBorder="1" applyAlignment="1">
      <alignment horizontal="center" vertical="center"/>
    </xf>
    <xf numFmtId="178" fontId="48" fillId="11" borderId="35" xfId="0" applyNumberFormat="1" applyFont="1" applyFill="1" applyBorder="1" applyAlignment="1">
      <alignment horizontal="center" vertical="center"/>
    </xf>
    <xf numFmtId="180" fontId="48" fillId="11" borderId="35" xfId="1" applyNumberFormat="1" applyFont="1" applyFill="1" applyBorder="1" applyAlignment="1">
      <alignment horizontal="center" vertical="center"/>
    </xf>
    <xf numFmtId="183" fontId="30" fillId="11" borderId="35" xfId="4" applyNumberFormat="1" applyFont="1" applyFill="1" applyBorder="1" applyAlignment="1">
      <alignment horizontal="right" vertical="center" shrinkToFit="1"/>
    </xf>
    <xf numFmtId="180" fontId="30" fillId="11" borderId="35" xfId="4" applyNumberFormat="1" applyFont="1" applyFill="1" applyBorder="1" applyAlignment="1">
      <alignment vertical="center" shrinkToFit="1"/>
    </xf>
    <xf numFmtId="180" fontId="33" fillId="11" borderId="35" xfId="4" applyNumberFormat="1" applyFont="1" applyFill="1" applyBorder="1" applyAlignment="1">
      <alignment vertical="center" shrinkToFit="1"/>
    </xf>
    <xf numFmtId="187" fontId="33" fillId="11" borderId="35" xfId="138" applyFont="1" applyFill="1" applyBorder="1" applyAlignment="1">
      <alignment horizontal="left" vertical="center" shrinkToFit="1"/>
    </xf>
    <xf numFmtId="187" fontId="33" fillId="11" borderId="35" xfId="138" quotePrefix="1" applyFont="1" applyFill="1" applyBorder="1" applyAlignment="1">
      <alignment vertical="center" shrinkToFit="1"/>
    </xf>
    <xf numFmtId="184" fontId="33" fillId="9" borderId="35" xfId="0" applyNumberFormat="1" applyFont="1" applyFill="1" applyBorder="1" applyAlignment="1">
      <alignment horizontal="center" vertical="center"/>
    </xf>
    <xf numFmtId="0" fontId="46" fillId="9" borderId="35" xfId="0" applyFont="1" applyFill="1" applyBorder="1" applyAlignment="1">
      <alignment horizontal="left" vertical="center"/>
    </xf>
    <xf numFmtId="187" fontId="33" fillId="9" borderId="35" xfId="138" applyFont="1" applyFill="1" applyBorder="1" applyAlignment="1">
      <alignment vertical="center" shrinkToFit="1"/>
    </xf>
    <xf numFmtId="0" fontId="33" fillId="9" borderId="35" xfId="0" applyFont="1" applyFill="1" applyBorder="1" applyAlignment="1">
      <alignment horizontal="center" vertical="center"/>
    </xf>
    <xf numFmtId="178" fontId="30" fillId="9" borderId="35" xfId="0" applyNumberFormat="1" applyFont="1" applyFill="1" applyBorder="1" applyAlignment="1">
      <alignment horizontal="center" vertical="center"/>
    </xf>
    <xf numFmtId="180" fontId="33" fillId="9" borderId="35" xfId="1" applyNumberFormat="1" applyFont="1" applyFill="1" applyBorder="1" applyAlignment="1">
      <alignment horizontal="center" vertical="center"/>
    </xf>
    <xf numFmtId="183" fontId="30" fillId="9" borderId="35" xfId="4" applyNumberFormat="1" applyFont="1" applyFill="1" applyBorder="1" applyAlignment="1">
      <alignment horizontal="right" vertical="center" shrinkToFit="1"/>
    </xf>
    <xf numFmtId="180" fontId="30" fillId="4" borderId="35" xfId="4" applyNumberFormat="1" applyFont="1" applyFill="1" applyBorder="1" applyAlignment="1">
      <alignment vertical="center" shrinkToFit="1"/>
    </xf>
    <xf numFmtId="180" fontId="33" fillId="9" borderId="35" xfId="4" applyNumberFormat="1" applyFont="1" applyFill="1" applyBorder="1" applyAlignment="1">
      <alignment vertical="center" shrinkToFit="1"/>
    </xf>
    <xf numFmtId="187" fontId="33" fillId="9" borderId="35" xfId="138" applyFont="1" applyFill="1" applyBorder="1" applyAlignment="1">
      <alignment horizontal="left" vertical="center" shrinkToFit="1"/>
    </xf>
    <xf numFmtId="187" fontId="33" fillId="9" borderId="35" xfId="138" quotePrefix="1" applyFont="1" applyFill="1" applyBorder="1" applyAlignment="1">
      <alignment vertical="center" shrinkToFit="1"/>
    </xf>
    <xf numFmtId="0" fontId="47" fillId="9" borderId="35" xfId="0" applyFont="1" applyFill="1" applyBorder="1" applyAlignment="1">
      <alignment horizontal="left" vertical="center"/>
    </xf>
    <xf numFmtId="184" fontId="33" fillId="0" borderId="33" xfId="0" applyNumberFormat="1" applyFont="1" applyBorder="1" applyAlignment="1">
      <alignment horizontal="center" vertical="center"/>
    </xf>
    <xf numFmtId="0" fontId="59" fillId="0" borderId="33" xfId="0" applyFont="1" applyBorder="1" applyAlignment="1">
      <alignment horizontal="left" vertical="center"/>
    </xf>
    <xf numFmtId="0" fontId="33" fillId="0" borderId="33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 wrapText="1"/>
    </xf>
    <xf numFmtId="178" fontId="30" fillId="0" borderId="33" xfId="0" applyNumberFormat="1" applyFont="1" applyBorder="1" applyAlignment="1">
      <alignment horizontal="center" vertical="center"/>
    </xf>
    <xf numFmtId="178" fontId="48" fillId="0" borderId="33" xfId="0" applyNumberFormat="1" applyFont="1" applyBorder="1" applyAlignment="1">
      <alignment horizontal="center" vertical="center"/>
    </xf>
    <xf numFmtId="180" fontId="48" fillId="0" borderId="33" xfId="1" applyNumberFormat="1" applyFont="1" applyFill="1" applyBorder="1" applyAlignment="1">
      <alignment horizontal="center" vertical="center"/>
    </xf>
    <xf numFmtId="183" fontId="30" fillId="0" borderId="33" xfId="4" applyNumberFormat="1" applyFont="1" applyFill="1" applyBorder="1" applyAlignment="1">
      <alignment horizontal="right" vertical="center" shrinkToFit="1"/>
    </xf>
    <xf numFmtId="180" fontId="30" fillId="4" borderId="33" xfId="4" applyNumberFormat="1" applyFont="1" applyFill="1" applyBorder="1" applyAlignment="1">
      <alignment vertical="center" shrinkToFit="1"/>
    </xf>
    <xf numFmtId="180" fontId="33" fillId="0" borderId="33" xfId="4" applyNumberFormat="1" applyFont="1" applyFill="1" applyBorder="1" applyAlignment="1">
      <alignment vertical="center" shrinkToFit="1"/>
    </xf>
    <xf numFmtId="187" fontId="33" fillId="0" borderId="33" xfId="138" applyFont="1" applyBorder="1" applyAlignment="1">
      <alignment horizontal="left" vertical="center" shrinkToFit="1"/>
    </xf>
    <xf numFmtId="187" fontId="33" fillId="0" borderId="33" xfId="138" quotePrefix="1" applyFont="1" applyBorder="1" applyAlignment="1">
      <alignment vertical="center" shrinkToFit="1"/>
    </xf>
    <xf numFmtId="0" fontId="47" fillId="9" borderId="34" xfId="0" applyFont="1" applyFill="1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180" fontId="12" fillId="0" borderId="34" xfId="1" applyNumberFormat="1" applyFont="1" applyFill="1" applyBorder="1" applyAlignment="1">
      <alignment horizontal="center" vertical="center"/>
    </xf>
    <xf numFmtId="180" fontId="12" fillId="0" borderId="34" xfId="1" applyNumberFormat="1" applyFont="1" applyFill="1" applyBorder="1">
      <alignment vertical="center"/>
    </xf>
    <xf numFmtId="180" fontId="17" fillId="0" borderId="34" xfId="1" applyNumberFormat="1" applyFont="1" applyFill="1" applyBorder="1" applyAlignment="1">
      <alignment horizontal="center" vertical="center"/>
    </xf>
    <xf numFmtId="41" fontId="12" fillId="0" borderId="34" xfId="1" applyFont="1" applyFill="1" applyBorder="1">
      <alignment vertical="center"/>
    </xf>
    <xf numFmtId="0" fontId="47" fillId="0" borderId="34" xfId="0" applyFont="1" applyBorder="1">
      <alignment vertical="center"/>
    </xf>
    <xf numFmtId="184" fontId="34" fillId="11" borderId="34" xfId="0" applyNumberFormat="1" applyFont="1" applyFill="1" applyBorder="1" applyAlignment="1">
      <alignment horizontal="center" vertical="center"/>
    </xf>
    <xf numFmtId="0" fontId="47" fillId="11" borderId="34" xfId="0" applyFont="1" applyFill="1" applyBorder="1">
      <alignment vertical="center"/>
    </xf>
    <xf numFmtId="0" fontId="34" fillId="11" borderId="34" xfId="0" applyFont="1" applyFill="1" applyBorder="1" applyAlignment="1">
      <alignment horizontal="center" vertical="center"/>
    </xf>
    <xf numFmtId="0" fontId="60" fillId="11" borderId="34" xfId="0" applyFont="1" applyFill="1" applyBorder="1" applyAlignment="1">
      <alignment horizontal="center" vertical="center" wrapText="1"/>
    </xf>
    <xf numFmtId="178" fontId="60" fillId="11" borderId="34" xfId="0" applyNumberFormat="1" applyFont="1" applyFill="1" applyBorder="1" applyAlignment="1">
      <alignment horizontal="center" vertical="center"/>
    </xf>
    <xf numFmtId="178" fontId="49" fillId="11" borderId="34" xfId="0" applyNumberFormat="1" applyFont="1" applyFill="1" applyBorder="1" applyAlignment="1">
      <alignment horizontal="center" vertical="center"/>
    </xf>
    <xf numFmtId="180" fontId="49" fillId="11" borderId="34" xfId="1" applyNumberFormat="1" applyFont="1" applyFill="1" applyBorder="1" applyAlignment="1">
      <alignment horizontal="center" vertical="center"/>
    </xf>
    <xf numFmtId="183" fontId="60" fillId="11" borderId="34" xfId="4" applyNumberFormat="1" applyFont="1" applyFill="1" applyBorder="1" applyAlignment="1">
      <alignment horizontal="right" vertical="center" shrinkToFit="1"/>
    </xf>
    <xf numFmtId="180" fontId="60" fillId="5" borderId="34" xfId="4" applyNumberFormat="1" applyFont="1" applyFill="1" applyBorder="1" applyAlignment="1">
      <alignment vertical="center" shrinkToFit="1"/>
    </xf>
    <xf numFmtId="180" fontId="34" fillId="11" borderId="34" xfId="4" applyNumberFormat="1" applyFont="1" applyFill="1" applyBorder="1" applyAlignment="1">
      <alignment vertical="center" shrinkToFit="1"/>
    </xf>
    <xf numFmtId="187" fontId="34" fillId="11" borderId="34" xfId="138" applyFont="1" applyFill="1" applyBorder="1" applyAlignment="1">
      <alignment horizontal="left" vertical="center" shrinkToFit="1"/>
    </xf>
    <xf numFmtId="187" fontId="34" fillId="11" borderId="34" xfId="138" quotePrefix="1" applyFont="1" applyFill="1" applyBorder="1" applyAlignment="1">
      <alignment vertical="center" shrinkToFit="1"/>
    </xf>
    <xf numFmtId="184" fontId="34" fillId="9" borderId="34" xfId="0" applyNumberFormat="1" applyFont="1" applyFill="1" applyBorder="1" applyAlignment="1">
      <alignment horizontal="center" vertical="center"/>
    </xf>
    <xf numFmtId="0" fontId="47" fillId="9" borderId="34" xfId="0" applyFont="1" applyFill="1" applyBorder="1">
      <alignment vertical="center"/>
    </xf>
    <xf numFmtId="187" fontId="34" fillId="9" borderId="34" xfId="138" applyFont="1" applyFill="1" applyBorder="1" applyAlignment="1">
      <alignment vertical="center" shrinkToFit="1"/>
    </xf>
    <xf numFmtId="0" fontId="34" fillId="9" borderId="34" xfId="0" applyFont="1" applyFill="1" applyBorder="1" applyAlignment="1">
      <alignment horizontal="center" vertical="center"/>
    </xf>
    <xf numFmtId="178" fontId="60" fillId="9" borderId="34" xfId="0" applyNumberFormat="1" applyFont="1" applyFill="1" applyBorder="1" applyAlignment="1">
      <alignment horizontal="center" vertical="center"/>
    </xf>
    <xf numFmtId="180" fontId="34" fillId="9" borderId="34" xfId="1" applyNumberFormat="1" applyFont="1" applyFill="1" applyBorder="1" applyAlignment="1">
      <alignment horizontal="center" vertical="center"/>
    </xf>
    <xf numFmtId="183" fontId="60" fillId="9" borderId="34" xfId="4" applyNumberFormat="1" applyFont="1" applyFill="1" applyBorder="1" applyAlignment="1">
      <alignment horizontal="right" vertical="center" shrinkToFit="1"/>
    </xf>
    <xf numFmtId="180" fontId="34" fillId="9" borderId="34" xfId="4" applyNumberFormat="1" applyFont="1" applyFill="1" applyBorder="1" applyAlignment="1">
      <alignment vertical="center" shrinkToFit="1"/>
    </xf>
    <xf numFmtId="187" fontId="34" fillId="9" borderId="34" xfId="138" applyFont="1" applyFill="1" applyBorder="1" applyAlignment="1">
      <alignment horizontal="left" vertical="center" shrinkToFit="1"/>
    </xf>
    <xf numFmtId="187" fontId="34" fillId="9" borderId="34" xfId="138" quotePrefix="1" applyFont="1" applyFill="1" applyBorder="1" applyAlignment="1">
      <alignment vertical="center" shrinkToFit="1"/>
    </xf>
    <xf numFmtId="184" fontId="34" fillId="0" borderId="34" xfId="0" applyNumberFormat="1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178" fontId="60" fillId="0" borderId="34" xfId="0" applyNumberFormat="1" applyFont="1" applyBorder="1" applyAlignment="1">
      <alignment horizontal="center" vertical="center"/>
    </xf>
    <xf numFmtId="180" fontId="34" fillId="0" borderId="34" xfId="1" applyNumberFormat="1" applyFont="1" applyFill="1" applyBorder="1" applyAlignment="1">
      <alignment horizontal="center" vertical="center"/>
    </xf>
    <xf numFmtId="183" fontId="60" fillId="0" borderId="34" xfId="4" applyNumberFormat="1" applyFont="1" applyFill="1" applyBorder="1" applyAlignment="1">
      <alignment horizontal="right" vertical="center" shrinkToFit="1"/>
    </xf>
    <xf numFmtId="180" fontId="34" fillId="0" borderId="34" xfId="4" applyNumberFormat="1" applyFont="1" applyFill="1" applyBorder="1" applyAlignment="1">
      <alignment vertical="center" shrinkToFit="1"/>
    </xf>
    <xf numFmtId="187" fontId="34" fillId="0" borderId="34" xfId="138" applyFont="1" applyBorder="1" applyAlignment="1">
      <alignment horizontal="left" vertical="center" shrinkToFit="1"/>
    </xf>
    <xf numFmtId="187" fontId="34" fillId="0" borderId="34" xfId="138" quotePrefix="1" applyFont="1" applyBorder="1" applyAlignment="1">
      <alignment vertical="center" shrinkToFit="1"/>
    </xf>
    <xf numFmtId="0" fontId="60" fillId="0" borderId="34" xfId="0" applyFont="1" applyBorder="1" applyAlignment="1">
      <alignment horizontal="center" vertical="center"/>
    </xf>
    <xf numFmtId="0" fontId="34" fillId="0" borderId="34" xfId="138" applyNumberFormat="1" applyFont="1" applyBorder="1" applyAlignment="1">
      <alignment horizontal="center" vertical="center" wrapText="1" shrinkToFit="1"/>
    </xf>
    <xf numFmtId="187" fontId="61" fillId="0" borderId="34" xfId="138" applyFont="1" applyBorder="1">
      <alignment vertical="center"/>
    </xf>
    <xf numFmtId="0" fontId="34" fillId="0" borderId="34" xfId="0" applyFont="1" applyBorder="1">
      <alignment vertical="center"/>
    </xf>
    <xf numFmtId="178" fontId="34" fillId="0" borderId="34" xfId="0" applyNumberFormat="1" applyFont="1" applyBorder="1" applyAlignment="1">
      <alignment horizontal="center" vertical="center"/>
    </xf>
    <xf numFmtId="0" fontId="61" fillId="0" borderId="34" xfId="0" applyFont="1" applyBorder="1" applyAlignment="1">
      <alignment horizontal="center" vertical="center"/>
    </xf>
    <xf numFmtId="187" fontId="34" fillId="0" borderId="34" xfId="138" applyFont="1" applyBorder="1" applyAlignment="1">
      <alignment vertical="center" shrinkToFit="1"/>
    </xf>
    <xf numFmtId="180" fontId="47" fillId="0" borderId="34" xfId="1" applyNumberFormat="1" applyFont="1" applyFill="1" applyBorder="1" applyAlignment="1">
      <alignment horizontal="center" vertical="center"/>
    </xf>
    <xf numFmtId="180" fontId="60" fillId="0" borderId="34" xfId="1" applyNumberFormat="1" applyFont="1" applyFill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180" fontId="47" fillId="0" borderId="34" xfId="1" applyNumberFormat="1" applyFont="1" applyBorder="1" applyAlignment="1">
      <alignment horizontal="center" vertical="center"/>
    </xf>
    <xf numFmtId="180" fontId="60" fillId="0" borderId="34" xfId="1" applyNumberFormat="1" applyFont="1" applyFill="1" applyBorder="1" applyAlignment="1">
      <alignment horizontal="center" vertical="center" wrapText="1"/>
    </xf>
    <xf numFmtId="41" fontId="60" fillId="0" borderId="34" xfId="1" applyFont="1" applyFill="1" applyBorder="1" applyAlignment="1">
      <alignment horizontal="center" vertical="center" wrapText="1"/>
    </xf>
    <xf numFmtId="0" fontId="47" fillId="0" borderId="34" xfId="0" applyFont="1" applyBorder="1" applyAlignment="1">
      <alignment horizontal="center" vertical="center" wrapText="1"/>
    </xf>
    <xf numFmtId="41" fontId="47" fillId="0" borderId="34" xfId="1" applyFont="1" applyBorder="1" applyAlignment="1">
      <alignment horizontal="center" vertical="center" wrapText="1"/>
    </xf>
    <xf numFmtId="0" fontId="46" fillId="11" borderId="35" xfId="0" applyFont="1" applyFill="1" applyBorder="1" applyAlignment="1">
      <alignment horizontal="left" vertical="center"/>
    </xf>
    <xf numFmtId="191" fontId="60" fillId="5" borderId="34" xfId="4" applyNumberFormat="1" applyFont="1" applyFill="1" applyBorder="1" applyAlignment="1">
      <alignment vertical="center" shrinkToFit="1"/>
    </xf>
    <xf numFmtId="180" fontId="61" fillId="0" borderId="34" xfId="4" applyNumberFormat="1" applyFont="1" applyFill="1" applyBorder="1" applyAlignment="1">
      <alignment vertical="center" shrinkToFit="1"/>
    </xf>
    <xf numFmtId="0" fontId="33" fillId="4" borderId="27" xfId="0" applyFont="1" applyFill="1" applyBorder="1" applyAlignment="1">
      <alignment horizontal="center" vertical="center"/>
    </xf>
    <xf numFmtId="0" fontId="57" fillId="0" borderId="0" xfId="176">
      <alignment vertical="center"/>
    </xf>
    <xf numFmtId="0" fontId="12" fillId="0" borderId="1" xfId="176" applyFont="1" applyBorder="1" applyAlignment="1">
      <alignment horizontal="center" vertical="center"/>
    </xf>
    <xf numFmtId="185" fontId="12" fillId="0" borderId="1" xfId="176" applyNumberFormat="1" applyFont="1" applyBorder="1" applyAlignment="1">
      <alignment horizontal="center" vertical="center"/>
    </xf>
    <xf numFmtId="0" fontId="57" fillId="0" borderId="1" xfId="176" applyBorder="1">
      <alignment vertical="center"/>
    </xf>
    <xf numFmtId="185" fontId="57" fillId="0" borderId="1" xfId="176" applyNumberFormat="1" applyBorder="1">
      <alignment vertical="center"/>
    </xf>
    <xf numFmtId="0" fontId="12" fillId="0" borderId="12" xfId="176" applyFont="1" applyBorder="1" applyAlignment="1">
      <alignment horizontal="center" vertical="center"/>
    </xf>
    <xf numFmtId="0" fontId="64" fillId="0" borderId="0" xfId="176" applyFont="1" applyAlignment="1">
      <alignment horizontal="left" vertical="center"/>
    </xf>
    <xf numFmtId="0" fontId="65" fillId="0" borderId="0" xfId="176" applyFont="1">
      <alignment vertical="center"/>
    </xf>
    <xf numFmtId="0" fontId="65" fillId="0" borderId="0" xfId="176" applyFont="1" applyAlignment="1">
      <alignment horizontal="center" vertical="center"/>
    </xf>
    <xf numFmtId="0" fontId="67" fillId="2" borderId="1" xfId="176" applyFont="1" applyFill="1" applyBorder="1" applyAlignment="1">
      <alignment horizontal="center" vertical="center"/>
    </xf>
    <xf numFmtId="180" fontId="67" fillId="2" borderId="1" xfId="4" applyNumberFormat="1" applyFont="1" applyFill="1" applyBorder="1" applyAlignment="1">
      <alignment horizontal="center" vertical="center" wrapText="1"/>
    </xf>
    <xf numFmtId="0" fontId="68" fillId="0" borderId="12" xfId="176" applyFont="1" applyBorder="1" applyAlignment="1">
      <alignment horizontal="center" vertical="center"/>
    </xf>
    <xf numFmtId="185" fontId="65" fillId="0" borderId="15" xfId="176" applyNumberFormat="1" applyFont="1" applyBorder="1">
      <alignment vertical="center"/>
    </xf>
    <xf numFmtId="41" fontId="47" fillId="0" borderId="15" xfId="4" applyFont="1" applyFill="1" applyBorder="1" applyAlignment="1">
      <alignment horizontal="center" vertical="center"/>
    </xf>
    <xf numFmtId="180" fontId="65" fillId="12" borderId="0" xfId="176" applyNumberFormat="1" applyFont="1" applyFill="1">
      <alignment vertical="center"/>
    </xf>
    <xf numFmtId="180" fontId="65" fillId="0" borderId="0" xfId="4" applyNumberFormat="1" applyFont="1">
      <alignment vertical="center"/>
    </xf>
    <xf numFmtId="180" fontId="65" fillId="0" borderId="0" xfId="177" applyNumberFormat="1" applyFont="1">
      <alignment vertical="center"/>
    </xf>
    <xf numFmtId="185" fontId="69" fillId="0" borderId="15" xfId="0" applyNumberFormat="1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70" fillId="0" borderId="0" xfId="137" applyNumberFormat="1" applyFont="1" applyAlignment="1">
      <alignment vertical="center"/>
    </xf>
    <xf numFmtId="184" fontId="70" fillId="0" borderId="0" xfId="137" applyNumberFormat="1" applyFont="1" applyAlignment="1">
      <alignment horizontal="center" vertical="center"/>
    </xf>
    <xf numFmtId="187" fontId="70" fillId="0" borderId="0" xfId="137" applyFont="1" applyAlignment="1">
      <alignment horizontal="left" vertical="center"/>
    </xf>
    <xf numFmtId="187" fontId="70" fillId="0" borderId="0" xfId="137" applyFont="1" applyAlignment="1">
      <alignment horizontal="center" vertical="center"/>
    </xf>
    <xf numFmtId="179" fontId="70" fillId="0" borderId="0" xfId="4" applyNumberFormat="1" applyFont="1" applyFill="1" applyAlignment="1">
      <alignment vertical="center"/>
    </xf>
    <xf numFmtId="188" fontId="70" fillId="0" borderId="0" xfId="4" applyNumberFormat="1" applyFont="1" applyFill="1" applyAlignment="1">
      <alignment vertical="center" shrinkToFit="1"/>
    </xf>
    <xf numFmtId="179" fontId="70" fillId="0" borderId="0" xfId="4" applyNumberFormat="1" applyFont="1" applyFill="1" applyAlignment="1">
      <alignment vertical="center" shrinkToFit="1"/>
    </xf>
    <xf numFmtId="179" fontId="70" fillId="0" borderId="0" xfId="4" applyNumberFormat="1" applyFont="1" applyFill="1" applyAlignment="1">
      <alignment horizontal="center" vertical="center" shrinkToFit="1"/>
    </xf>
    <xf numFmtId="179" fontId="70" fillId="0" borderId="0" xfId="4" applyNumberFormat="1" applyFont="1" applyFill="1" applyBorder="1" applyAlignment="1">
      <alignment vertical="center"/>
    </xf>
    <xf numFmtId="179" fontId="70" fillId="0" borderId="0" xfId="137" applyNumberFormat="1" applyFont="1" applyAlignment="1">
      <alignment vertical="center"/>
    </xf>
    <xf numFmtId="187" fontId="70" fillId="0" borderId="0" xfId="137" applyFont="1" applyAlignment="1">
      <alignment vertical="center"/>
    </xf>
    <xf numFmtId="187" fontId="70" fillId="0" borderId="0" xfId="137" applyFont="1" applyAlignment="1">
      <alignment vertical="center" shrinkToFit="1"/>
    </xf>
    <xf numFmtId="0" fontId="71" fillId="0" borderId="0" xfId="137" applyNumberFormat="1" applyFont="1" applyAlignment="1">
      <alignment vertical="center"/>
    </xf>
    <xf numFmtId="187" fontId="72" fillId="0" borderId="0" xfId="138" applyFont="1">
      <alignment vertical="center"/>
    </xf>
    <xf numFmtId="0" fontId="72" fillId="0" borderId="0" xfId="138" applyNumberFormat="1" applyFont="1">
      <alignment vertical="center"/>
    </xf>
    <xf numFmtId="184" fontId="74" fillId="0" borderId="0" xfId="138" applyNumberFormat="1" applyFont="1" applyAlignment="1">
      <alignment horizontal="left" vertical="center"/>
    </xf>
    <xf numFmtId="187" fontId="72" fillId="0" borderId="0" xfId="138" applyFont="1" applyAlignment="1">
      <alignment horizontal="left" vertical="center"/>
    </xf>
    <xf numFmtId="43" fontId="72" fillId="0" borderId="0" xfId="138" applyNumberFormat="1" applyFont="1" applyAlignment="1">
      <alignment horizontal="left" vertical="center"/>
    </xf>
    <xf numFmtId="187" fontId="72" fillId="0" borderId="0" xfId="138" applyFont="1" applyAlignment="1">
      <alignment vertical="center" shrinkToFit="1"/>
    </xf>
    <xf numFmtId="0" fontId="71" fillId="0" borderId="0" xfId="0" applyFont="1" applyAlignment="1">
      <alignment horizontal="left" vertical="center"/>
    </xf>
    <xf numFmtId="180" fontId="72" fillId="0" borderId="0" xfId="4" applyNumberFormat="1" applyFont="1">
      <alignment vertical="center"/>
    </xf>
    <xf numFmtId="180" fontId="72" fillId="0" borderId="0" xfId="4" applyNumberFormat="1" applyFont="1" applyAlignment="1">
      <alignment horizontal="center" vertical="center" shrinkToFit="1"/>
    </xf>
    <xf numFmtId="179" fontId="76" fillId="0" borderId="0" xfId="4" quotePrefix="1" applyNumberFormat="1" applyFont="1" applyFill="1" applyBorder="1" applyAlignment="1">
      <alignment horizontal="left" vertical="center"/>
    </xf>
    <xf numFmtId="187" fontId="72" fillId="0" borderId="0" xfId="138" applyFont="1" applyAlignment="1">
      <alignment horizontal="center" vertical="center"/>
    </xf>
    <xf numFmtId="180" fontId="72" fillId="0" borderId="0" xfId="4" applyNumberFormat="1" applyFont="1" applyFill="1" applyBorder="1">
      <alignment vertical="center"/>
    </xf>
    <xf numFmtId="0" fontId="71" fillId="0" borderId="0" xfId="138" applyNumberFormat="1" applyFont="1">
      <alignment vertical="center"/>
    </xf>
    <xf numFmtId="0" fontId="77" fillId="0" borderId="0" xfId="137" applyNumberFormat="1" applyFont="1" applyAlignment="1">
      <alignment vertical="center"/>
    </xf>
    <xf numFmtId="179" fontId="77" fillId="0" borderId="0" xfId="4" quotePrefix="1" applyNumberFormat="1" applyFont="1" applyFill="1" applyAlignment="1">
      <alignment horizontal="left" vertical="center"/>
    </xf>
    <xf numFmtId="179" fontId="77" fillId="0" borderId="0" xfId="4" applyNumberFormat="1" applyFont="1" applyFill="1" applyAlignment="1">
      <alignment horizontal="left" vertical="center"/>
    </xf>
    <xf numFmtId="4" fontId="71" fillId="0" borderId="0" xfId="0" applyNumberFormat="1" applyFont="1">
      <alignment vertical="center"/>
    </xf>
    <xf numFmtId="179" fontId="77" fillId="0" borderId="0" xfId="137" applyNumberFormat="1" applyFont="1" applyAlignment="1">
      <alignment horizontal="left" vertical="center" shrinkToFit="1"/>
    </xf>
    <xf numFmtId="187" fontId="77" fillId="0" borderId="0" xfId="138" applyFont="1">
      <alignment vertical="center"/>
    </xf>
    <xf numFmtId="179" fontId="77" fillId="0" borderId="0" xfId="4" applyNumberFormat="1" applyFont="1" applyFill="1" applyAlignment="1">
      <alignment horizontal="center" vertical="center" shrinkToFit="1"/>
    </xf>
    <xf numFmtId="184" fontId="76" fillId="2" borderId="1" xfId="4" applyNumberFormat="1" applyFont="1" applyFill="1" applyBorder="1" applyAlignment="1">
      <alignment horizontal="center" vertical="center"/>
    </xf>
    <xf numFmtId="179" fontId="76" fillId="2" borderId="1" xfId="4" applyNumberFormat="1" applyFont="1" applyFill="1" applyBorder="1" applyAlignment="1">
      <alignment horizontal="left" vertical="center"/>
    </xf>
    <xf numFmtId="179" fontId="76" fillId="2" borderId="1" xfId="4" applyNumberFormat="1" applyFont="1" applyFill="1" applyBorder="1" applyAlignment="1">
      <alignment horizontal="center" vertical="center"/>
    </xf>
    <xf numFmtId="179" fontId="76" fillId="2" borderId="1" xfId="4" applyNumberFormat="1" applyFont="1" applyFill="1" applyBorder="1" applyAlignment="1">
      <alignment horizontal="center" vertical="center" wrapText="1"/>
    </xf>
    <xf numFmtId="179" fontId="76" fillId="2" borderId="1" xfId="4" applyNumberFormat="1" applyFont="1" applyFill="1" applyBorder="1" applyAlignment="1">
      <alignment horizontal="center" vertical="center" shrinkToFit="1"/>
    </xf>
    <xf numFmtId="180" fontId="76" fillId="2" borderId="1" xfId="4" applyNumberFormat="1" applyFont="1" applyFill="1" applyBorder="1" applyAlignment="1">
      <alignment horizontal="center" vertical="center" shrinkToFit="1"/>
    </xf>
    <xf numFmtId="184" fontId="72" fillId="0" borderId="1" xfId="138" applyNumberFormat="1" applyFont="1" applyBorder="1" applyAlignment="1">
      <alignment horizontal="left" vertical="center"/>
    </xf>
    <xf numFmtId="187" fontId="72" fillId="0" borderId="1" xfId="138" applyFont="1" applyBorder="1" applyAlignment="1">
      <alignment horizontal="left" vertical="center"/>
    </xf>
    <xf numFmtId="180" fontId="72" fillId="0" borderId="1" xfId="4" applyNumberFormat="1" applyFont="1" applyBorder="1">
      <alignment vertical="center"/>
    </xf>
    <xf numFmtId="41" fontId="72" fillId="0" borderId="1" xfId="4" applyFont="1" applyBorder="1" applyAlignment="1">
      <alignment vertical="center" shrinkToFit="1"/>
    </xf>
    <xf numFmtId="187" fontId="70" fillId="0" borderId="0" xfId="4" applyNumberFormat="1" applyFont="1" applyAlignment="1">
      <alignment vertical="center" shrinkToFit="1"/>
    </xf>
    <xf numFmtId="187" fontId="72" fillId="0" borderId="1" xfId="138" applyFont="1" applyBorder="1">
      <alignment vertical="center"/>
    </xf>
    <xf numFmtId="180" fontId="70" fillId="0" borderId="1" xfId="4" applyNumberFormat="1" applyFont="1" applyBorder="1">
      <alignment vertical="center"/>
    </xf>
    <xf numFmtId="180" fontId="70" fillId="0" borderId="1" xfId="4" applyNumberFormat="1" applyFont="1" applyBorder="1" applyAlignment="1">
      <alignment horizontal="center" vertical="center"/>
    </xf>
    <xf numFmtId="41" fontId="72" fillId="0" borderId="1" xfId="4" applyFont="1" applyFill="1" applyBorder="1" applyAlignment="1">
      <alignment vertical="center" shrinkToFit="1"/>
    </xf>
    <xf numFmtId="41" fontId="71" fillId="0" borderId="0" xfId="138" applyNumberFormat="1" applyFont="1">
      <alignment vertical="center"/>
    </xf>
    <xf numFmtId="187" fontId="72" fillId="0" borderId="0" xfId="4" applyNumberFormat="1" applyFont="1" applyAlignment="1">
      <alignment vertical="center" shrinkToFit="1"/>
    </xf>
    <xf numFmtId="187" fontId="73" fillId="0" borderId="0" xfId="4" applyNumberFormat="1" applyFont="1" applyAlignment="1">
      <alignment vertical="center" shrinkToFit="1"/>
    </xf>
    <xf numFmtId="180" fontId="70" fillId="0" borderId="1" xfId="4" applyNumberFormat="1" applyFont="1" applyFill="1" applyBorder="1">
      <alignment vertical="center"/>
    </xf>
    <xf numFmtId="180" fontId="70" fillId="0" borderId="1" xfId="4" applyNumberFormat="1" applyFont="1" applyFill="1" applyBorder="1" applyAlignment="1">
      <alignment horizontal="center" vertical="center"/>
    </xf>
    <xf numFmtId="187" fontId="71" fillId="0" borderId="0" xfId="4" applyNumberFormat="1" applyFont="1" applyAlignment="1">
      <alignment vertical="center" shrinkToFit="1"/>
    </xf>
    <xf numFmtId="43" fontId="71" fillId="0" borderId="0" xfId="138" applyNumberFormat="1" applyFont="1" applyAlignment="1">
      <alignment vertical="center" shrinkToFit="1"/>
    </xf>
    <xf numFmtId="187" fontId="72" fillId="3" borderId="1" xfId="138" applyFont="1" applyFill="1" applyBorder="1">
      <alignment vertical="center"/>
    </xf>
    <xf numFmtId="187" fontId="72" fillId="3" borderId="1" xfId="138" applyFont="1" applyFill="1" applyBorder="1" applyAlignment="1">
      <alignment horizontal="left" vertical="center"/>
    </xf>
    <xf numFmtId="41" fontId="72" fillId="3" borderId="1" xfId="4" applyFont="1" applyFill="1" applyBorder="1" applyAlignment="1">
      <alignment vertical="center" shrinkToFit="1"/>
    </xf>
    <xf numFmtId="43" fontId="71" fillId="0" borderId="0" xfId="138" applyNumberFormat="1" applyFont="1" applyAlignment="1">
      <alignment horizontal="right" vertical="center" shrinkToFit="1"/>
    </xf>
    <xf numFmtId="180" fontId="72" fillId="3" borderId="1" xfId="4" applyNumberFormat="1" applyFont="1" applyFill="1" applyBorder="1">
      <alignment vertical="center"/>
    </xf>
    <xf numFmtId="180" fontId="73" fillId="3" borderId="1" xfId="4" applyNumberFormat="1" applyFont="1" applyFill="1" applyBorder="1" applyAlignment="1">
      <alignment horizontal="center" vertical="center"/>
    </xf>
    <xf numFmtId="41" fontId="73" fillId="3" borderId="1" xfId="4" applyFont="1" applyFill="1" applyBorder="1" applyAlignment="1">
      <alignment vertical="center" shrinkToFit="1"/>
    </xf>
    <xf numFmtId="180" fontId="71" fillId="0" borderId="0" xfId="4" applyNumberFormat="1" applyFont="1" applyAlignment="1">
      <alignment vertical="center" shrinkToFit="1"/>
    </xf>
    <xf numFmtId="178" fontId="72" fillId="0" borderId="1" xfId="4" applyNumberFormat="1" applyFont="1" applyBorder="1">
      <alignment vertical="center"/>
    </xf>
    <xf numFmtId="25" fontId="71" fillId="0" borderId="0" xfId="138" applyNumberFormat="1" applyFont="1" applyAlignment="1">
      <alignment horizontal="right" vertical="center" shrinkToFit="1"/>
    </xf>
    <xf numFmtId="180" fontId="72" fillId="0" borderId="1" xfId="4" applyNumberFormat="1" applyFont="1" applyBorder="1" applyAlignment="1">
      <alignment vertical="center" shrinkToFit="1"/>
    </xf>
    <xf numFmtId="180" fontId="72" fillId="0" borderId="1" xfId="4" applyNumberFormat="1" applyFont="1" applyBorder="1" applyAlignment="1">
      <alignment horizontal="center" vertical="center"/>
    </xf>
    <xf numFmtId="0" fontId="70" fillId="0" borderId="0" xfId="137" applyNumberFormat="1" applyFont="1" applyAlignment="1">
      <alignment vertical="center" shrinkToFit="1"/>
    </xf>
    <xf numFmtId="184" fontId="76" fillId="2" borderId="3" xfId="138" applyNumberFormat="1" applyFont="1" applyFill="1" applyBorder="1" applyAlignment="1">
      <alignment horizontal="center" vertical="center" shrinkToFit="1"/>
    </xf>
    <xf numFmtId="187" fontId="76" fillId="2" borderId="4" xfId="138" applyFont="1" applyFill="1" applyBorder="1" applyAlignment="1">
      <alignment horizontal="left" vertical="center" shrinkToFit="1"/>
    </xf>
    <xf numFmtId="180" fontId="76" fillId="2" borderId="1" xfId="4" applyNumberFormat="1" applyFont="1" applyFill="1" applyBorder="1" applyAlignment="1">
      <alignment vertical="center" shrinkToFit="1"/>
    </xf>
    <xf numFmtId="180" fontId="79" fillId="2" borderId="1" xfId="4" applyNumberFormat="1" applyFont="1" applyFill="1" applyBorder="1" applyAlignment="1">
      <alignment vertical="center" shrinkToFit="1"/>
    </xf>
    <xf numFmtId="41" fontId="76" fillId="2" borderId="1" xfId="4" applyFont="1" applyFill="1" applyBorder="1" applyAlignment="1">
      <alignment vertical="center" shrinkToFit="1"/>
    </xf>
    <xf numFmtId="5" fontId="71" fillId="0" borderId="0" xfId="138" applyNumberFormat="1" applyFont="1" applyAlignment="1">
      <alignment horizontal="right" vertical="center" shrinkToFit="1"/>
    </xf>
    <xf numFmtId="187" fontId="76" fillId="2" borderId="4" xfId="138" applyFont="1" applyFill="1" applyBorder="1" applyAlignment="1">
      <alignment horizontal="center" vertical="center" shrinkToFit="1"/>
    </xf>
    <xf numFmtId="187" fontId="73" fillId="0" borderId="0" xfId="138" applyFont="1" applyAlignment="1">
      <alignment vertical="center" shrinkToFit="1"/>
    </xf>
    <xf numFmtId="187" fontId="72" fillId="0" borderId="0" xfId="138" applyFont="1" applyAlignment="1">
      <alignment horizontal="center" vertical="center" shrinkToFit="1"/>
    </xf>
    <xf numFmtId="180" fontId="72" fillId="0" borderId="0" xfId="4" applyNumberFormat="1" applyFont="1" applyAlignment="1">
      <alignment vertical="center" shrinkToFit="1"/>
    </xf>
    <xf numFmtId="184" fontId="72" fillId="0" borderId="0" xfId="138" applyNumberFormat="1" applyFont="1" applyAlignment="1">
      <alignment horizontal="center" vertical="center"/>
    </xf>
    <xf numFmtId="180" fontId="70" fillId="0" borderId="0" xfId="4" applyNumberFormat="1" applyFont="1" applyAlignment="1">
      <alignment horizontal="left" vertical="center"/>
    </xf>
    <xf numFmtId="41" fontId="70" fillId="0" borderId="0" xfId="1" applyFont="1" applyAlignment="1">
      <alignment horizontal="left" vertical="center"/>
    </xf>
    <xf numFmtId="187" fontId="73" fillId="0" borderId="0" xfId="138" applyFont="1" applyAlignment="1">
      <alignment horizontal="right" vertical="center" shrinkToFit="1"/>
    </xf>
    <xf numFmtId="187" fontId="71" fillId="0" borderId="0" xfId="138" applyFont="1" applyAlignment="1">
      <alignment vertical="center" shrinkToFit="1"/>
    </xf>
    <xf numFmtId="41" fontId="71" fillId="0" borderId="0" xfId="1" applyFont="1" applyAlignment="1">
      <alignment vertical="center" shrinkToFit="1"/>
    </xf>
    <xf numFmtId="41" fontId="72" fillId="0" borderId="0" xfId="4" applyFont="1" applyAlignment="1">
      <alignment horizontal="left" vertical="center"/>
    </xf>
    <xf numFmtId="180" fontId="80" fillId="0" borderId="0" xfId="1" applyNumberFormat="1" applyFont="1" applyAlignment="1">
      <alignment horizontal="center" vertical="center"/>
    </xf>
    <xf numFmtId="184" fontId="81" fillId="2" borderId="27" xfId="4" applyNumberFormat="1" applyFont="1" applyFill="1" applyBorder="1" applyAlignment="1">
      <alignment horizontal="center" vertical="center"/>
    </xf>
    <xf numFmtId="179" fontId="81" fillId="2" borderId="27" xfId="4" applyNumberFormat="1" applyFont="1" applyFill="1" applyBorder="1" applyAlignment="1">
      <alignment horizontal="left" vertical="center"/>
    </xf>
    <xf numFmtId="179" fontId="81" fillId="2" borderId="27" xfId="4" applyNumberFormat="1" applyFont="1" applyFill="1" applyBorder="1" applyAlignment="1">
      <alignment horizontal="center" vertical="center"/>
    </xf>
    <xf numFmtId="179" fontId="81" fillId="2" borderId="27" xfId="4" applyNumberFormat="1" applyFont="1" applyFill="1" applyBorder="1" applyAlignment="1">
      <alignment horizontal="center" vertical="center" shrinkToFit="1"/>
    </xf>
    <xf numFmtId="180" fontId="76" fillId="2" borderId="27" xfId="4" applyNumberFormat="1" applyFont="1" applyFill="1" applyBorder="1" applyAlignment="1">
      <alignment horizontal="center" vertical="center"/>
    </xf>
    <xf numFmtId="180" fontId="76" fillId="2" borderId="27" xfId="4" applyNumberFormat="1" applyFont="1" applyFill="1" applyBorder="1" applyAlignment="1">
      <alignment horizontal="center" vertical="center" shrinkToFit="1"/>
    </xf>
    <xf numFmtId="180" fontId="76" fillId="2" borderId="27" xfId="1" applyNumberFormat="1" applyFont="1" applyFill="1" applyBorder="1" applyAlignment="1">
      <alignment horizontal="center" vertical="center"/>
    </xf>
    <xf numFmtId="179" fontId="76" fillId="2" borderId="27" xfId="4" applyNumberFormat="1" applyFont="1" applyFill="1" applyBorder="1" applyAlignment="1">
      <alignment horizontal="center" vertical="center" shrinkToFit="1"/>
    </xf>
    <xf numFmtId="180" fontId="72" fillId="0" borderId="0" xfId="1" applyNumberFormat="1" applyFont="1" applyFill="1">
      <alignment vertical="center"/>
    </xf>
    <xf numFmtId="0" fontId="47" fillId="0" borderId="2" xfId="0" applyFont="1" applyBorder="1" applyAlignment="1">
      <alignment horizontal="center" vertical="center"/>
    </xf>
    <xf numFmtId="185" fontId="69" fillId="6" borderId="15" xfId="0" applyNumberFormat="1" applyFont="1" applyFill="1" applyBorder="1" applyAlignment="1">
      <alignment horizontal="center" vertical="center"/>
    </xf>
    <xf numFmtId="180" fontId="47" fillId="6" borderId="16" xfId="0" applyNumberFormat="1" applyFont="1" applyFill="1" applyBorder="1" applyAlignment="1">
      <alignment horizontal="center" vertical="center"/>
    </xf>
    <xf numFmtId="180" fontId="47" fillId="0" borderId="16" xfId="0" applyNumberFormat="1" applyFont="1" applyBorder="1" applyAlignment="1">
      <alignment horizontal="center" vertical="center"/>
    </xf>
    <xf numFmtId="179" fontId="77" fillId="0" borderId="0" xfId="4" applyNumberFormat="1" applyFont="1" applyFill="1" applyAlignment="1">
      <alignment vertical="center"/>
    </xf>
    <xf numFmtId="180" fontId="76" fillId="2" borderId="1" xfId="4" applyNumberFormat="1" applyFont="1" applyFill="1" applyBorder="1" applyAlignment="1">
      <alignment vertical="center" wrapText="1"/>
    </xf>
    <xf numFmtId="180" fontId="72" fillId="0" borderId="2" xfId="4" applyNumberFormat="1" applyFont="1" applyFill="1" applyBorder="1" applyAlignment="1">
      <alignment vertical="center"/>
    </xf>
    <xf numFmtId="180" fontId="72" fillId="0" borderId="1" xfId="4" applyNumberFormat="1" applyFont="1" applyBorder="1" applyAlignment="1">
      <alignment vertical="center"/>
    </xf>
    <xf numFmtId="180" fontId="70" fillId="0" borderId="0" xfId="4" applyNumberFormat="1" applyFont="1" applyAlignment="1">
      <alignment vertical="center"/>
    </xf>
    <xf numFmtId="41" fontId="72" fillId="0" borderId="0" xfId="4" applyFont="1" applyAlignment="1">
      <alignment vertical="center"/>
    </xf>
    <xf numFmtId="187" fontId="81" fillId="2" borderId="27" xfId="4" applyNumberFormat="1" applyFont="1" applyFill="1" applyBorder="1" applyAlignment="1">
      <alignment vertical="center"/>
    </xf>
    <xf numFmtId="0" fontId="83" fillId="0" borderId="2" xfId="0" applyFont="1" applyBorder="1" applyAlignment="1">
      <alignment horizontal="center" vertical="center"/>
    </xf>
    <xf numFmtId="185" fontId="84" fillId="0" borderId="15" xfId="0" applyNumberFormat="1" applyFont="1" applyBorder="1" applyAlignment="1">
      <alignment horizontal="center" vertical="center"/>
    </xf>
    <xf numFmtId="0" fontId="63" fillId="0" borderId="0" xfId="176" applyFont="1">
      <alignment vertical="center"/>
    </xf>
    <xf numFmtId="0" fontId="85" fillId="0" borderId="0" xfId="176" applyFont="1">
      <alignment vertical="center"/>
    </xf>
    <xf numFmtId="187" fontId="73" fillId="0" borderId="0" xfId="138" applyFont="1">
      <alignment vertical="center"/>
    </xf>
    <xf numFmtId="179" fontId="76" fillId="2" borderId="27" xfId="138" applyNumberFormat="1" applyFont="1" applyFill="1" applyBorder="1" applyAlignment="1">
      <alignment horizontal="center" vertical="center"/>
    </xf>
    <xf numFmtId="179" fontId="76" fillId="2" borderId="27" xfId="4" applyNumberFormat="1" applyFont="1" applyFill="1" applyBorder="1" applyAlignment="1">
      <alignment horizontal="center" vertical="center"/>
    </xf>
    <xf numFmtId="0" fontId="72" fillId="0" borderId="0" xfId="138" applyNumberFormat="1" applyFont="1" applyFill="1">
      <alignment vertical="center"/>
    </xf>
    <xf numFmtId="187" fontId="72" fillId="0" borderId="0" xfId="138" applyFont="1" applyFill="1">
      <alignment vertical="center"/>
    </xf>
    <xf numFmtId="187" fontId="73" fillId="0" borderId="0" xfId="138" applyFont="1" applyFill="1">
      <alignment vertical="center"/>
    </xf>
    <xf numFmtId="187" fontId="72" fillId="0" borderId="0" xfId="138" applyFont="1" applyFill="1" applyAlignment="1">
      <alignment vertical="center" shrinkToFit="1"/>
    </xf>
    <xf numFmtId="180" fontId="21" fillId="2" borderId="11" xfId="563" applyNumberFormat="1" applyFont="1" applyFill="1" applyBorder="1" applyAlignment="1">
      <alignment horizontal="center" vertical="center" wrapText="1"/>
    </xf>
    <xf numFmtId="180" fontId="21" fillId="2" borderId="11" xfId="563" applyNumberFormat="1" applyFont="1" applyFill="1" applyBorder="1" applyAlignment="1">
      <alignment horizontal="center" vertical="center"/>
    </xf>
    <xf numFmtId="43" fontId="15" fillId="2" borderId="11" xfId="563" applyNumberFormat="1" applyFont="1" applyFill="1" applyBorder="1" applyAlignment="1">
      <alignment horizontal="center" vertical="center"/>
    </xf>
    <xf numFmtId="178" fontId="15" fillId="2" borderId="11" xfId="563" applyNumberFormat="1" applyFont="1" applyFill="1" applyBorder="1" applyAlignment="1">
      <alignment horizontal="center" vertical="center"/>
    </xf>
    <xf numFmtId="180" fontId="12" fillId="0" borderId="11" xfId="563" applyNumberFormat="1" applyFont="1" applyBorder="1">
      <alignment vertical="center"/>
    </xf>
    <xf numFmtId="180" fontId="12" fillId="0" borderId="20" xfId="563" applyNumberFormat="1" applyFont="1" applyBorder="1">
      <alignment vertical="center"/>
    </xf>
    <xf numFmtId="183" fontId="17" fillId="3" borderId="11" xfId="563" applyNumberFormat="1" applyFont="1" applyFill="1" applyBorder="1" applyAlignment="1">
      <alignment horizontal="center" vertical="center"/>
    </xf>
    <xf numFmtId="43" fontId="17" fillId="7" borderId="11" xfId="564" applyNumberFormat="1" applyFont="1" applyFill="1" applyBorder="1">
      <alignment vertical="center"/>
    </xf>
    <xf numFmtId="178" fontId="17" fillId="7" borderId="11" xfId="564" applyNumberFormat="1" applyFont="1" applyFill="1" applyBorder="1">
      <alignment vertical="center"/>
    </xf>
    <xf numFmtId="180" fontId="24" fillId="7" borderId="11" xfId="564" applyNumberFormat="1" applyFont="1" applyFill="1" applyBorder="1">
      <alignment vertical="center"/>
    </xf>
    <xf numFmtId="180" fontId="12" fillId="11" borderId="11" xfId="563" applyNumberFormat="1" applyFont="1" applyFill="1" applyBorder="1">
      <alignment vertical="center"/>
    </xf>
    <xf numFmtId="14" fontId="17" fillId="7" borderId="23" xfId="2" applyNumberFormat="1" applyFont="1" applyFill="1" applyBorder="1" applyAlignment="1">
      <alignment horizontal="center" vertical="center"/>
    </xf>
    <xf numFmtId="0" fontId="17" fillId="7" borderId="24" xfId="2" applyFont="1" applyFill="1" applyBorder="1" applyAlignment="1">
      <alignment horizontal="center" vertical="center"/>
    </xf>
    <xf numFmtId="43" fontId="17" fillId="7" borderId="24" xfId="564" applyNumberFormat="1" applyFont="1" applyFill="1" applyBorder="1">
      <alignment vertical="center"/>
    </xf>
    <xf numFmtId="178" fontId="17" fillId="7" borderId="24" xfId="564" applyNumberFormat="1" applyFont="1" applyFill="1" applyBorder="1">
      <alignment vertical="center"/>
    </xf>
    <xf numFmtId="180" fontId="24" fillId="7" borderId="24" xfId="564" applyNumberFormat="1" applyFont="1" applyFill="1" applyBorder="1">
      <alignment vertical="center"/>
    </xf>
    <xf numFmtId="182" fontId="17" fillId="7" borderId="24" xfId="2" applyNumberFormat="1" applyFont="1" applyFill="1" applyBorder="1" applyAlignment="1">
      <alignment vertical="center"/>
    </xf>
    <xf numFmtId="180" fontId="24" fillId="7" borderId="25" xfId="2" applyNumberFormat="1" applyFont="1" applyFill="1" applyBorder="1" applyAlignment="1">
      <alignment vertical="center"/>
    </xf>
    <xf numFmtId="180" fontId="12" fillId="4" borderId="11" xfId="563" applyNumberFormat="1" applyFont="1" applyFill="1" applyBorder="1">
      <alignment vertical="center"/>
    </xf>
    <xf numFmtId="178" fontId="70" fillId="0" borderId="0" xfId="0" applyNumberFormat="1" applyFont="1" applyAlignment="1">
      <alignment horizontal="center" vertical="center"/>
    </xf>
    <xf numFmtId="178" fontId="70" fillId="0" borderId="11" xfId="0" applyNumberFormat="1" applyFont="1" applyBorder="1" applyAlignment="1">
      <alignment horizontal="center" vertical="center"/>
    </xf>
    <xf numFmtId="14" fontId="17" fillId="7" borderId="21" xfId="2" applyNumberFormat="1" applyFont="1" applyFill="1" applyBorder="1" applyAlignment="1">
      <alignment horizontal="center" vertical="center"/>
    </xf>
    <xf numFmtId="0" fontId="17" fillId="7" borderId="13" xfId="2" applyFont="1" applyFill="1" applyBorder="1" applyAlignment="1">
      <alignment horizontal="center" vertical="center"/>
    </xf>
    <xf numFmtId="43" fontId="17" fillId="7" borderId="13" xfId="564" applyNumberFormat="1" applyFont="1" applyFill="1" applyBorder="1">
      <alignment vertical="center"/>
    </xf>
    <xf numFmtId="178" fontId="17" fillId="7" borderId="13" xfId="564" applyNumberFormat="1" applyFont="1" applyFill="1" applyBorder="1">
      <alignment vertical="center"/>
    </xf>
    <xf numFmtId="180" fontId="24" fillId="7" borderId="13" xfId="564" applyNumberFormat="1" applyFont="1" applyFill="1" applyBorder="1">
      <alignment vertical="center"/>
    </xf>
    <xf numFmtId="182" fontId="17" fillId="7" borderId="13" xfId="2" applyNumberFormat="1" applyFont="1" applyFill="1" applyBorder="1" applyAlignment="1">
      <alignment vertical="center"/>
    </xf>
    <xf numFmtId="180" fontId="24" fillId="7" borderId="22" xfId="2" applyNumberFormat="1" applyFont="1" applyFill="1" applyBorder="1" applyAlignment="1">
      <alignment vertical="center"/>
    </xf>
    <xf numFmtId="4" fontId="12" fillId="0" borderId="38" xfId="0" applyNumberFormat="1" applyFont="1" applyBorder="1">
      <alignment vertical="center"/>
    </xf>
    <xf numFmtId="0" fontId="12" fillId="0" borderId="38" xfId="0" applyFont="1" applyBorder="1">
      <alignment vertical="center"/>
    </xf>
    <xf numFmtId="180" fontId="12" fillId="0" borderId="38" xfId="0" applyNumberFormat="1" applyFont="1" applyBorder="1">
      <alignment vertical="center"/>
    </xf>
    <xf numFmtId="4" fontId="12" fillId="0" borderId="39" xfId="0" applyNumberFormat="1" applyFont="1" applyBorder="1">
      <alignment vertical="center"/>
    </xf>
    <xf numFmtId="192" fontId="12" fillId="0" borderId="11" xfId="0" applyNumberFormat="1" applyFont="1" applyBorder="1">
      <alignment vertical="center"/>
    </xf>
    <xf numFmtId="0" fontId="12" fillId="0" borderId="39" xfId="0" applyFont="1" applyBorder="1">
      <alignment vertical="center"/>
    </xf>
    <xf numFmtId="180" fontId="12" fillId="0" borderId="39" xfId="563" applyNumberFormat="1" applyFont="1" applyBorder="1">
      <alignment vertical="center"/>
    </xf>
    <xf numFmtId="180" fontId="12" fillId="0" borderId="39" xfId="0" applyNumberFormat="1" applyFont="1" applyBorder="1">
      <alignment vertical="center"/>
    </xf>
    <xf numFmtId="180" fontId="12" fillId="4" borderId="39" xfId="0" applyNumberFormat="1" applyFont="1" applyFill="1" applyBorder="1">
      <alignment vertical="center"/>
    </xf>
    <xf numFmtId="2" fontId="12" fillId="0" borderId="39" xfId="0" applyNumberFormat="1" applyFont="1" applyBorder="1">
      <alignment vertical="center"/>
    </xf>
    <xf numFmtId="0" fontId="12" fillId="7" borderId="40" xfId="0" applyFont="1" applyFill="1" applyBorder="1">
      <alignment vertical="center"/>
    </xf>
    <xf numFmtId="0" fontId="12" fillId="7" borderId="41" xfId="0" applyFont="1" applyFill="1" applyBorder="1">
      <alignment vertical="center"/>
    </xf>
    <xf numFmtId="180" fontId="27" fillId="7" borderId="42" xfId="0" applyNumberFormat="1" applyFont="1" applyFill="1" applyBorder="1">
      <alignment vertical="center"/>
    </xf>
    <xf numFmtId="0" fontId="15" fillId="0" borderId="0" xfId="138" applyNumberFormat="1" applyFont="1">
      <alignment vertical="center"/>
    </xf>
    <xf numFmtId="187" fontId="17" fillId="0" borderId="1" xfId="138" applyFont="1" applyBorder="1">
      <alignment vertical="center"/>
    </xf>
    <xf numFmtId="180" fontId="17" fillId="0" borderId="1" xfId="564" applyNumberFormat="1" applyFont="1" applyBorder="1">
      <alignment vertical="center"/>
    </xf>
    <xf numFmtId="180" fontId="17" fillId="0" borderId="1" xfId="564" applyNumberFormat="1" applyFont="1" applyBorder="1" applyAlignment="1">
      <alignment horizontal="center" vertical="center"/>
    </xf>
    <xf numFmtId="41" fontId="17" fillId="0" borderId="1" xfId="563" applyFont="1" applyBorder="1" applyAlignment="1">
      <alignment vertical="center" shrinkToFit="1"/>
    </xf>
    <xf numFmtId="187" fontId="12" fillId="0" borderId="0" xfId="138" applyFont="1">
      <alignment vertical="center"/>
    </xf>
    <xf numFmtId="187" fontId="12" fillId="0" borderId="0" xfId="138" applyFont="1" applyAlignment="1">
      <alignment horizontal="center" vertical="center"/>
    </xf>
    <xf numFmtId="180" fontId="12" fillId="0" borderId="0" xfId="563" applyNumberFormat="1" applyFont="1" applyAlignment="1">
      <alignment vertical="center" shrinkToFit="1"/>
    </xf>
    <xf numFmtId="180" fontId="17" fillId="0" borderId="0" xfId="563" applyNumberFormat="1" applyFont="1" applyAlignment="1">
      <alignment horizontal="center" vertical="center"/>
    </xf>
    <xf numFmtId="184" fontId="24" fillId="12" borderId="27" xfId="564" applyNumberFormat="1" applyFont="1" applyFill="1" applyBorder="1" applyAlignment="1">
      <alignment horizontal="center" vertical="center"/>
    </xf>
    <xf numFmtId="0" fontId="70" fillId="0" borderId="0" xfId="137" applyNumberFormat="1" applyFont="1" applyAlignment="1">
      <alignment horizontal="center" vertical="center"/>
    </xf>
    <xf numFmtId="187" fontId="76" fillId="2" borderId="27" xfId="4" applyNumberFormat="1" applyFont="1" applyFill="1" applyBorder="1" applyAlignment="1">
      <alignment horizontal="center" vertical="center"/>
    </xf>
    <xf numFmtId="0" fontId="71" fillId="0" borderId="0" xfId="138" applyNumberFormat="1" applyFont="1" applyAlignment="1">
      <alignment horizontal="center" vertical="center"/>
    </xf>
    <xf numFmtId="179" fontId="82" fillId="4" borderId="27" xfId="4" applyNumberFormat="1" applyFont="1" applyFill="1" applyBorder="1" applyAlignment="1">
      <alignment horizontal="center" vertical="center"/>
    </xf>
    <xf numFmtId="179" fontId="86" fillId="4" borderId="27" xfId="4" applyNumberFormat="1" applyFont="1" applyFill="1" applyBorder="1" applyAlignment="1">
      <alignment horizontal="center" vertical="center" shrinkToFit="1"/>
    </xf>
    <xf numFmtId="184" fontId="12" fillId="0" borderId="27" xfId="0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7" xfId="138" applyNumberFormat="1" applyFont="1" applyBorder="1" applyAlignment="1">
      <alignment horizontal="center" vertical="center" wrapText="1" shrinkToFit="1"/>
    </xf>
    <xf numFmtId="0" fontId="17" fillId="0" borderId="27" xfId="0" applyFont="1" applyBorder="1" applyAlignment="1">
      <alignment horizontal="center" vertical="center"/>
    </xf>
    <xf numFmtId="178" fontId="17" fillId="0" borderId="27" xfId="0" applyNumberFormat="1" applyFont="1" applyBorder="1" applyAlignment="1">
      <alignment horizontal="right" vertical="center"/>
    </xf>
    <xf numFmtId="180" fontId="17" fillId="0" borderId="27" xfId="563" applyNumberFormat="1" applyFont="1" applyBorder="1" applyAlignment="1">
      <alignment horizontal="center" vertical="center"/>
    </xf>
    <xf numFmtId="183" fontId="17" fillId="0" borderId="27" xfId="564" applyNumberFormat="1" applyFont="1" applyBorder="1" applyAlignment="1">
      <alignment horizontal="right" vertical="center" shrinkToFit="1"/>
    </xf>
    <xf numFmtId="180" fontId="17" fillId="0" borderId="27" xfId="564" applyNumberFormat="1" applyFont="1" applyBorder="1" applyAlignment="1">
      <alignment vertical="center" shrinkToFit="1"/>
    </xf>
    <xf numFmtId="180" fontId="12" fillId="0" borderId="27" xfId="564" applyNumberFormat="1" applyFont="1" applyBorder="1" applyAlignment="1">
      <alignment vertical="center" shrinkToFit="1"/>
    </xf>
    <xf numFmtId="187" fontId="12" fillId="0" borderId="27" xfId="138" quotePrefix="1" applyFont="1" applyBorder="1" applyAlignment="1">
      <alignment vertical="center" shrinkToFit="1"/>
    </xf>
    <xf numFmtId="184" fontId="12" fillId="15" borderId="27" xfId="0" applyNumberFormat="1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horizontal="left" vertical="center"/>
    </xf>
    <xf numFmtId="0" fontId="12" fillId="15" borderId="27" xfId="0" applyFont="1" applyFill="1" applyBorder="1" applyAlignment="1">
      <alignment horizontal="center" vertical="center"/>
    </xf>
    <xf numFmtId="0" fontId="12" fillId="15" borderId="27" xfId="138" applyNumberFormat="1" applyFont="1" applyFill="1" applyBorder="1" applyAlignment="1">
      <alignment horizontal="center" vertical="center" wrapText="1" shrinkToFit="1"/>
    </xf>
    <xf numFmtId="0" fontId="17" fillId="15" borderId="27" xfId="0" applyFont="1" applyFill="1" applyBorder="1" applyAlignment="1">
      <alignment horizontal="center" vertical="center"/>
    </xf>
    <xf numFmtId="178" fontId="17" fillId="15" borderId="27" xfId="0" applyNumberFormat="1" applyFont="1" applyFill="1" applyBorder="1" applyAlignment="1">
      <alignment horizontal="right" vertical="center"/>
    </xf>
    <xf numFmtId="180" fontId="17" fillId="15" borderId="27" xfId="563" applyNumberFormat="1" applyFont="1" applyFill="1" applyBorder="1" applyAlignment="1">
      <alignment horizontal="center" vertical="center"/>
    </xf>
    <xf numFmtId="183" fontId="17" fillId="15" borderId="27" xfId="564" applyNumberFormat="1" applyFont="1" applyFill="1" applyBorder="1" applyAlignment="1">
      <alignment horizontal="right" vertical="center" shrinkToFit="1"/>
    </xf>
    <xf numFmtId="180" fontId="17" fillId="15" borderId="27" xfId="564" applyNumberFormat="1" applyFont="1" applyFill="1" applyBorder="1" applyAlignment="1">
      <alignment vertical="center" shrinkToFit="1"/>
    </xf>
    <xf numFmtId="180" fontId="12" fillId="15" borderId="27" xfId="564" applyNumberFormat="1" applyFont="1" applyFill="1" applyBorder="1" applyAlignment="1">
      <alignment vertical="center" shrinkToFit="1"/>
    </xf>
    <xf numFmtId="187" fontId="12" fillId="15" borderId="27" xfId="138" quotePrefix="1" applyFont="1" applyFill="1" applyBorder="1" applyAlignment="1">
      <alignment vertical="center" shrinkToFit="1"/>
    </xf>
    <xf numFmtId="0" fontId="21" fillId="2" borderId="18" xfId="2" applyFont="1" applyFill="1" applyBorder="1" applyAlignment="1">
      <alignment horizontal="center" vertical="center"/>
    </xf>
    <xf numFmtId="0" fontId="0" fillId="0" borderId="37" xfId="0" applyBorder="1" applyAlignment="1"/>
    <xf numFmtId="180" fontId="20" fillId="2" borderId="17" xfId="563" applyNumberFormat="1" applyFont="1" applyFill="1" applyBorder="1" applyAlignment="1">
      <alignment horizontal="center" vertical="center"/>
    </xf>
    <xf numFmtId="0" fontId="0" fillId="0" borderId="26" xfId="0" applyBorder="1" applyAlignment="1"/>
    <xf numFmtId="180" fontId="20" fillId="2" borderId="18" xfId="563" applyNumberFormat="1" applyFont="1" applyFill="1" applyBorder="1" applyAlignment="1">
      <alignment horizontal="center" vertical="center"/>
    </xf>
    <xf numFmtId="0" fontId="0" fillId="0" borderId="36" xfId="0" applyBorder="1" applyAlignment="1"/>
    <xf numFmtId="179" fontId="28" fillId="2" borderId="3" xfId="138" applyNumberFormat="1" applyFont="1" applyFill="1" applyBorder="1" applyAlignment="1">
      <alignment horizontal="center" vertical="center"/>
    </xf>
    <xf numFmtId="179" fontId="28" fillId="2" borderId="7" xfId="138" applyNumberFormat="1" applyFont="1" applyFill="1" applyBorder="1" applyAlignment="1">
      <alignment horizontal="center" vertical="center"/>
    </xf>
    <xf numFmtId="183" fontId="28" fillId="2" borderId="7" xfId="4" applyNumberFormat="1" applyFont="1" applyFill="1" applyBorder="1" applyAlignment="1">
      <alignment horizontal="center" vertical="center"/>
    </xf>
    <xf numFmtId="181" fontId="28" fillId="2" borderId="29" xfId="138" applyNumberFormat="1" applyFont="1" applyFill="1" applyBorder="1" applyAlignment="1">
      <alignment horizontal="center" vertical="center"/>
    </xf>
    <xf numFmtId="181" fontId="28" fillId="2" borderId="30" xfId="138" applyNumberFormat="1" applyFont="1" applyFill="1" applyBorder="1" applyAlignment="1">
      <alignment horizontal="center" vertical="center"/>
    </xf>
    <xf numFmtId="179" fontId="38" fillId="2" borderId="28" xfId="4" applyNumberFormat="1" applyFont="1" applyFill="1" applyBorder="1" applyAlignment="1">
      <alignment horizontal="center" vertical="center"/>
    </xf>
    <xf numFmtId="179" fontId="28" fillId="2" borderId="0" xfId="4" applyNumberFormat="1" applyFont="1" applyFill="1" applyBorder="1" applyAlignment="1">
      <alignment horizontal="center" vertical="center"/>
    </xf>
    <xf numFmtId="179" fontId="28" fillId="2" borderId="27" xfId="138" applyNumberFormat="1" applyFont="1" applyFill="1" applyBorder="1" applyAlignment="1">
      <alignment horizontal="center" vertical="center"/>
    </xf>
    <xf numFmtId="183" fontId="28" fillId="2" borderId="27" xfId="4" applyNumberFormat="1" applyFont="1" applyFill="1" applyBorder="1" applyAlignment="1">
      <alignment horizontal="center" vertical="center"/>
    </xf>
    <xf numFmtId="181" fontId="28" fillId="2" borderId="27" xfId="138" applyNumberFormat="1" applyFont="1" applyFill="1" applyBorder="1" applyAlignment="1">
      <alignment horizontal="center" vertical="center"/>
    </xf>
    <xf numFmtId="179" fontId="38" fillId="2" borderId="27" xfId="4" applyNumberFormat="1" applyFont="1" applyFill="1" applyBorder="1" applyAlignment="1">
      <alignment horizontal="center" vertical="center"/>
    </xf>
    <xf numFmtId="179" fontId="28" fillId="2" borderId="27" xfId="4" applyNumberFormat="1" applyFont="1" applyFill="1" applyBorder="1" applyAlignment="1">
      <alignment horizontal="center" vertical="center"/>
    </xf>
    <xf numFmtId="0" fontId="12" fillId="0" borderId="34" xfId="0" applyFont="1" applyBorder="1" applyAlignment="1">
      <alignment vertical="center" wrapText="1"/>
    </xf>
    <xf numFmtId="0" fontId="12" fillId="0" borderId="34" xfId="0" applyFont="1" applyBorder="1">
      <alignment vertical="center"/>
    </xf>
    <xf numFmtId="0" fontId="41" fillId="0" borderId="34" xfId="0" applyFont="1" applyBorder="1" applyAlignment="1">
      <alignment vertical="center" wrapText="1"/>
    </xf>
    <xf numFmtId="179" fontId="76" fillId="2" borderId="27" xfId="138" applyNumberFormat="1" applyFont="1" applyFill="1" applyBorder="1" applyAlignment="1">
      <alignment horizontal="center" vertical="center"/>
    </xf>
    <xf numFmtId="183" fontId="76" fillId="2" borderId="27" xfId="4" applyNumberFormat="1" applyFont="1" applyFill="1" applyBorder="1" applyAlignment="1">
      <alignment horizontal="center" vertical="center"/>
    </xf>
    <xf numFmtId="181" fontId="76" fillId="2" borderId="27" xfId="138" applyNumberFormat="1" applyFont="1" applyFill="1" applyBorder="1" applyAlignment="1">
      <alignment horizontal="center" vertical="center"/>
    </xf>
    <xf numFmtId="179" fontId="76" fillId="2" borderId="27" xfId="4" applyNumberFormat="1" applyFont="1" applyFill="1" applyBorder="1" applyAlignment="1">
      <alignment horizontal="center" vertical="center"/>
    </xf>
    <xf numFmtId="0" fontId="67" fillId="2" borderId="1" xfId="176" applyFont="1" applyFill="1" applyBorder="1" applyAlignment="1">
      <alignment horizontal="center" vertical="center"/>
    </xf>
    <xf numFmtId="180" fontId="66" fillId="0" borderId="0" xfId="177" applyNumberFormat="1" applyFont="1" applyAlignment="1">
      <alignment horizontal="center" vertical="center"/>
    </xf>
    <xf numFmtId="0" fontId="67" fillId="2" borderId="8" xfId="176" applyFont="1" applyFill="1" applyBorder="1" applyAlignment="1">
      <alignment horizontal="center" vertical="center"/>
    </xf>
    <xf numFmtId="0" fontId="67" fillId="2" borderId="14" xfId="176" applyFont="1" applyFill="1" applyBorder="1" applyAlignment="1">
      <alignment horizontal="center" vertical="center"/>
    </xf>
  </cellXfs>
  <cellStyles count="565">
    <cellStyle name="常规 2" xfId="176" xr:uid="{B88EB9AE-0EF4-4D33-B133-1F9551D804CD}"/>
    <cellStyle name="常规 3" xfId="132" xr:uid="{00000000-0005-0000-0000-000000000000}"/>
    <cellStyle name="常规 4" xfId="185" xr:uid="{237CDE1D-D435-4F06-AF28-0FE15D402672}"/>
    <cellStyle name="常规 5" xfId="188" xr:uid="{5620089D-69D4-419D-834D-B96EE23F4EBD}"/>
    <cellStyle name="常规 5 2" xfId="200" xr:uid="{157FB572-AFBD-49CF-83C3-A41523E94940}"/>
    <cellStyle name="常规 5 2 2" xfId="224" xr:uid="{AFD382E9-3592-4911-AFC7-B40623C02FC6}"/>
    <cellStyle name="常规 5 2 2 2" xfId="272" xr:uid="{0C5F724A-2041-4AB9-843D-C1D1F1783B2E}"/>
    <cellStyle name="常规 5 2 2 2 2" xfId="368" xr:uid="{1B18DEAC-1517-47E2-8B7B-672AEB404D6C}"/>
    <cellStyle name="常规 5 2 2 2 2 2" xfId="560" xr:uid="{37269C33-D23C-49DE-A302-77327A2EB991}"/>
    <cellStyle name="常规 5 2 2 2 3" xfId="464" xr:uid="{7A934568-0A90-47E8-861C-E53D544922DA}"/>
    <cellStyle name="常规 5 2 2 3" xfId="320" xr:uid="{49474005-BE69-446E-B4EF-284935321729}"/>
    <cellStyle name="常规 5 2 2 3 2" xfId="512" xr:uid="{59FE0492-D082-4A91-A156-D3A4AC8AE4D6}"/>
    <cellStyle name="常规 5 2 2 4" xfId="416" xr:uid="{BD4E1A9C-0D33-4D19-A5EA-B559DC955857}"/>
    <cellStyle name="常规 5 2 3" xfId="248" xr:uid="{CAACA940-13FE-4930-A163-F719EF70DB43}"/>
    <cellStyle name="常规 5 2 3 2" xfId="344" xr:uid="{C3AF260E-3BEE-4AA2-BD15-F0F4262D4F3B}"/>
    <cellStyle name="常规 5 2 3 2 2" xfId="536" xr:uid="{5FC0AA3E-3379-4D14-A841-79A985B89038}"/>
    <cellStyle name="常规 5 2 3 3" xfId="440" xr:uid="{1330E44F-D411-4094-9F5A-D0B6A4F76EA5}"/>
    <cellStyle name="常规 5 2 4" xfId="296" xr:uid="{6E6AD665-0911-4285-9F1D-C7B7B536F422}"/>
    <cellStyle name="常规 5 2 4 2" xfId="488" xr:uid="{EE53518A-0FEF-4577-870B-671AD39EEA00}"/>
    <cellStyle name="常规 5 2 5" xfId="392" xr:uid="{674E30B0-B1A4-4EF1-ABE1-C3C4FE54ED9C}"/>
    <cellStyle name="常规 5 3" xfId="212" xr:uid="{5D7A941B-A181-46F9-9F2D-5F8083084D3C}"/>
    <cellStyle name="常规 5 3 2" xfId="260" xr:uid="{E3433C5C-9B76-4DC3-B733-D189836F65AB}"/>
    <cellStyle name="常规 5 3 2 2" xfId="356" xr:uid="{AF101CA0-0B23-4D8D-8E82-136B38F0E1D7}"/>
    <cellStyle name="常规 5 3 2 2 2" xfId="548" xr:uid="{F568C065-2954-4111-A3A6-D75E583C413E}"/>
    <cellStyle name="常规 5 3 2 3" xfId="452" xr:uid="{5E6A9A5B-12E7-4E4F-803A-5D383BB12077}"/>
    <cellStyle name="常规 5 3 3" xfId="308" xr:uid="{93253AC3-DD91-47D2-8AD1-BB91883E9FD4}"/>
    <cellStyle name="常规 5 3 3 2" xfId="500" xr:uid="{1A621996-9CAC-4FF4-8852-F4ECD5E80C43}"/>
    <cellStyle name="常规 5 3 4" xfId="404" xr:uid="{1641E676-9446-4124-9A4F-618084B6D8F5}"/>
    <cellStyle name="常规 5 4" xfId="236" xr:uid="{E3C93A49-6922-4DFB-9247-652CC4EE67BB}"/>
    <cellStyle name="常规 5 4 2" xfId="332" xr:uid="{CA799334-2910-49D8-B5B8-7BED2C5724A4}"/>
    <cellStyle name="常规 5 4 2 2" xfId="524" xr:uid="{B85F5661-BF1C-4CBD-8DF7-3B5AD96AD6D3}"/>
    <cellStyle name="常规 5 4 3" xfId="428" xr:uid="{15B38236-C114-4940-9B15-DC09899C47DE}"/>
    <cellStyle name="常规 5 5" xfId="284" xr:uid="{D0B7981C-54B3-4B78-B663-96BE69FA672C}"/>
    <cellStyle name="常规 5 5 2" xfId="476" xr:uid="{3CD0ACE8-E582-46EE-8E84-D894644D51C9}"/>
    <cellStyle name="常规 5 6" xfId="380" xr:uid="{4C576157-4C5D-4D68-A621-9DE979309B59}"/>
    <cellStyle name="常规 6" xfId="189" xr:uid="{C42AB388-003F-4EC3-9697-833A5E37BCD2}"/>
    <cellStyle name="常规 6 2" xfId="201" xr:uid="{4A3DD494-9C3A-49A6-B7C0-135C959F7AEC}"/>
    <cellStyle name="常规 6 2 2" xfId="225" xr:uid="{7037F33C-72F9-436D-BEA4-BAF302A7C26C}"/>
    <cellStyle name="常规 6 2 2 2" xfId="273" xr:uid="{F37AABF3-0B40-4FE5-8673-5D6616368799}"/>
    <cellStyle name="常规 6 2 2 2 2" xfId="369" xr:uid="{73680EF2-21C2-4D7C-BA6D-ACE0E041821B}"/>
    <cellStyle name="常规 6 2 2 2 2 2" xfId="561" xr:uid="{56BD6C18-5C85-40B1-9E32-DEABD3E60F19}"/>
    <cellStyle name="常规 6 2 2 2 3" xfId="465" xr:uid="{29D53081-6B76-4AAD-86C4-4F95AFE65CB1}"/>
    <cellStyle name="常规 6 2 2 3" xfId="321" xr:uid="{DFFCA2A9-9397-4632-99CD-DB8870FE3C08}"/>
    <cellStyle name="常规 6 2 2 3 2" xfId="513" xr:uid="{8870227E-B2FF-46BD-A518-658141F5F0B2}"/>
    <cellStyle name="常规 6 2 2 4" xfId="417" xr:uid="{18ABB9CC-D629-4EF8-A704-6404CD0A9DA0}"/>
    <cellStyle name="常规 6 2 3" xfId="249" xr:uid="{BF21E4C2-CFBE-49E6-80C8-E11320073BD1}"/>
    <cellStyle name="常规 6 2 3 2" xfId="345" xr:uid="{B09509AD-71D5-46E1-9C2F-1C1CB51DB663}"/>
    <cellStyle name="常规 6 2 3 2 2" xfId="537" xr:uid="{41B54D72-0C7C-4E3F-8378-42546D510BDB}"/>
    <cellStyle name="常规 6 2 3 3" xfId="441" xr:uid="{F9692172-F289-4010-814B-67027E8BADD0}"/>
    <cellStyle name="常规 6 2 4" xfId="297" xr:uid="{67140327-03DE-4A29-8DBE-21C6D986CC50}"/>
    <cellStyle name="常规 6 2 4 2" xfId="489" xr:uid="{A9ECB383-84EA-4D94-AA79-C8234608505A}"/>
    <cellStyle name="常规 6 2 5" xfId="393" xr:uid="{633A9A6F-7F32-4297-AC3C-B63544E7A6CD}"/>
    <cellStyle name="常规 6 3" xfId="213" xr:uid="{8F2F335E-D897-4D5F-BC27-D865B5CFA038}"/>
    <cellStyle name="常规 6 3 2" xfId="261" xr:uid="{47ACDB73-AC00-4E30-9246-744CA0DE49F9}"/>
    <cellStyle name="常规 6 3 2 2" xfId="357" xr:uid="{0F70193E-F7F0-4278-9C4B-6FB445A6D414}"/>
    <cellStyle name="常规 6 3 2 2 2" xfId="549" xr:uid="{230BFC57-FA5D-4CF4-B0BE-1A6D39B33880}"/>
    <cellStyle name="常规 6 3 2 3" xfId="453" xr:uid="{5C3B7126-D067-4C92-88FC-9CA1E78C8D60}"/>
    <cellStyle name="常规 6 3 3" xfId="309" xr:uid="{6C78E891-8B52-40E7-8AED-976FBA54B21B}"/>
    <cellStyle name="常规 6 3 3 2" xfId="501" xr:uid="{5FA58F02-7E9A-41D4-B829-1DB18434CB60}"/>
    <cellStyle name="常规 6 3 4" xfId="405" xr:uid="{B6B6DA1D-E3AC-4EA6-9B6B-00E4E8771E82}"/>
    <cellStyle name="常规 6 4" xfId="237" xr:uid="{EED39619-120C-4588-8B2C-1641CD9EFF3D}"/>
    <cellStyle name="常规 6 4 2" xfId="333" xr:uid="{48E36009-8501-42C6-AE70-AEEEE2219AEC}"/>
    <cellStyle name="常规 6 4 2 2" xfId="525" xr:uid="{2E918DC0-3930-4477-8701-A0148D4DBE79}"/>
    <cellStyle name="常规 6 4 3" xfId="429" xr:uid="{A8E7654E-9136-4E57-B0C0-D9FD33994C51}"/>
    <cellStyle name="常规 6 5" xfId="285" xr:uid="{84303BDC-6691-41D4-A343-171273D305C2}"/>
    <cellStyle name="常规 6 5 2" xfId="477" xr:uid="{E4C3375D-64C3-489C-9BA0-4838614787A5}"/>
    <cellStyle name="常规 6 6" xfId="381" xr:uid="{2CC4E830-9E83-43C1-81C7-A2F880D34116}"/>
    <cellStyle name="常规 7" xfId="562" xr:uid="{A8630F02-2688-45EB-81D5-D6090645674C}"/>
    <cellStyle name="쉼표 [0]" xfId="1" builtinId="6"/>
    <cellStyle name="쉼표 [0] 2" xfId="4" xr:uid="{00000000-0005-0000-0000-000002000000}"/>
    <cellStyle name="쉼표 [0] 2 2" xfId="5" xr:uid="{00000000-0005-0000-0000-000003000000}"/>
    <cellStyle name="쉼표 [0] 2 2 2" xfId="6" xr:uid="{00000000-0005-0000-0000-000004000000}"/>
    <cellStyle name="쉼표 [0] 2 2 2 2" xfId="7" xr:uid="{00000000-0005-0000-0000-000005000000}"/>
    <cellStyle name="쉼표 [0] 2 2 2 2 2" xfId="8" xr:uid="{00000000-0005-0000-0000-000006000000}"/>
    <cellStyle name="쉼표 [0] 2 2 2 2 2 2" xfId="9" xr:uid="{00000000-0005-0000-0000-000007000000}"/>
    <cellStyle name="쉼표 [0] 2 2 2 2 2 2 2" xfId="145" xr:uid="{12B7E4BC-1D12-4446-B367-025A2ABC42CD}"/>
    <cellStyle name="쉼표 [0] 2 2 2 2 2 3" xfId="144" xr:uid="{CD52524A-5B98-4FE7-82B5-8F36B4865973}"/>
    <cellStyle name="쉼표 [0] 2 2 2 2 3" xfId="10" xr:uid="{00000000-0005-0000-0000-000008000000}"/>
    <cellStyle name="쉼표 [0] 2 2 2 2 3 2" xfId="153" xr:uid="{B1F8D7AE-9D70-499D-B723-238F3F987FC2}"/>
    <cellStyle name="쉼표 [0] 2 2 2 2 4" xfId="143" xr:uid="{96A49708-762A-4249-B0A6-C06E1C19572E}"/>
    <cellStyle name="쉼표 [0] 2 2 2 3" xfId="11" xr:uid="{00000000-0005-0000-0000-000009000000}"/>
    <cellStyle name="쉼표 [0] 2 2 2 3 2" xfId="12" xr:uid="{00000000-0005-0000-0000-00000A000000}"/>
    <cellStyle name="쉼표 [0] 2 2 2 3 2 2" xfId="155" xr:uid="{2E7FA676-CF19-4903-ACEE-E1AA69DDE12D}"/>
    <cellStyle name="쉼표 [0] 2 2 2 3 3" xfId="154" xr:uid="{4BACA29F-971E-4AC3-AF07-938D81762025}"/>
    <cellStyle name="쉼표 [0] 2 2 2 4" xfId="13" xr:uid="{00000000-0005-0000-0000-00000B000000}"/>
    <cellStyle name="쉼표 [0] 2 2 2 4 2" xfId="148" xr:uid="{3BB0C13C-EBFB-48DB-801B-4EAA8B0DB12C}"/>
    <cellStyle name="쉼표 [0] 2 2 2 5" xfId="147" xr:uid="{FB360969-2DFA-4164-9DEF-06D2745DAABA}"/>
    <cellStyle name="쉼표 [0] 2 2 3" xfId="14" xr:uid="{00000000-0005-0000-0000-00000C000000}"/>
    <cellStyle name="쉼표 [0] 2 2 3 2" xfId="15" xr:uid="{00000000-0005-0000-0000-00000D000000}"/>
    <cellStyle name="쉼표 [0] 2 2 3 2 2" xfId="16" xr:uid="{00000000-0005-0000-0000-00000E000000}"/>
    <cellStyle name="쉼표 [0] 2 2 3 2 2 2" xfId="150" xr:uid="{4EB98886-C039-4B6A-86FC-F64A8184F27C}"/>
    <cellStyle name="쉼표 [0] 2 2 3 2 3" xfId="146" xr:uid="{59933F40-3B3F-4E74-BB44-CA6174868344}"/>
    <cellStyle name="쉼표 [0] 2 2 3 3" xfId="17" xr:uid="{00000000-0005-0000-0000-00000F000000}"/>
    <cellStyle name="쉼표 [0] 2 2 3 3 2" xfId="151" xr:uid="{761F4F86-95BD-4E66-A6B9-AEC236B55879}"/>
    <cellStyle name="쉼표 [0] 2 2 3 4" xfId="156" xr:uid="{136A6C70-9453-488A-A79C-2B8072D593A1}"/>
    <cellStyle name="쉼표 [0] 2 2 4" xfId="18" xr:uid="{00000000-0005-0000-0000-000010000000}"/>
    <cellStyle name="쉼표 [0] 2 2 4 2" xfId="19" xr:uid="{00000000-0005-0000-0000-000011000000}"/>
    <cellStyle name="쉼표 [0] 2 2 4 2 2" xfId="158" xr:uid="{05875958-91D0-496B-94A2-3E524A002C5B}"/>
    <cellStyle name="쉼표 [0] 2 2 4 3" xfId="157" xr:uid="{6F082DC7-5979-497F-9DB6-75688042331D}"/>
    <cellStyle name="쉼표 [0] 2 2 5" xfId="20" xr:uid="{00000000-0005-0000-0000-000012000000}"/>
    <cellStyle name="쉼표 [0] 2 2 5 2" xfId="159" xr:uid="{2B8C71ED-F2D4-4808-B321-06C5184226F0}"/>
    <cellStyle name="쉼표 [0] 2 2 6" xfId="149" xr:uid="{D745345D-2F4F-4ADF-988F-FB595C444EFE}"/>
    <cellStyle name="쉼표 [0] 2 3" xfId="21" xr:uid="{00000000-0005-0000-0000-000013000000}"/>
    <cellStyle name="쉼표 [0] 2 3 2" xfId="22" xr:uid="{00000000-0005-0000-0000-000014000000}"/>
    <cellStyle name="쉼표 [0] 2 3 2 2" xfId="23" xr:uid="{00000000-0005-0000-0000-000015000000}"/>
    <cellStyle name="쉼표 [0] 2 3 2 2 2" xfId="24" xr:uid="{00000000-0005-0000-0000-000016000000}"/>
    <cellStyle name="쉼표 [0] 2 3 2 2 2 2" xfId="163" xr:uid="{7BED4959-C414-4AB2-B1E5-02F7DD5C05BC}"/>
    <cellStyle name="쉼표 [0] 2 3 2 2 3" xfId="162" xr:uid="{906CFF98-CBE4-44B2-8337-97A639DD1B03}"/>
    <cellStyle name="쉼표 [0] 2 3 2 3" xfId="25" xr:uid="{00000000-0005-0000-0000-000017000000}"/>
    <cellStyle name="쉼표 [0] 2 3 2 3 2" xfId="164" xr:uid="{2E66AEC6-A969-4C22-A9F7-814A2D8F0B27}"/>
    <cellStyle name="쉼표 [0] 2 3 2 4" xfId="161" xr:uid="{7BE2DABC-4578-4BB1-9FD1-8F11B7CE3846}"/>
    <cellStyle name="쉼표 [0] 2 3 3" xfId="26" xr:uid="{00000000-0005-0000-0000-000018000000}"/>
    <cellStyle name="쉼표 [0] 2 3 3 2" xfId="27" xr:uid="{00000000-0005-0000-0000-000019000000}"/>
    <cellStyle name="쉼표 [0] 2 3 3 2 2" xfId="166" xr:uid="{94B331CB-8D92-4BCE-BD38-A9B49D525C06}"/>
    <cellStyle name="쉼표 [0] 2 3 3 3" xfId="165" xr:uid="{455A9DF7-CC78-4FFF-96E4-A2ECAEFA808E}"/>
    <cellStyle name="쉼표 [0] 2 3 4" xfId="28" xr:uid="{00000000-0005-0000-0000-00001A000000}"/>
    <cellStyle name="쉼표 [0] 2 3 4 2" xfId="167" xr:uid="{41EF4196-6FF2-452C-91E5-36866BF9112A}"/>
    <cellStyle name="쉼표 [0] 2 3 5" xfId="160" xr:uid="{BA30CEB2-CE0B-4221-BD23-FA3A83A9DF14}"/>
    <cellStyle name="쉼표 [0] 2 4" xfId="29" xr:uid="{00000000-0005-0000-0000-00001B000000}"/>
    <cellStyle name="쉼표 [0] 2 4 2" xfId="30" xr:uid="{00000000-0005-0000-0000-00001C000000}"/>
    <cellStyle name="쉼표 [0] 2 4 2 2" xfId="31" xr:uid="{00000000-0005-0000-0000-00001D000000}"/>
    <cellStyle name="쉼표 [0] 2 4 2 2 2" xfId="169" xr:uid="{FED29DC7-D15A-4637-8E5C-2A3FEC3B455C}"/>
    <cellStyle name="쉼표 [0] 2 4 2 3" xfId="168" xr:uid="{7913371C-9F0D-47C7-89D7-1E474A30F56D}"/>
    <cellStyle name="쉼표 [0] 2 4 3" xfId="32" xr:uid="{00000000-0005-0000-0000-00001E000000}"/>
    <cellStyle name="쉼표 [0] 2 4 3 2" xfId="170" xr:uid="{74B050D4-8468-4CB0-8CCC-37278B1E848E}"/>
    <cellStyle name="쉼표 [0] 2 4 4" xfId="142" xr:uid="{50A7D799-0C7E-424D-959F-9B4A9E82B79D}"/>
    <cellStyle name="쉼표 [0] 2 5" xfId="33" xr:uid="{00000000-0005-0000-0000-00001F000000}"/>
    <cellStyle name="쉼표 [0] 2 5 2" xfId="34" xr:uid="{00000000-0005-0000-0000-000020000000}"/>
    <cellStyle name="쉼표 [0] 2 5 2 2" xfId="172" xr:uid="{BA945C7C-38A9-4EA8-B912-FB010BEBD4D6}"/>
    <cellStyle name="쉼표 [0] 2 5 3" xfId="171" xr:uid="{55E0D5FC-5B01-42AA-829A-E5B0C685C9DB}"/>
    <cellStyle name="쉼표 [0] 2 6" xfId="35" xr:uid="{00000000-0005-0000-0000-000021000000}"/>
    <cellStyle name="쉼표 [0] 2 6 2" xfId="173" xr:uid="{8D963667-8BC2-4BFA-83B0-5ADB617EFB48}"/>
    <cellStyle name="쉼표 [0] 2 7" xfId="135" xr:uid="{D67DCB4A-4AE3-4D7F-9DDD-66FD1CBA9B7D}"/>
    <cellStyle name="쉼표 [0] 2 8" xfId="152" xr:uid="{CB40E740-BDB4-4858-B01F-D730DAF59383}"/>
    <cellStyle name="쉼표 [0] 2 9" xfId="564" xr:uid="{2BEABF0A-9BDE-4C5C-9DAB-9F81A169933B}"/>
    <cellStyle name="쉼표 [0] 3" xfId="134" xr:uid="{94C07A67-88C2-45DC-836B-41BDC74DEF34}"/>
    <cellStyle name="쉼표 [0] 3 2" xfId="140" xr:uid="{27476DB9-E729-49ED-93FD-0A5C6D395944}"/>
    <cellStyle name="쉼표 [0] 4" xfId="141" xr:uid="{2889232E-B9E5-497A-9851-43ADA4F95C54}"/>
    <cellStyle name="쉼표 [0] 5" xfId="563" xr:uid="{FFF1A1F0-16F8-4BAE-98BA-DCC1CB83DDC2}"/>
    <cellStyle name="쉼표 2" xfId="174" xr:uid="{09C5A681-ECA6-413E-914A-24E5327697C6}"/>
    <cellStyle name="쉼표 2 2" xfId="179" xr:uid="{DE588551-642F-403C-9BE1-298E8D216A8F}"/>
    <cellStyle name="쉼표 2 2 2" xfId="183" xr:uid="{6C7C7D39-8DAB-40D6-8B7C-84AA3B231D51}"/>
    <cellStyle name="쉼표 2 2 2 2" xfId="196" xr:uid="{B2B14773-DF52-4BAA-B60A-AE825840C3A2}"/>
    <cellStyle name="쉼표 2 2 2 2 2" xfId="220" xr:uid="{771BA692-3D82-44D4-8CDC-DDBBFC145167}"/>
    <cellStyle name="쉼표 2 2 2 2 2 2" xfId="268" xr:uid="{A542FA69-A06E-4EFF-99CC-90B2A442934C}"/>
    <cellStyle name="쉼표 2 2 2 2 2 2 2" xfId="364" xr:uid="{927FDD5C-0A88-4BEC-867D-1CE0338A5813}"/>
    <cellStyle name="쉼표 2 2 2 2 2 2 2 2" xfId="556" xr:uid="{E2A282E1-5E95-4988-84A9-C2CD2B4DF5D1}"/>
    <cellStyle name="쉼표 2 2 2 2 2 2 3" xfId="460" xr:uid="{5BBDAAB3-47D0-4C26-BCC5-2C748E649EE9}"/>
    <cellStyle name="쉼표 2 2 2 2 2 3" xfId="316" xr:uid="{168DD55A-DAFB-497B-B39E-9683284F0225}"/>
    <cellStyle name="쉼표 2 2 2 2 2 3 2" xfId="508" xr:uid="{06E2BD96-2D6E-4FD9-A7B9-523BCBF04345}"/>
    <cellStyle name="쉼표 2 2 2 2 2 4" xfId="412" xr:uid="{FCB323CC-5B51-46B6-846F-6BF083C65C80}"/>
    <cellStyle name="쉼표 2 2 2 2 3" xfId="244" xr:uid="{9419E706-B7A9-4110-B834-851F615C48BB}"/>
    <cellStyle name="쉼표 2 2 2 2 3 2" xfId="340" xr:uid="{C860DE54-4B4F-4375-8C9C-D90E8B31F35F}"/>
    <cellStyle name="쉼표 2 2 2 2 3 2 2" xfId="532" xr:uid="{880BCB7F-1721-4B84-B333-3BE772E0F285}"/>
    <cellStyle name="쉼표 2 2 2 2 3 3" xfId="436" xr:uid="{C7251775-89CF-47A7-9A24-BDBD48839382}"/>
    <cellStyle name="쉼표 2 2 2 2 4" xfId="292" xr:uid="{0EAF1201-9083-4704-847B-3585507C7382}"/>
    <cellStyle name="쉼표 2 2 2 2 4 2" xfId="484" xr:uid="{C8435E7C-13EB-4BD3-BAAA-3FBFC1115DAC}"/>
    <cellStyle name="쉼표 2 2 2 2 5" xfId="388" xr:uid="{42632387-CDDB-485A-8E17-9A8C450A2B3E}"/>
    <cellStyle name="쉼표 2 2 2 3" xfId="208" xr:uid="{B2FE4008-4718-46F0-9FC5-4A3307CFF01E}"/>
    <cellStyle name="쉼표 2 2 2 3 2" xfId="256" xr:uid="{694FDE57-E783-40C8-9818-A8F387275B50}"/>
    <cellStyle name="쉼표 2 2 2 3 2 2" xfId="352" xr:uid="{9ACAAD40-182C-4B8A-8DE1-33C3BEC81EFD}"/>
    <cellStyle name="쉼표 2 2 2 3 2 2 2" xfId="544" xr:uid="{44EFA329-8025-49FF-96D5-827FCE8CDF2C}"/>
    <cellStyle name="쉼표 2 2 2 3 2 3" xfId="448" xr:uid="{4F0C0FD0-87CF-4447-A977-2A2FEA1447A8}"/>
    <cellStyle name="쉼표 2 2 2 3 3" xfId="304" xr:uid="{8B331DA6-3D17-48DD-A82E-F876741D38B0}"/>
    <cellStyle name="쉼표 2 2 2 3 3 2" xfId="496" xr:uid="{0D234F59-2CFF-4B52-AEA6-A5107F172C95}"/>
    <cellStyle name="쉼표 2 2 2 3 4" xfId="400" xr:uid="{8296AC89-BEF0-4050-80BF-F41498D1F20C}"/>
    <cellStyle name="쉼표 2 2 2 4" xfId="232" xr:uid="{C7330B7D-20ED-4DAF-84EB-C98CEAB21CF0}"/>
    <cellStyle name="쉼표 2 2 2 4 2" xfId="328" xr:uid="{DA136C36-9AB2-491C-B692-146E4972D5C4}"/>
    <cellStyle name="쉼표 2 2 2 4 2 2" xfId="520" xr:uid="{12E18B0E-CD9F-4D5C-954B-1E566DFA3762}"/>
    <cellStyle name="쉼표 2 2 2 4 3" xfId="424" xr:uid="{BBE3ED01-C8E1-4A04-9D82-818239C69DDC}"/>
    <cellStyle name="쉼표 2 2 2 5" xfId="280" xr:uid="{445E1F63-833B-4C91-ADE0-2EBFE58D4A76}"/>
    <cellStyle name="쉼표 2 2 2 5 2" xfId="472" xr:uid="{6B5FFB6D-B4A1-465D-99E1-122DB429762E}"/>
    <cellStyle name="쉼표 2 2 2 6" xfId="376" xr:uid="{2E187D51-E731-4787-B3DE-BDE3F8179E5B}"/>
    <cellStyle name="쉼표 2 2 3" xfId="192" xr:uid="{4E988D6A-F228-469C-B826-7E74F014DEF3}"/>
    <cellStyle name="쉼표 2 2 3 2" xfId="216" xr:uid="{E9B5467B-D5C0-47EE-AFAA-FE32D75892CF}"/>
    <cellStyle name="쉼표 2 2 3 2 2" xfId="264" xr:uid="{12B356A5-7EA8-4231-BD1C-B0A79FBB26F1}"/>
    <cellStyle name="쉼표 2 2 3 2 2 2" xfId="360" xr:uid="{0F4685A8-2AE8-49C8-91C0-7A654694DB06}"/>
    <cellStyle name="쉼표 2 2 3 2 2 2 2" xfId="552" xr:uid="{612CD692-755E-4E9F-AD27-472921B1AE50}"/>
    <cellStyle name="쉼표 2 2 3 2 2 3" xfId="456" xr:uid="{41960E4F-E2C7-4556-9747-488FEDC96086}"/>
    <cellStyle name="쉼표 2 2 3 2 3" xfId="312" xr:uid="{EBDC6B24-A705-478A-906E-32579C78D63F}"/>
    <cellStyle name="쉼표 2 2 3 2 3 2" xfId="504" xr:uid="{DB1BDCB8-77AD-4582-987F-FD630D79E245}"/>
    <cellStyle name="쉼표 2 2 3 2 4" xfId="408" xr:uid="{6DAE47F1-F115-45E1-B2B9-08900AF417F5}"/>
    <cellStyle name="쉼표 2 2 3 3" xfId="240" xr:uid="{B4D37784-FB76-4464-8A40-8F1E3106C147}"/>
    <cellStyle name="쉼표 2 2 3 3 2" xfId="336" xr:uid="{EF4B302A-2A03-4026-8F50-D8C17902AE0B}"/>
    <cellStyle name="쉼표 2 2 3 3 2 2" xfId="528" xr:uid="{388989D3-D585-4A4C-8E0D-7F49DCD5EF0C}"/>
    <cellStyle name="쉼표 2 2 3 3 3" xfId="432" xr:uid="{2C75D367-E1D8-4982-978E-44CACC06DD7E}"/>
    <cellStyle name="쉼표 2 2 3 4" xfId="288" xr:uid="{E16047E2-7347-4636-A70A-CE741BF2FDAE}"/>
    <cellStyle name="쉼표 2 2 3 4 2" xfId="480" xr:uid="{0A8695C0-C9AB-4FC9-85F6-A6739FABBBDA}"/>
    <cellStyle name="쉼표 2 2 3 5" xfId="384" xr:uid="{24632706-B03C-493A-8508-4BE1C3404AA9}"/>
    <cellStyle name="쉼표 2 2 4" xfId="204" xr:uid="{E0ED7524-0CD1-4128-8400-C34C0F15F66A}"/>
    <cellStyle name="쉼표 2 2 4 2" xfId="252" xr:uid="{7C5DD8A5-B162-43B6-B39E-5B3F19176F71}"/>
    <cellStyle name="쉼표 2 2 4 2 2" xfId="348" xr:uid="{0C5A3F97-6240-4883-BD52-3BB6E88CE992}"/>
    <cellStyle name="쉼표 2 2 4 2 2 2" xfId="540" xr:uid="{AB0994B9-5260-4C5E-871B-DA999D84E213}"/>
    <cellStyle name="쉼표 2 2 4 2 3" xfId="444" xr:uid="{353D8D30-8158-46DB-A4CB-890B23C035C1}"/>
    <cellStyle name="쉼표 2 2 4 3" xfId="300" xr:uid="{009C2DEE-94B8-4DE7-9FF8-44909A138961}"/>
    <cellStyle name="쉼표 2 2 4 3 2" xfId="492" xr:uid="{5976A52D-3885-4603-BEFC-A49C325B8D7A}"/>
    <cellStyle name="쉼표 2 2 4 4" xfId="396" xr:uid="{092DFCCB-CA88-4969-BE49-2A35CB1F51D7}"/>
    <cellStyle name="쉼표 2 2 5" xfId="228" xr:uid="{69601666-069C-47E4-AB15-8499E81C78ED}"/>
    <cellStyle name="쉼표 2 2 5 2" xfId="324" xr:uid="{71AFAC4F-D9E0-4866-B34D-5EB1F1BAFF9F}"/>
    <cellStyle name="쉼표 2 2 5 2 2" xfId="516" xr:uid="{A6722BFC-5038-43FD-9760-39E2DA7D1141}"/>
    <cellStyle name="쉼표 2 2 5 3" xfId="420" xr:uid="{C83A5A06-A75C-4087-AD3E-E92B5E3EAC29}"/>
    <cellStyle name="쉼표 2 2 6" xfId="276" xr:uid="{0B301DFE-9879-47E8-BBE1-120958362DBD}"/>
    <cellStyle name="쉼표 2 2 6 2" xfId="468" xr:uid="{C85DF6C3-8175-4D11-AF62-C03A27D966FC}"/>
    <cellStyle name="쉼표 2 2 7" xfId="372" xr:uid="{6CB6A9DA-D11B-4152-A19E-B400684BC35B}"/>
    <cellStyle name="쉼표 2 3" xfId="181" xr:uid="{761DC08B-C687-49C6-B55C-D9975483DA2E}"/>
    <cellStyle name="쉼표 2 3 2" xfId="194" xr:uid="{51EBAE3D-80AB-4033-9B53-657709D427CD}"/>
    <cellStyle name="쉼표 2 3 2 2" xfId="218" xr:uid="{5F91F949-E45D-4AB7-8E4E-4ED27AA33A59}"/>
    <cellStyle name="쉼표 2 3 2 2 2" xfId="266" xr:uid="{E744B61F-7091-4FBD-BF7A-D8869E97516A}"/>
    <cellStyle name="쉼표 2 3 2 2 2 2" xfId="362" xr:uid="{A61CDEE5-34DE-4E8C-8C13-115E36EF9627}"/>
    <cellStyle name="쉼표 2 3 2 2 2 2 2" xfId="554" xr:uid="{1CD8D6CD-369C-420E-8116-9BB186688FC0}"/>
    <cellStyle name="쉼표 2 3 2 2 2 3" xfId="458" xr:uid="{2B14E7CB-E455-46D3-8695-8E8E7EEE7A9D}"/>
    <cellStyle name="쉼표 2 3 2 2 3" xfId="314" xr:uid="{6FF5DA73-2E41-4CE8-B752-416C640A95FE}"/>
    <cellStyle name="쉼표 2 3 2 2 3 2" xfId="506" xr:uid="{B02A52A6-6442-4150-A490-B645C5E1B120}"/>
    <cellStyle name="쉼표 2 3 2 2 4" xfId="410" xr:uid="{49C8FD30-43D8-47A1-A545-A3F2127A877B}"/>
    <cellStyle name="쉼표 2 3 2 3" xfId="242" xr:uid="{2E64A08F-646F-4848-AC75-C1079EAE9143}"/>
    <cellStyle name="쉼표 2 3 2 3 2" xfId="338" xr:uid="{F4A2999D-8A35-47C2-8569-03F244656B81}"/>
    <cellStyle name="쉼표 2 3 2 3 2 2" xfId="530" xr:uid="{33D8377E-5C5F-4241-B15B-CE5ECFC5E186}"/>
    <cellStyle name="쉼표 2 3 2 3 3" xfId="434" xr:uid="{D8F5D852-554A-4B75-B810-E1C70ABA7BD9}"/>
    <cellStyle name="쉼표 2 3 2 4" xfId="290" xr:uid="{05A6404E-F1BA-4798-B914-D5F81461A529}"/>
    <cellStyle name="쉼표 2 3 2 4 2" xfId="482" xr:uid="{DC1B3CC1-FCC5-47C0-9F08-44AC22CE499C}"/>
    <cellStyle name="쉼표 2 3 2 5" xfId="386" xr:uid="{11FAF79F-AD1E-404A-A2FB-6AE2482FCA28}"/>
    <cellStyle name="쉼표 2 3 3" xfId="206" xr:uid="{46DF85EB-FFF4-42A7-A150-21316AA8B7E8}"/>
    <cellStyle name="쉼표 2 3 3 2" xfId="254" xr:uid="{C1371C0B-DF64-40F4-977A-92B297868324}"/>
    <cellStyle name="쉼표 2 3 3 2 2" xfId="350" xr:uid="{D83D9C7C-B8B8-4CC5-B2C9-3FFD6FAA0BC0}"/>
    <cellStyle name="쉼표 2 3 3 2 2 2" xfId="542" xr:uid="{2C60AB52-8CE3-479C-9F8F-CBFB07BE1530}"/>
    <cellStyle name="쉼표 2 3 3 2 3" xfId="446" xr:uid="{670A91F1-95A1-4A10-8053-C4D5D8426A4D}"/>
    <cellStyle name="쉼표 2 3 3 3" xfId="302" xr:uid="{17BCB0E7-9B01-41CA-8987-7637A49DC696}"/>
    <cellStyle name="쉼표 2 3 3 3 2" xfId="494" xr:uid="{369994F0-9880-466A-8CB7-DB614F7021FF}"/>
    <cellStyle name="쉼표 2 3 3 4" xfId="398" xr:uid="{C48C099E-EC24-47E3-928B-889099B95E28}"/>
    <cellStyle name="쉼표 2 3 4" xfId="230" xr:uid="{DDD4BEF4-CDB6-4AF0-8069-EF10A222BEBB}"/>
    <cellStyle name="쉼표 2 3 4 2" xfId="326" xr:uid="{533180DC-0CE2-449C-8B99-550BB9F243DB}"/>
    <cellStyle name="쉼표 2 3 4 2 2" xfId="518" xr:uid="{0E0D681F-F8AE-4A66-A031-36C7390F71AA}"/>
    <cellStyle name="쉼표 2 3 4 3" xfId="422" xr:uid="{488E33DC-76BD-4CA3-87C2-86069B138D01}"/>
    <cellStyle name="쉼표 2 3 5" xfId="278" xr:uid="{1F8D6D23-39A9-4C43-969A-3A46482D653D}"/>
    <cellStyle name="쉼표 2 3 5 2" xfId="470" xr:uid="{CA90E97B-474E-4503-918B-476AE55F3E04}"/>
    <cellStyle name="쉼표 2 3 6" xfId="374" xr:uid="{2435B754-ADE8-4798-8975-EDF66D85C5EF}"/>
    <cellStyle name="쉼표 2 4" xfId="190" xr:uid="{701DA15D-DB54-43FA-A059-7421B43F33D3}"/>
    <cellStyle name="쉼표 2 4 2" xfId="214" xr:uid="{565485F2-08ED-428A-BC62-37B17C525725}"/>
    <cellStyle name="쉼표 2 4 2 2" xfId="262" xr:uid="{40EAFA53-DFDA-4FAF-B502-6FC54D46A74E}"/>
    <cellStyle name="쉼표 2 4 2 2 2" xfId="358" xr:uid="{DA1F6457-1FE4-421C-B807-B75DDB98DD77}"/>
    <cellStyle name="쉼표 2 4 2 2 2 2" xfId="550" xr:uid="{9C54E4E4-5F12-4FFB-A906-0CD7F658D641}"/>
    <cellStyle name="쉼표 2 4 2 2 3" xfId="454" xr:uid="{29EB8AD6-1F20-47DE-8C58-151782F5F9BE}"/>
    <cellStyle name="쉼표 2 4 2 3" xfId="310" xr:uid="{A7916212-2B5C-4717-A5C1-CB38C8E5D738}"/>
    <cellStyle name="쉼표 2 4 2 3 2" xfId="502" xr:uid="{1D124710-7325-4886-9312-94C4425BB18C}"/>
    <cellStyle name="쉼표 2 4 2 4" xfId="406" xr:uid="{6793CA92-AFDA-4EE2-9EEF-97F685D281BB}"/>
    <cellStyle name="쉼표 2 4 3" xfId="238" xr:uid="{CFE235E9-9BCB-453D-8BAE-C8CB97300478}"/>
    <cellStyle name="쉼표 2 4 3 2" xfId="334" xr:uid="{35B9C730-87BC-4EF4-9AB3-285B5376C160}"/>
    <cellStyle name="쉼표 2 4 3 2 2" xfId="526" xr:uid="{7CBEF38A-DAAE-4D28-AA15-2A010E97CFCC}"/>
    <cellStyle name="쉼표 2 4 3 3" xfId="430" xr:uid="{53407827-5903-49AB-BB04-C6DAF0188295}"/>
    <cellStyle name="쉼표 2 4 4" xfId="286" xr:uid="{4F1E3639-418E-455B-B112-BE36B3CFB7DF}"/>
    <cellStyle name="쉼표 2 4 4 2" xfId="478" xr:uid="{1BDD9CFF-B891-47CC-85F0-C089DABB4D22}"/>
    <cellStyle name="쉼표 2 4 5" xfId="382" xr:uid="{092B0694-DDEC-4141-B049-642D035F5E34}"/>
    <cellStyle name="쉼표 2 5" xfId="202" xr:uid="{A59A0DD7-55D8-4D1D-BAE7-12EC6B9F8ED5}"/>
    <cellStyle name="쉼표 2 5 2" xfId="250" xr:uid="{19ACD0F0-26F3-414D-ACCD-DF5B61149736}"/>
    <cellStyle name="쉼표 2 5 2 2" xfId="346" xr:uid="{B6CD2FCC-3430-4650-BEA7-7E4AD7CF44C5}"/>
    <cellStyle name="쉼표 2 5 2 2 2" xfId="538" xr:uid="{0047B1E2-C6C4-4C58-B005-A24120A8B846}"/>
    <cellStyle name="쉼표 2 5 2 3" xfId="442" xr:uid="{A881EA1D-972D-46DF-8C85-C1EF87ED1486}"/>
    <cellStyle name="쉼표 2 5 3" xfId="298" xr:uid="{8BE10F44-9F9C-47EF-8FDA-02EFFC358E75}"/>
    <cellStyle name="쉼표 2 5 3 2" xfId="490" xr:uid="{CFED2A30-1AD7-4DAA-838F-26135AB4008A}"/>
    <cellStyle name="쉼표 2 5 4" xfId="394" xr:uid="{827B84F5-CF8F-4CA1-9376-D183954FE74E}"/>
    <cellStyle name="쉼표 2 6" xfId="226" xr:uid="{1C328311-7076-4A7A-8027-562273DD141E}"/>
    <cellStyle name="쉼표 2 6 2" xfId="322" xr:uid="{FFF510D2-F918-41C7-8AE0-97CCB1941C15}"/>
    <cellStyle name="쉼표 2 6 2 2" xfId="514" xr:uid="{04512A37-C38F-455D-8426-F1F65CC67D36}"/>
    <cellStyle name="쉼표 2 6 3" xfId="418" xr:uid="{02702390-CD76-49AE-B6B5-4E2EEE7DB0F0}"/>
    <cellStyle name="쉼표 2 7" xfId="274" xr:uid="{21114949-54CD-41B0-B398-E3D079F8EB89}"/>
    <cellStyle name="쉼표 2 7 2" xfId="466" xr:uid="{7BF979B7-073E-4EA1-97E0-CFE2630FDAFD}"/>
    <cellStyle name="쉼표 2 8" xfId="370" xr:uid="{379E9622-989D-4AD2-AFD1-1382AC0B060E}"/>
    <cellStyle name="쉼표 3" xfId="175" xr:uid="{EADEBB91-A876-4CFD-B2E8-8EA778DC038B}"/>
    <cellStyle name="쉼표 3 2" xfId="180" xr:uid="{47C9EA6D-C927-4A50-8BBC-8EE0F166C2FE}"/>
    <cellStyle name="쉼표 3 2 2" xfId="184" xr:uid="{2F4A745E-B806-4C10-BFFB-9D8927916B55}"/>
    <cellStyle name="쉼표 3 2 2 2" xfId="197" xr:uid="{F5242A59-E04B-4010-8D94-6885CFA6EB1A}"/>
    <cellStyle name="쉼표 3 2 2 2 2" xfId="221" xr:uid="{B8E1AD1C-2A6E-452C-B9A1-9A35DC99D976}"/>
    <cellStyle name="쉼표 3 2 2 2 2 2" xfId="269" xr:uid="{ED87E84E-A734-4E43-BC40-841FAFA0879A}"/>
    <cellStyle name="쉼표 3 2 2 2 2 2 2" xfId="365" xr:uid="{DAD075AD-D76E-47EC-B3AC-107696FBC56A}"/>
    <cellStyle name="쉼표 3 2 2 2 2 2 2 2" xfId="557" xr:uid="{52A66535-12D4-46A3-8610-0DD76959A9E2}"/>
    <cellStyle name="쉼표 3 2 2 2 2 2 3" xfId="461" xr:uid="{AEF17A67-314D-4ED4-B864-E75B497BA4FD}"/>
    <cellStyle name="쉼표 3 2 2 2 2 3" xfId="317" xr:uid="{C1482920-D24F-476A-952D-4235587908EE}"/>
    <cellStyle name="쉼표 3 2 2 2 2 3 2" xfId="509" xr:uid="{B2442C7F-BF47-4E7C-822C-E9A69ED7DC4B}"/>
    <cellStyle name="쉼표 3 2 2 2 2 4" xfId="413" xr:uid="{182D6E69-6A3B-4AC5-9970-C5B6293E0753}"/>
    <cellStyle name="쉼표 3 2 2 2 3" xfId="245" xr:uid="{FE00DEFE-F56A-4C1E-88A6-030A1276820B}"/>
    <cellStyle name="쉼표 3 2 2 2 3 2" xfId="341" xr:uid="{A8652124-B970-435B-9DB3-18186DFF27D0}"/>
    <cellStyle name="쉼표 3 2 2 2 3 2 2" xfId="533" xr:uid="{7A6F4F69-F3B2-43FD-A0DA-F969FEA585A0}"/>
    <cellStyle name="쉼표 3 2 2 2 3 3" xfId="437" xr:uid="{2371DF52-A389-41F7-BF9C-78636AC91C6F}"/>
    <cellStyle name="쉼표 3 2 2 2 4" xfId="293" xr:uid="{B582D393-5707-406F-82D2-395D5FFD39C4}"/>
    <cellStyle name="쉼표 3 2 2 2 4 2" xfId="485" xr:uid="{6959CEA5-4A9F-4394-BCAD-01E85679ED0A}"/>
    <cellStyle name="쉼표 3 2 2 2 5" xfId="389" xr:uid="{E02EF69B-D381-47B0-9E5E-2615F1489DEF}"/>
    <cellStyle name="쉼표 3 2 2 3" xfId="209" xr:uid="{D9A51FA9-C98D-4114-9112-E49D77E1C317}"/>
    <cellStyle name="쉼표 3 2 2 3 2" xfId="257" xr:uid="{89C79FBB-99B9-48B7-B418-6C41DC75D7E1}"/>
    <cellStyle name="쉼표 3 2 2 3 2 2" xfId="353" xr:uid="{521C7017-B876-45BD-8C2D-A43FCF238A7E}"/>
    <cellStyle name="쉼표 3 2 2 3 2 2 2" xfId="545" xr:uid="{C9969231-442E-4D73-B496-C7CF72A5A257}"/>
    <cellStyle name="쉼표 3 2 2 3 2 3" xfId="449" xr:uid="{97E58CC7-6CEE-4688-8BE9-D896838299FE}"/>
    <cellStyle name="쉼표 3 2 2 3 3" xfId="305" xr:uid="{A0A11268-9016-40E6-B344-1EDE07F0B6C9}"/>
    <cellStyle name="쉼표 3 2 2 3 3 2" xfId="497" xr:uid="{41FD11A1-ED06-4BC2-B0F7-A0D6C3B09A77}"/>
    <cellStyle name="쉼표 3 2 2 3 4" xfId="401" xr:uid="{6DC2946D-7FBF-4E97-BD69-8F6C7B781400}"/>
    <cellStyle name="쉼표 3 2 2 4" xfId="233" xr:uid="{E7E60DDF-2B84-4C8B-8684-6F5C0452A406}"/>
    <cellStyle name="쉼표 3 2 2 4 2" xfId="329" xr:uid="{01C334BC-1A73-40C7-B606-ADF25CF25C15}"/>
    <cellStyle name="쉼표 3 2 2 4 2 2" xfId="521" xr:uid="{B18607B6-FA83-4671-B37D-3878AF04A6F4}"/>
    <cellStyle name="쉼표 3 2 2 4 3" xfId="425" xr:uid="{17F8DC87-1621-4E60-A7E9-FA31DD7B66C8}"/>
    <cellStyle name="쉼표 3 2 2 5" xfId="281" xr:uid="{7D22A034-05FA-494A-8E86-6A545354A6C8}"/>
    <cellStyle name="쉼표 3 2 2 5 2" xfId="473" xr:uid="{99C676F7-E2F4-479F-822A-277917198153}"/>
    <cellStyle name="쉼표 3 2 2 6" xfId="377" xr:uid="{8634DB39-BEE7-4E2F-A3D7-CC05AD464D76}"/>
    <cellStyle name="쉼표 3 2 3" xfId="193" xr:uid="{54F8F5F4-B4F7-4576-B3B3-2791C8EFA1F1}"/>
    <cellStyle name="쉼표 3 2 3 2" xfId="217" xr:uid="{C3B297A2-8015-4F9D-A8D1-F385139457D8}"/>
    <cellStyle name="쉼표 3 2 3 2 2" xfId="265" xr:uid="{AF6A69F3-B6E3-4B58-8BC4-49AFEADDF31B}"/>
    <cellStyle name="쉼표 3 2 3 2 2 2" xfId="361" xr:uid="{02D9E22E-030C-464E-BC2D-7F2B4544159D}"/>
    <cellStyle name="쉼표 3 2 3 2 2 2 2" xfId="553" xr:uid="{62B297B5-1B20-4A4D-B87B-AAE01A57E78D}"/>
    <cellStyle name="쉼표 3 2 3 2 2 3" xfId="457" xr:uid="{2E8BFC02-D435-4D47-A89C-91B8DF5C5AAD}"/>
    <cellStyle name="쉼표 3 2 3 2 3" xfId="313" xr:uid="{438F717F-FBD4-4018-A6F1-C842118F6E5C}"/>
    <cellStyle name="쉼표 3 2 3 2 3 2" xfId="505" xr:uid="{0F1BF5A5-8AE7-4EFA-9EDE-FA74C3D87659}"/>
    <cellStyle name="쉼표 3 2 3 2 4" xfId="409" xr:uid="{D0EABF83-D861-4127-BBE1-BBC5C4A6F9A5}"/>
    <cellStyle name="쉼표 3 2 3 3" xfId="241" xr:uid="{0FA720E2-F48D-4250-9813-8AA887B89D26}"/>
    <cellStyle name="쉼표 3 2 3 3 2" xfId="337" xr:uid="{A0E545B2-1DC7-44B4-BBD4-9E77132A8B17}"/>
    <cellStyle name="쉼표 3 2 3 3 2 2" xfId="529" xr:uid="{22F48AE1-2A65-4EA8-9AFC-6D74214297D7}"/>
    <cellStyle name="쉼표 3 2 3 3 3" xfId="433" xr:uid="{68992E5F-058B-4C2D-A308-A0ED458819D5}"/>
    <cellStyle name="쉼표 3 2 3 4" xfId="289" xr:uid="{60D7FB58-91BB-472A-AB4F-BEACDFED77F6}"/>
    <cellStyle name="쉼표 3 2 3 4 2" xfId="481" xr:uid="{935DC32C-6F69-4868-A90B-212FFAF0E008}"/>
    <cellStyle name="쉼표 3 2 3 5" xfId="385" xr:uid="{2972D180-9915-42E5-A6EB-E10D828B760B}"/>
    <cellStyle name="쉼표 3 2 4" xfId="205" xr:uid="{BF958A4C-CBCE-4F83-BD2E-A513468C8D88}"/>
    <cellStyle name="쉼표 3 2 4 2" xfId="253" xr:uid="{F3784BE7-5758-437A-82B1-F5749469504A}"/>
    <cellStyle name="쉼표 3 2 4 2 2" xfId="349" xr:uid="{772996AC-1E12-46BB-B9BB-837CA62BC80D}"/>
    <cellStyle name="쉼표 3 2 4 2 2 2" xfId="541" xr:uid="{A4A45BAE-32CC-4E26-8A8D-6353412A92A1}"/>
    <cellStyle name="쉼표 3 2 4 2 3" xfId="445" xr:uid="{DCABC984-58AF-4177-86E9-5F1A47B5F45E}"/>
    <cellStyle name="쉼표 3 2 4 3" xfId="301" xr:uid="{B757BAE0-203A-49A6-B85E-35C6CD58846A}"/>
    <cellStyle name="쉼표 3 2 4 3 2" xfId="493" xr:uid="{E128A7D1-53AB-43D1-AE24-7B597DAD3A1B}"/>
    <cellStyle name="쉼표 3 2 4 4" xfId="397" xr:uid="{0C0305E2-08DA-4B03-9E72-A54DE82A1521}"/>
    <cellStyle name="쉼표 3 2 5" xfId="229" xr:uid="{EE2222A3-EBEB-4114-A64B-08EBBA4DF2AA}"/>
    <cellStyle name="쉼표 3 2 5 2" xfId="325" xr:uid="{086160B3-A292-4F72-A9D7-FCEDDAC2EFFF}"/>
    <cellStyle name="쉼표 3 2 5 2 2" xfId="517" xr:uid="{6432B1FE-2157-45EE-8635-E9EEAB2CD6EA}"/>
    <cellStyle name="쉼표 3 2 5 3" xfId="421" xr:uid="{CB24E553-E6BE-4897-9475-9A56E14B3507}"/>
    <cellStyle name="쉼표 3 2 6" xfId="277" xr:uid="{FE86E25A-BA70-4FC2-B139-F11753171140}"/>
    <cellStyle name="쉼표 3 2 6 2" xfId="469" xr:uid="{41180D8F-962E-469F-9C34-FC0961AE264F}"/>
    <cellStyle name="쉼표 3 2 7" xfId="373" xr:uid="{DA6F6BF7-CA81-4AFD-B597-D1AA88565356}"/>
    <cellStyle name="쉼표 3 3" xfId="182" xr:uid="{ADF6981B-BFCF-46CC-8A9C-9C7CAF74D2C7}"/>
    <cellStyle name="쉼표 3 3 2" xfId="195" xr:uid="{E2E6858A-2E92-4CDF-9FDF-8E5EC669363B}"/>
    <cellStyle name="쉼표 3 3 2 2" xfId="219" xr:uid="{406C10EE-F994-4131-BB52-6B356A22026A}"/>
    <cellStyle name="쉼표 3 3 2 2 2" xfId="267" xr:uid="{F3D0D317-99AD-4F90-9EBB-F8956CCF2671}"/>
    <cellStyle name="쉼표 3 3 2 2 2 2" xfId="363" xr:uid="{D57ACD7B-182B-46DC-AA7D-08E6E402AE86}"/>
    <cellStyle name="쉼표 3 3 2 2 2 2 2" xfId="555" xr:uid="{DDD60F15-54E3-4A39-8E3B-8B0BFBBE6055}"/>
    <cellStyle name="쉼표 3 3 2 2 2 3" xfId="459" xr:uid="{94F6CC7B-89EE-45D5-B83B-8895379588A7}"/>
    <cellStyle name="쉼표 3 3 2 2 3" xfId="315" xr:uid="{2A6B9959-625A-4C68-ACBE-CE106D04457D}"/>
    <cellStyle name="쉼표 3 3 2 2 3 2" xfId="507" xr:uid="{8F2A5890-B24C-4D16-AA5F-E3084784FC5B}"/>
    <cellStyle name="쉼표 3 3 2 2 4" xfId="411" xr:uid="{39B55FB9-1340-4771-ADFF-059BC4D2F78C}"/>
    <cellStyle name="쉼표 3 3 2 3" xfId="243" xr:uid="{15E7F60D-EEDD-4957-A7A2-68B1D463B769}"/>
    <cellStyle name="쉼표 3 3 2 3 2" xfId="339" xr:uid="{E80B2206-C60D-4C75-AC99-2E08196F796F}"/>
    <cellStyle name="쉼표 3 3 2 3 2 2" xfId="531" xr:uid="{4FC48F58-5777-4BF0-9F8E-137EF249B7CF}"/>
    <cellStyle name="쉼표 3 3 2 3 3" xfId="435" xr:uid="{058FB6BC-535F-4560-B3BA-BF823BB682DB}"/>
    <cellStyle name="쉼표 3 3 2 4" xfId="291" xr:uid="{AA03FE90-64B3-45C5-B8F0-D0FA3B136C8F}"/>
    <cellStyle name="쉼표 3 3 2 4 2" xfId="483" xr:uid="{AC1CD284-721D-4A4A-A04E-6BDEB4F1CA47}"/>
    <cellStyle name="쉼표 3 3 2 5" xfId="387" xr:uid="{63AD2F13-042A-4723-AB8E-DF9029AE7021}"/>
    <cellStyle name="쉼표 3 3 3" xfId="207" xr:uid="{8A0FA198-A96F-4A7F-97AA-3B34FF4F2155}"/>
    <cellStyle name="쉼표 3 3 3 2" xfId="255" xr:uid="{2B5A31FB-58AB-4215-8611-C527A2DB1398}"/>
    <cellStyle name="쉼표 3 3 3 2 2" xfId="351" xr:uid="{DD57C71D-76E5-4270-B870-CD125FBC01F2}"/>
    <cellStyle name="쉼표 3 3 3 2 2 2" xfId="543" xr:uid="{C71A4A8C-483D-4F3D-A003-981B940AFBF2}"/>
    <cellStyle name="쉼표 3 3 3 2 3" xfId="447" xr:uid="{361F7F05-E2BA-4C87-A6F4-5B77FDEEBD6A}"/>
    <cellStyle name="쉼표 3 3 3 3" xfId="303" xr:uid="{4F3DCCAF-2737-4BBC-AB38-2BF0D9F75F4E}"/>
    <cellStyle name="쉼표 3 3 3 3 2" xfId="495" xr:uid="{44362F19-1460-4021-B2CE-D26029586BE5}"/>
    <cellStyle name="쉼표 3 3 3 4" xfId="399" xr:uid="{9250E66D-6203-4891-9EC2-D2C80F5D9AA4}"/>
    <cellStyle name="쉼표 3 3 4" xfId="231" xr:uid="{1CE28FAA-60CA-4851-84C2-0DBE150F9D3B}"/>
    <cellStyle name="쉼표 3 3 4 2" xfId="327" xr:uid="{90B0F13C-CC43-4330-80D1-0445BFEC9ACF}"/>
    <cellStyle name="쉼표 3 3 4 2 2" xfId="519" xr:uid="{E17E5A13-9EE4-4A7A-887E-99C6B6C0C064}"/>
    <cellStyle name="쉼표 3 3 4 3" xfId="423" xr:uid="{43BACF45-804C-4676-B2D1-4BD9D69CA4EA}"/>
    <cellStyle name="쉼표 3 3 5" xfId="279" xr:uid="{C1CC27A7-2727-4B4C-8CFD-AD2A34FCF73E}"/>
    <cellStyle name="쉼표 3 3 5 2" xfId="471" xr:uid="{245E176D-B0E5-408E-B529-2E016CA3E7D0}"/>
    <cellStyle name="쉼표 3 3 6" xfId="375" xr:uid="{F487D0C8-24CA-4522-9A78-7A0F1D2679D6}"/>
    <cellStyle name="쉼표 3 4" xfId="191" xr:uid="{F828BA3C-3F38-4F64-B0BF-DD9C956FBD5C}"/>
    <cellStyle name="쉼표 3 4 2" xfId="215" xr:uid="{D5D53043-CB75-437F-A599-24FA197BC2A3}"/>
    <cellStyle name="쉼표 3 4 2 2" xfId="263" xr:uid="{E15FBA64-45AF-45B0-BBE3-B456D46B4732}"/>
    <cellStyle name="쉼표 3 4 2 2 2" xfId="359" xr:uid="{FFEC17F6-63B1-4EC0-AE8B-41A16ED2E712}"/>
    <cellStyle name="쉼표 3 4 2 2 2 2" xfId="551" xr:uid="{67470A52-8D2E-4CCC-A8DB-EC5809AB88BE}"/>
    <cellStyle name="쉼표 3 4 2 2 3" xfId="455" xr:uid="{39BF4CBF-3F78-42BD-8CF9-4F031489CD77}"/>
    <cellStyle name="쉼표 3 4 2 3" xfId="311" xr:uid="{AD6D75D7-CE02-4523-9F61-1C98F86C41AF}"/>
    <cellStyle name="쉼표 3 4 2 3 2" xfId="503" xr:uid="{356B28DB-E9D8-479D-92EB-4B7649C031C6}"/>
    <cellStyle name="쉼표 3 4 2 4" xfId="407" xr:uid="{5EEB6EF7-CD07-4FC8-99FC-F8C17E540436}"/>
    <cellStyle name="쉼표 3 4 3" xfId="239" xr:uid="{E2976A59-1197-4805-963B-B1F6B923CFA6}"/>
    <cellStyle name="쉼표 3 4 3 2" xfId="335" xr:uid="{3A286DC6-AB63-46D4-A412-3880F3901294}"/>
    <cellStyle name="쉼표 3 4 3 2 2" xfId="527" xr:uid="{0E7B74CC-C9CD-4072-A145-2581D5D7A1BC}"/>
    <cellStyle name="쉼표 3 4 3 3" xfId="431" xr:uid="{C5E98733-C497-4061-9AA2-9B44BD2F8651}"/>
    <cellStyle name="쉼표 3 4 4" xfId="287" xr:uid="{6277A7FD-E821-4BDA-BD59-D521C17DFC82}"/>
    <cellStyle name="쉼표 3 4 4 2" xfId="479" xr:uid="{97F8B828-916F-4741-A6C9-6A07D5A43F9B}"/>
    <cellStyle name="쉼표 3 4 5" xfId="383" xr:uid="{6B899C47-4D8D-48C0-8927-3C441DBD44A1}"/>
    <cellStyle name="쉼표 3 5" xfId="203" xr:uid="{7E0050AC-8E34-48E7-A9C7-C3DE2E211FBA}"/>
    <cellStyle name="쉼표 3 5 2" xfId="251" xr:uid="{5C517D64-BAFA-4307-9D73-0593FBA9F881}"/>
    <cellStyle name="쉼표 3 5 2 2" xfId="347" xr:uid="{D28A4DF8-8358-4E34-A6CB-3C23EAA34E5C}"/>
    <cellStyle name="쉼표 3 5 2 2 2" xfId="539" xr:uid="{0260B28C-4D5C-4A45-A796-5601381516EE}"/>
    <cellStyle name="쉼표 3 5 2 3" xfId="443" xr:uid="{7E3FF67D-1128-482F-BD84-9012D03FB1DD}"/>
    <cellStyle name="쉼표 3 5 3" xfId="299" xr:uid="{0A7E0DB7-E35A-4525-81DC-276B890AEA20}"/>
    <cellStyle name="쉼표 3 5 3 2" xfId="491" xr:uid="{874110FC-73BC-4E95-BAE5-C198FBC6575A}"/>
    <cellStyle name="쉼표 3 5 4" xfId="395" xr:uid="{83909A2D-D1F0-4A59-AAB2-C3EDA4C747EB}"/>
    <cellStyle name="쉼표 3 6" xfId="227" xr:uid="{C3BEC567-9F50-4A35-B086-9C9704EC22BA}"/>
    <cellStyle name="쉼표 3 6 2" xfId="323" xr:uid="{21F82E52-BAC9-47A7-8B9B-2FE5D28C3E2A}"/>
    <cellStyle name="쉼표 3 6 2 2" xfId="515" xr:uid="{B7A2FCA1-F733-4250-9F8B-F7E57520D9B5}"/>
    <cellStyle name="쉼표 3 6 3" xfId="419" xr:uid="{272FD3C0-F3AB-4E14-A274-C982D05511C1}"/>
    <cellStyle name="쉼표 3 7" xfId="275" xr:uid="{31553295-8868-4B41-AFD9-41CD9F32A789}"/>
    <cellStyle name="쉼표 3 7 2" xfId="467" xr:uid="{53E39942-9B02-4E3E-8FA9-5F530FD6FDF4}"/>
    <cellStyle name="쉼표 3 8" xfId="371" xr:uid="{A50D5E96-F2DC-4D5B-99E8-76708A10A739}"/>
    <cellStyle name="千位分隔 2" xfId="186" xr:uid="{DE004B16-903C-47F6-A3D0-F48BBC500954}"/>
    <cellStyle name="千位分隔 2 2" xfId="198" xr:uid="{2C14F315-7FDE-49CE-B453-6B17E6643D24}"/>
    <cellStyle name="千位分隔 2 2 2" xfId="222" xr:uid="{64C05D31-3C91-4BD0-9C0B-79C2590F3DA8}"/>
    <cellStyle name="千位分隔 2 2 2 2" xfId="270" xr:uid="{0C32EF74-80C8-4907-B5A4-A67807B669FB}"/>
    <cellStyle name="千位分隔 2 2 2 2 2" xfId="366" xr:uid="{93C9A9C2-C10F-4984-8B21-114257C17211}"/>
    <cellStyle name="千位分隔 2 2 2 2 2 2" xfId="558" xr:uid="{0C2AEC45-CC80-4564-A1E9-267C2038F8EA}"/>
    <cellStyle name="千位分隔 2 2 2 2 3" xfId="462" xr:uid="{9C8617D5-A9A8-4982-91DB-6C75FE54E413}"/>
    <cellStyle name="千位分隔 2 2 2 3" xfId="318" xr:uid="{3EC73E80-7B37-4FCC-B391-DF07FD9323DE}"/>
    <cellStyle name="千位分隔 2 2 2 3 2" xfId="510" xr:uid="{E6840A5C-E0F2-46F5-A0E5-5823AC960548}"/>
    <cellStyle name="千位分隔 2 2 2 4" xfId="414" xr:uid="{18799283-30EB-4BFC-BA59-2ED86B0C9040}"/>
    <cellStyle name="千位分隔 2 2 3" xfId="246" xr:uid="{7E24B7FB-814A-431C-8DC5-3BE44A0CA02E}"/>
    <cellStyle name="千位分隔 2 2 3 2" xfId="342" xr:uid="{550342F2-829C-4812-9C03-2FB8352D19FD}"/>
    <cellStyle name="千位分隔 2 2 3 2 2" xfId="534" xr:uid="{CC25F48F-F9E1-4AD1-94B3-FF23D42D7A5B}"/>
    <cellStyle name="千位分隔 2 2 3 3" xfId="438" xr:uid="{8BF067E3-3924-46C4-AE0E-147A64F3FFF2}"/>
    <cellStyle name="千位分隔 2 2 4" xfId="294" xr:uid="{57FA3B70-9008-4DBE-8844-820B6C571941}"/>
    <cellStyle name="千位分隔 2 2 4 2" xfId="486" xr:uid="{C9ACF88A-52F6-4901-BE16-0B827F398989}"/>
    <cellStyle name="千位分隔 2 2 5" xfId="390" xr:uid="{F2BE26A9-99EC-49E1-B72E-AF5D8045C657}"/>
    <cellStyle name="千位分隔 2 3" xfId="210" xr:uid="{D47937E2-7D7B-44B8-8760-5118A51A6DDA}"/>
    <cellStyle name="千位分隔 2 3 2" xfId="258" xr:uid="{243BCFEA-4C5F-4AB6-8F47-7C5BFAB575BC}"/>
    <cellStyle name="千位分隔 2 3 2 2" xfId="354" xr:uid="{B4884484-C1CF-42F4-94C5-28D47371288B}"/>
    <cellStyle name="千位分隔 2 3 2 2 2" xfId="546" xr:uid="{B1E01350-99E0-45CB-8571-412EF52F7076}"/>
    <cellStyle name="千位分隔 2 3 2 3" xfId="450" xr:uid="{08DCEA30-C2BA-40C7-9DD0-CE846CEE3946}"/>
    <cellStyle name="千位分隔 2 3 3" xfId="306" xr:uid="{6EB3162E-79E0-47E2-86D0-33E438FD5EC9}"/>
    <cellStyle name="千位分隔 2 3 3 2" xfId="498" xr:uid="{ED3583BF-6C3B-4196-BE32-9C97B9DB4182}"/>
    <cellStyle name="千位分隔 2 3 4" xfId="402" xr:uid="{6B748A3B-97D0-43D3-90C5-A5EE54266136}"/>
    <cellStyle name="千位分隔 2 4" xfId="234" xr:uid="{F73C99CE-D228-4F10-B9F6-589A1756226D}"/>
    <cellStyle name="千位分隔 2 4 2" xfId="330" xr:uid="{0E9F4A98-CE5D-499E-868E-42B68A79C542}"/>
    <cellStyle name="千位分隔 2 4 2 2" xfId="522" xr:uid="{AD68A09C-8121-4D7C-9AE5-06E0C9A4A073}"/>
    <cellStyle name="千位分隔 2 4 3" xfId="426" xr:uid="{5442697A-5BE5-41B4-BE49-B084FB235DE4}"/>
    <cellStyle name="千位分隔 2 5" xfId="282" xr:uid="{EBA2E895-17D1-43CE-904E-76B22F966394}"/>
    <cellStyle name="千位分隔 2 5 2" xfId="474" xr:uid="{DC83FFFB-6207-4A28-BFBB-C039D7F474E9}"/>
    <cellStyle name="千位分隔 2 6" xfId="378" xr:uid="{51717056-8B3B-47D4-8011-961863FC94ED}"/>
    <cellStyle name="千位分隔[0] 2" xfId="177" xr:uid="{BE493978-80CD-4E86-B796-0102AB5D480A}"/>
    <cellStyle name="千位分隔[0] 3" xfId="187" xr:uid="{8046E65D-4FCE-4591-BCA7-A42F07B6F1B7}"/>
    <cellStyle name="千位分隔[0] 3 2" xfId="199" xr:uid="{DD2C9033-E2FE-4AAF-B540-B8EBF1FBB4DF}"/>
    <cellStyle name="千位分隔[0] 3 2 2" xfId="223" xr:uid="{A2ED09B1-F158-4778-9955-E9A2F28362AC}"/>
    <cellStyle name="千位分隔[0] 3 2 2 2" xfId="271" xr:uid="{E1DA7CB5-4E07-4934-8E55-B9DABF1B26E8}"/>
    <cellStyle name="千位分隔[0] 3 2 2 2 2" xfId="367" xr:uid="{3558FA81-9FB8-4030-9699-A93AE310F40C}"/>
    <cellStyle name="千位分隔[0] 3 2 2 2 2 2" xfId="559" xr:uid="{46BC1032-ED80-4966-9C60-9D2C4D6663B2}"/>
    <cellStyle name="千位分隔[0] 3 2 2 2 3" xfId="463" xr:uid="{A1A0A85D-DA66-420D-BC32-817EECFCF287}"/>
    <cellStyle name="千位分隔[0] 3 2 2 3" xfId="319" xr:uid="{C4771974-C024-4578-8B62-E3F512D93822}"/>
    <cellStyle name="千位分隔[0] 3 2 2 3 2" xfId="511" xr:uid="{A7D0A885-5208-4D96-A252-4566EED3221F}"/>
    <cellStyle name="千位分隔[0] 3 2 2 4" xfId="415" xr:uid="{C0FE920C-5BC4-45AF-A1F2-22B4B68AE7DF}"/>
    <cellStyle name="千位分隔[0] 3 2 3" xfId="247" xr:uid="{838CE669-EEC4-46AB-8071-EDE9BE200A44}"/>
    <cellStyle name="千位分隔[0] 3 2 3 2" xfId="343" xr:uid="{B4066091-8477-47E2-A570-962E5143DBA2}"/>
    <cellStyle name="千位分隔[0] 3 2 3 2 2" xfId="535" xr:uid="{95A5BE77-501F-4E7B-A4F3-40CEF712D060}"/>
    <cellStyle name="千位分隔[0] 3 2 3 3" xfId="439" xr:uid="{2397C8CB-2675-4794-AE8A-E32194FB62E3}"/>
    <cellStyle name="千位分隔[0] 3 2 4" xfId="295" xr:uid="{732A3E73-3707-47DF-ACBA-3329613D6944}"/>
    <cellStyle name="千位分隔[0] 3 2 4 2" xfId="487" xr:uid="{DC222CFB-37DB-4225-98D5-F18A1437C568}"/>
    <cellStyle name="千位分隔[0] 3 2 5" xfId="391" xr:uid="{6E7E46A9-229C-4EC5-882B-68AD9DDDDA5F}"/>
    <cellStyle name="千位分隔[0] 3 3" xfId="211" xr:uid="{7F95B901-064A-4E30-BD59-85CB241A435D}"/>
    <cellStyle name="千位分隔[0] 3 3 2" xfId="259" xr:uid="{3FB78084-155E-46F2-BA85-C4C3C3C7E3E1}"/>
    <cellStyle name="千位分隔[0] 3 3 2 2" xfId="355" xr:uid="{ADB88941-9C85-425E-BD79-FCF1E8471FDA}"/>
    <cellStyle name="千位分隔[0] 3 3 2 2 2" xfId="547" xr:uid="{B1F8EFE6-44A3-4580-8A0B-6DF33AF4689B}"/>
    <cellStyle name="千位分隔[0] 3 3 2 3" xfId="451" xr:uid="{5C4A0AEF-75D5-4B72-911B-ACD7B65755E4}"/>
    <cellStyle name="千位分隔[0] 3 3 3" xfId="307" xr:uid="{1C67B916-E504-4092-8AA8-9877DDBD280B}"/>
    <cellStyle name="千位分隔[0] 3 3 3 2" xfId="499" xr:uid="{909477E3-07F8-441C-A2D1-3540C74C2BCF}"/>
    <cellStyle name="千位分隔[0] 3 3 4" xfId="403" xr:uid="{295F37DA-76E2-4751-A91C-B9E92C54B308}"/>
    <cellStyle name="千位分隔[0] 3 4" xfId="235" xr:uid="{4DC7636A-5E56-4D55-B892-8D653947AC33}"/>
    <cellStyle name="千位分隔[0] 3 4 2" xfId="331" xr:uid="{8AA7F98E-2C80-4783-9F2D-B82E0B04CA63}"/>
    <cellStyle name="千位分隔[0] 3 4 2 2" xfId="523" xr:uid="{FBFECAA3-BB49-4F9A-AE00-7451EC08146A}"/>
    <cellStyle name="千位分隔[0] 3 4 3" xfId="427" xr:uid="{3E9F8F9F-AA1C-4CCF-B061-50CD10F7B90B}"/>
    <cellStyle name="千位分隔[0] 3 5" xfId="283" xr:uid="{AE7D5798-75A8-4080-B0AD-39A58259E6B3}"/>
    <cellStyle name="千位分隔[0] 3 5 2" xfId="475" xr:uid="{1D9F19C9-8B18-4536-B773-0DD91AF0E3A1}"/>
    <cellStyle name="千位分隔[0] 3 6" xfId="379" xr:uid="{0FE0E308-6E04-43BC-809F-2F84C3F147EF}"/>
    <cellStyle name="표준" xfId="0" builtinId="0"/>
    <cellStyle name="표준 2" xfId="3" xr:uid="{00000000-0005-0000-0000-000023000000}"/>
    <cellStyle name="표준 2 2" xfId="36" xr:uid="{00000000-0005-0000-0000-000024000000}"/>
    <cellStyle name="표준 2 2 2" xfId="37" xr:uid="{00000000-0005-0000-0000-000025000000}"/>
    <cellStyle name="표준 2 2 2 2" xfId="38" xr:uid="{00000000-0005-0000-0000-000026000000}"/>
    <cellStyle name="표준 2 2 2 2 2" xfId="39" xr:uid="{00000000-0005-0000-0000-000027000000}"/>
    <cellStyle name="표준 2 2 2 2 2 2" xfId="40" xr:uid="{00000000-0005-0000-0000-000028000000}"/>
    <cellStyle name="표준 2 2 2 2 3" xfId="41" xr:uid="{00000000-0005-0000-0000-000029000000}"/>
    <cellStyle name="표준 2 2 2 3" xfId="42" xr:uid="{00000000-0005-0000-0000-00002A000000}"/>
    <cellStyle name="표준 2 2 2 3 2" xfId="43" xr:uid="{00000000-0005-0000-0000-00002B000000}"/>
    <cellStyle name="표준 2 2 2 4" xfId="44" xr:uid="{00000000-0005-0000-0000-00002C000000}"/>
    <cellStyle name="표준 2 2 3" xfId="45" xr:uid="{00000000-0005-0000-0000-00002D000000}"/>
    <cellStyle name="표준 2 2 3 2" xfId="46" xr:uid="{00000000-0005-0000-0000-00002E000000}"/>
    <cellStyle name="표준 2 2 3 2 2" xfId="47" xr:uid="{00000000-0005-0000-0000-00002F000000}"/>
    <cellStyle name="표준 2 2 3 3" xfId="48" xr:uid="{00000000-0005-0000-0000-000030000000}"/>
    <cellStyle name="표준 2 2 4" xfId="49" xr:uid="{00000000-0005-0000-0000-000031000000}"/>
    <cellStyle name="표준 2 2 4 2" xfId="50" xr:uid="{00000000-0005-0000-0000-000032000000}"/>
    <cellStyle name="표준 2 2 5" xfId="51" xr:uid="{00000000-0005-0000-0000-000033000000}"/>
    <cellStyle name="표준 2 3" xfId="52" xr:uid="{00000000-0005-0000-0000-000034000000}"/>
    <cellStyle name="표준 2 3 2" xfId="53" xr:uid="{00000000-0005-0000-0000-000035000000}"/>
    <cellStyle name="표준 2 3 2 2" xfId="54" xr:uid="{00000000-0005-0000-0000-000036000000}"/>
    <cellStyle name="표준 2 3 2 2 2" xfId="55" xr:uid="{00000000-0005-0000-0000-000037000000}"/>
    <cellStyle name="표준 2 3 2 3" xfId="56" xr:uid="{00000000-0005-0000-0000-000038000000}"/>
    <cellStyle name="표준 2 3 3" xfId="57" xr:uid="{00000000-0005-0000-0000-000039000000}"/>
    <cellStyle name="표준 2 3 3 2" xfId="58" xr:uid="{00000000-0005-0000-0000-00003A000000}"/>
    <cellStyle name="표준 2 3 4" xfId="59" xr:uid="{00000000-0005-0000-0000-00003B000000}"/>
    <cellStyle name="표준 2 4" xfId="60" xr:uid="{00000000-0005-0000-0000-00003C000000}"/>
    <cellStyle name="표준 2 4 2" xfId="61" xr:uid="{00000000-0005-0000-0000-00003D000000}"/>
    <cellStyle name="표준 2 4 2 2" xfId="62" xr:uid="{00000000-0005-0000-0000-00003E000000}"/>
    <cellStyle name="표준 2 4 3" xfId="63" xr:uid="{00000000-0005-0000-0000-00003F000000}"/>
    <cellStyle name="표준 2 5" xfId="64" xr:uid="{00000000-0005-0000-0000-000040000000}"/>
    <cellStyle name="표준 2 5 2" xfId="65" xr:uid="{00000000-0005-0000-0000-000041000000}"/>
    <cellStyle name="표준 2 6" xfId="66" xr:uid="{00000000-0005-0000-0000-000042000000}"/>
    <cellStyle name="표준 3" xfId="67" xr:uid="{00000000-0005-0000-0000-000043000000}"/>
    <cellStyle name="표준 3 2" xfId="68" xr:uid="{00000000-0005-0000-0000-000044000000}"/>
    <cellStyle name="표준 3 2 2" xfId="69" xr:uid="{00000000-0005-0000-0000-000045000000}"/>
    <cellStyle name="표준 3 2 2 2" xfId="70" xr:uid="{00000000-0005-0000-0000-000046000000}"/>
    <cellStyle name="표준 3 2 2 2 2" xfId="71" xr:uid="{00000000-0005-0000-0000-000047000000}"/>
    <cellStyle name="표준 3 2 2 2 2 2" xfId="72" xr:uid="{00000000-0005-0000-0000-000048000000}"/>
    <cellStyle name="표준 3 2 2 2 3" xfId="73" xr:uid="{00000000-0005-0000-0000-000049000000}"/>
    <cellStyle name="표준 3 2 2 3" xfId="74" xr:uid="{00000000-0005-0000-0000-00004A000000}"/>
    <cellStyle name="표준 3 2 2 3 2" xfId="75" xr:uid="{00000000-0005-0000-0000-00004B000000}"/>
    <cellStyle name="표준 3 2 2 4" xfId="76" xr:uid="{00000000-0005-0000-0000-00004C000000}"/>
    <cellStyle name="표준 3 2 3" xfId="77" xr:uid="{00000000-0005-0000-0000-00004D000000}"/>
    <cellStyle name="표준 3 2 3 2" xfId="78" xr:uid="{00000000-0005-0000-0000-00004E000000}"/>
    <cellStyle name="표준 3 2 3 2 2" xfId="79" xr:uid="{00000000-0005-0000-0000-00004F000000}"/>
    <cellStyle name="표준 3 2 3 3" xfId="80" xr:uid="{00000000-0005-0000-0000-000050000000}"/>
    <cellStyle name="표준 3 2 4" xfId="81" xr:uid="{00000000-0005-0000-0000-000051000000}"/>
    <cellStyle name="표준 3 2 4 2" xfId="82" xr:uid="{00000000-0005-0000-0000-000052000000}"/>
    <cellStyle name="표준 3 2 5" xfId="83" xr:uid="{00000000-0005-0000-0000-000053000000}"/>
    <cellStyle name="표준 3 3" xfId="84" xr:uid="{00000000-0005-0000-0000-000054000000}"/>
    <cellStyle name="표준 3 3 2" xfId="85" xr:uid="{00000000-0005-0000-0000-000055000000}"/>
    <cellStyle name="표준 3 3 2 2" xfId="86" xr:uid="{00000000-0005-0000-0000-000056000000}"/>
    <cellStyle name="표준 3 3 2 2 2" xfId="87" xr:uid="{00000000-0005-0000-0000-000057000000}"/>
    <cellStyle name="표준 3 3 2 3" xfId="88" xr:uid="{00000000-0005-0000-0000-000058000000}"/>
    <cellStyle name="표준 3 3 3" xfId="89" xr:uid="{00000000-0005-0000-0000-000059000000}"/>
    <cellStyle name="표준 3 3 3 2" xfId="90" xr:uid="{00000000-0005-0000-0000-00005A000000}"/>
    <cellStyle name="표준 3 3 4" xfId="91" xr:uid="{00000000-0005-0000-0000-00005B000000}"/>
    <cellStyle name="표준 3 4" xfId="92" xr:uid="{00000000-0005-0000-0000-00005C000000}"/>
    <cellStyle name="표준 3 4 2" xfId="93" xr:uid="{00000000-0005-0000-0000-00005D000000}"/>
    <cellStyle name="표준 3 4 2 2" xfId="94" xr:uid="{00000000-0005-0000-0000-00005E000000}"/>
    <cellStyle name="표준 3 4 3" xfId="95" xr:uid="{00000000-0005-0000-0000-00005F000000}"/>
    <cellStyle name="표준 3 5" xfId="96" xr:uid="{00000000-0005-0000-0000-000060000000}"/>
    <cellStyle name="표준 3 5 2" xfId="97" xr:uid="{00000000-0005-0000-0000-000061000000}"/>
    <cellStyle name="표준 3 6" xfId="98" xr:uid="{00000000-0005-0000-0000-000062000000}"/>
    <cellStyle name="표준 4" xfId="99" xr:uid="{00000000-0005-0000-0000-000063000000}"/>
    <cellStyle name="표준 4 2" xfId="100" xr:uid="{00000000-0005-0000-0000-000064000000}"/>
    <cellStyle name="표준 4 2 2" xfId="101" xr:uid="{00000000-0005-0000-0000-000065000000}"/>
    <cellStyle name="표준 4 2 2 2" xfId="102" xr:uid="{00000000-0005-0000-0000-000066000000}"/>
    <cellStyle name="표준 4 2 2 2 2" xfId="103" xr:uid="{00000000-0005-0000-0000-000067000000}"/>
    <cellStyle name="표준 4 2 2 3" xfId="104" xr:uid="{00000000-0005-0000-0000-000068000000}"/>
    <cellStyle name="표준 4 2 3" xfId="105" xr:uid="{00000000-0005-0000-0000-000069000000}"/>
    <cellStyle name="표준 4 2 3 2" xfId="106" xr:uid="{00000000-0005-0000-0000-00006A000000}"/>
    <cellStyle name="표준 4 2 4" xfId="107" xr:uid="{00000000-0005-0000-0000-00006B000000}"/>
    <cellStyle name="표준 4 3" xfId="108" xr:uid="{00000000-0005-0000-0000-00006C000000}"/>
    <cellStyle name="표준 4 3 2" xfId="109" xr:uid="{00000000-0005-0000-0000-00006D000000}"/>
    <cellStyle name="표준 4 3 2 2" xfId="110" xr:uid="{00000000-0005-0000-0000-00006E000000}"/>
    <cellStyle name="표준 4 3 3" xfId="111" xr:uid="{00000000-0005-0000-0000-00006F000000}"/>
    <cellStyle name="표준 4 4" xfId="112" xr:uid="{00000000-0005-0000-0000-000070000000}"/>
    <cellStyle name="표준 4 4 2" xfId="113" xr:uid="{00000000-0005-0000-0000-000071000000}"/>
    <cellStyle name="표준 4 5" xfId="114" xr:uid="{00000000-0005-0000-0000-000072000000}"/>
    <cellStyle name="표준 5" xfId="115" xr:uid="{00000000-0005-0000-0000-000073000000}"/>
    <cellStyle name="표준 5 2" xfId="116" xr:uid="{00000000-0005-0000-0000-000074000000}"/>
    <cellStyle name="표준 5 2 2" xfId="117" xr:uid="{00000000-0005-0000-0000-000075000000}"/>
    <cellStyle name="표준 5 2 2 2" xfId="118" xr:uid="{00000000-0005-0000-0000-000076000000}"/>
    <cellStyle name="표준 5 2 2 2 2" xfId="119" xr:uid="{00000000-0005-0000-0000-000077000000}"/>
    <cellStyle name="표준 5 2 2 3" xfId="120" xr:uid="{00000000-0005-0000-0000-000078000000}"/>
    <cellStyle name="표준 5 2 3" xfId="121" xr:uid="{00000000-0005-0000-0000-000079000000}"/>
    <cellStyle name="표준 5 2 3 2" xfId="122" xr:uid="{00000000-0005-0000-0000-00007A000000}"/>
    <cellStyle name="표준 5 2 4" xfId="123" xr:uid="{00000000-0005-0000-0000-00007B000000}"/>
    <cellStyle name="표준 5 3" xfId="124" xr:uid="{00000000-0005-0000-0000-00007C000000}"/>
    <cellStyle name="표준 5 3 2" xfId="125" xr:uid="{00000000-0005-0000-0000-00007D000000}"/>
    <cellStyle name="표준 5 3 2 2" xfId="126" xr:uid="{00000000-0005-0000-0000-00007E000000}"/>
    <cellStyle name="표준 5 3 3" xfId="127" xr:uid="{00000000-0005-0000-0000-00007F000000}"/>
    <cellStyle name="표준 5 4" xfId="128" xr:uid="{00000000-0005-0000-0000-000080000000}"/>
    <cellStyle name="표준 5 4 2" xfId="129" xr:uid="{00000000-0005-0000-0000-000081000000}"/>
    <cellStyle name="표준 5 5" xfId="130" xr:uid="{00000000-0005-0000-0000-000082000000}"/>
    <cellStyle name="표준 6" xfId="131" xr:uid="{00000000-0005-0000-0000-000083000000}"/>
    <cellStyle name="표준 7" xfId="133" xr:uid="{00000000-0005-0000-0000-000084000000}"/>
    <cellStyle name="표준 7 2" xfId="139" xr:uid="{2F4A223A-AC4A-4C92-A02F-1BB409D207B7}"/>
    <cellStyle name="표준 8" xfId="136" xr:uid="{94665812-20E5-4FFA-88EB-39D1EFC2C0C7}"/>
    <cellStyle name="표준 8 2" xfId="178" xr:uid="{BA2B6CF5-34F2-44E9-BBBA-BC6D96250E5D}"/>
    <cellStyle name="표준 9" xfId="138" xr:uid="{62DB51C5-5D0F-49C3-A274-FD09A488B171}"/>
    <cellStyle name="표준_2010 대만전도금_100208" xfId="2" xr:uid="{00000000-0005-0000-0000-000085000000}"/>
    <cellStyle name="표준_2010 대만전도금_100208 2" xfId="137" xr:uid="{DC51D4E4-DCE4-4AC2-81A4-F5CF05B25866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DAEEF3"/>
          <bgColor rgb="FF000000"/>
        </patternFill>
      </fill>
    </dxf>
    <dxf>
      <fill>
        <patternFill patternType="solid">
          <fgColor rgb="FFDAEEF3"/>
          <bgColor rgb="FF000000"/>
        </patternFill>
      </fill>
    </dxf>
  </dxfs>
  <tableStyles count="0" defaultTableStyle="TableStyleMedium2" defaultPivotStyle="PivotStyleLight16"/>
  <colors>
    <mruColors>
      <color rgb="FFFFFF99"/>
      <color rgb="FFF8DA90"/>
      <color rgb="FFFEF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95250</xdr:colOff>
          <xdr:row>1</xdr:row>
          <xdr:rowOff>0</xdr:rowOff>
        </xdr:from>
        <xdr:to>
          <xdr:col>14</xdr:col>
          <xdr:colOff>142875</xdr:colOff>
          <xdr:row>5</xdr:row>
          <xdr:rowOff>66675</xdr:rowOff>
        </xdr:to>
        <xdr:sp macro="" textlink="">
          <xdr:nvSpPr>
            <xdr:cNvPr id="135177" name="Object 9" hidden="1">
              <a:extLst>
                <a:ext uri="{63B3BB69-23CF-44E3-9099-C40C66FF867C}">
                  <a14:compatExt spid="_x0000_s135177"/>
                </a:ext>
                <a:ext uri="{FF2B5EF4-FFF2-40B4-BE49-F238E27FC236}">
                  <a16:creationId xmlns:a16="http://schemas.microsoft.com/office/drawing/2014/main" id="{00000000-0008-0000-0600-00000910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158750</xdr:rowOff>
    </xdr:from>
    <xdr:to>
      <xdr:col>10</xdr:col>
      <xdr:colOff>603249</xdr:colOff>
      <xdr:row>83</xdr:row>
      <xdr:rowOff>36703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953250"/>
          <a:ext cx="9405937" cy="7736078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142876</xdr:colOff>
      <xdr:row>0</xdr:row>
      <xdr:rowOff>0</xdr:rowOff>
    </xdr:from>
    <xdr:to>
      <xdr:col>9</xdr:col>
      <xdr:colOff>127000</xdr:colOff>
      <xdr:row>36</xdr:row>
      <xdr:rowOff>165491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0"/>
          <a:ext cx="8159749" cy="6586929"/>
        </a:xfrm>
        <a:prstGeom prst="rect">
          <a:avLst/>
        </a:prstGeom>
      </xdr:spPr>
    </xdr:pic>
    <xdr:clientData/>
  </xdr:twoCellAnchor>
  <xdr:oneCellAnchor>
    <xdr:from>
      <xdr:col>12</xdr:col>
      <xdr:colOff>371515</xdr:colOff>
      <xdr:row>66</xdr:row>
      <xdr:rowOff>3669</xdr:rowOff>
    </xdr:from>
    <xdr:ext cx="7263148" cy="8509715"/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01115" y="13833969"/>
          <a:ext cx="7263148" cy="8509715"/>
        </a:xfrm>
        <a:prstGeom prst="rect">
          <a:avLst/>
        </a:prstGeom>
      </xdr:spPr>
    </xdr:pic>
    <xdr:clientData/>
  </xdr:oneCellAnchor>
  <xdr:oneCellAnchor>
    <xdr:from>
      <xdr:col>22</xdr:col>
      <xdr:colOff>8657</xdr:colOff>
      <xdr:row>97</xdr:row>
      <xdr:rowOff>161636</xdr:rowOff>
    </xdr:from>
    <xdr:ext cx="2493819" cy="346363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5096257" y="20487986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웬이하 계좌이체시 수수료</a:t>
          </a:r>
        </a:p>
      </xdr:txBody>
    </xdr:sp>
    <xdr:clientData/>
  </xdr:oneCellAnchor>
  <xdr:oneCellAnchor>
    <xdr:from>
      <xdr:col>22</xdr:col>
      <xdr:colOff>28863</xdr:colOff>
      <xdr:row>99</xdr:row>
      <xdr:rowOff>138544</xdr:rowOff>
    </xdr:from>
    <xdr:ext cx="2493819" cy="346363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15116463" y="20883994"/>
          <a:ext cx="2493819" cy="3463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매번 </a:t>
          </a:r>
          <a:r>
            <a:rPr lang="en-US" altLang="ko-KR" sz="1000" b="1">
              <a:solidFill>
                <a:srgbClr val="FF0000"/>
              </a:solidFill>
            </a:rPr>
            <a:t>10000</a:t>
          </a:r>
          <a:r>
            <a:rPr lang="ko-KR" altLang="en-US" sz="1000" b="1">
              <a:solidFill>
                <a:srgbClr val="FF0000"/>
              </a:solidFill>
            </a:rPr>
            <a:t>웬</a:t>
          </a:r>
          <a:r>
            <a:rPr lang="en-US" altLang="ko-KR" sz="1000" b="1">
              <a:solidFill>
                <a:srgbClr val="FF0000"/>
              </a:solidFill>
            </a:rPr>
            <a:t>~100000</a:t>
          </a:r>
          <a:r>
            <a:rPr lang="ko-KR" altLang="en-US" sz="1000" b="1">
              <a:solidFill>
                <a:srgbClr val="FF0000"/>
              </a:solidFill>
            </a:rPr>
            <a:t>웬 계좌이체시 수수료</a:t>
          </a:r>
        </a:p>
      </xdr:txBody>
    </xdr:sp>
    <xdr:clientData/>
  </xdr:oneCellAnchor>
  <xdr:oneCellAnchor>
    <xdr:from>
      <xdr:col>6</xdr:col>
      <xdr:colOff>1594567</xdr:colOff>
      <xdr:row>1</xdr:row>
      <xdr:rowOff>161326</xdr:rowOff>
    </xdr:from>
    <xdr:ext cx="2022990" cy="8143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608674" y="447076"/>
          <a:ext cx="2022990" cy="814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3600" b="1">
              <a:solidFill>
                <a:schemeClr val="accent6">
                  <a:lumMod val="75000"/>
                </a:schemeClr>
              </a:solidFill>
            </a:rPr>
            <a:t>USD </a:t>
          </a:r>
          <a:r>
            <a:rPr lang="ko-KR" altLang="en-US" sz="3600" b="1">
              <a:solidFill>
                <a:schemeClr val="accent6">
                  <a:lumMod val="75000"/>
                </a:schemeClr>
              </a:solidFill>
            </a:rPr>
            <a:t>내역</a:t>
          </a:r>
        </a:p>
      </xdr:txBody>
    </xdr:sp>
    <xdr:clientData/>
  </xdr:oneCellAnchor>
  <xdr:oneCellAnchor>
    <xdr:from>
      <xdr:col>1</xdr:col>
      <xdr:colOff>606626</xdr:colOff>
      <xdr:row>13</xdr:row>
      <xdr:rowOff>37356</xdr:rowOff>
    </xdr:from>
    <xdr:ext cx="1387929" cy="3897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495626" y="2418606"/>
          <a:ext cx="1387929" cy="389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입금 금액</a:t>
          </a:r>
        </a:p>
      </xdr:txBody>
    </xdr:sp>
    <xdr:clientData/>
  </xdr:oneCellAnchor>
  <xdr:oneCellAnchor>
    <xdr:from>
      <xdr:col>6</xdr:col>
      <xdr:colOff>1398583</xdr:colOff>
      <xdr:row>16</xdr:row>
      <xdr:rowOff>47618</xdr:rowOff>
    </xdr:from>
    <xdr:ext cx="1387929" cy="365191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422896" y="2952743"/>
          <a:ext cx="1387929" cy="3651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600" b="1">
              <a:solidFill>
                <a:schemeClr val="accent6">
                  <a:lumMod val="75000"/>
                </a:schemeClr>
              </a:solidFill>
            </a:rPr>
            <a:t>=&gt; </a:t>
          </a:r>
          <a:r>
            <a:rPr lang="ko-KR" altLang="en-US" sz="1600" b="1">
              <a:solidFill>
                <a:schemeClr val="accent6">
                  <a:lumMod val="75000"/>
                </a:schemeClr>
              </a:solidFill>
            </a:rPr>
            <a:t>거래 시간</a:t>
          </a:r>
        </a:p>
      </xdr:txBody>
    </xdr:sp>
    <xdr:clientData/>
  </xdr:oneCellAnchor>
  <xdr:oneCellAnchor>
    <xdr:from>
      <xdr:col>6</xdr:col>
      <xdr:colOff>2647832</xdr:colOff>
      <xdr:row>45</xdr:row>
      <xdr:rowOff>172435</xdr:rowOff>
    </xdr:from>
    <xdr:ext cx="1387929" cy="402760"/>
    <xdr:sp macro="" textlink="">
      <xdr:nvSpPr>
        <xdr:cNvPr id="10" name="TextBox 15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6672145" y="8189310"/>
          <a:ext cx="1387929" cy="4027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거래</a:t>
          </a:r>
          <a:r>
            <a:rPr lang="en-US" altLang="ko-KR" sz="1000" b="1">
              <a:solidFill>
                <a:srgbClr val="FF0000"/>
              </a:solidFill>
            </a:rPr>
            <a:t> </a:t>
          </a:r>
          <a:r>
            <a:rPr lang="ko-KR" altLang="en-US" sz="1000" b="1">
              <a:solidFill>
                <a:srgbClr val="FF0000"/>
              </a:solidFill>
            </a:rPr>
            <a:t> 기간</a:t>
          </a:r>
        </a:p>
      </xdr:txBody>
    </xdr:sp>
    <xdr:clientData/>
  </xdr:oneCellAnchor>
  <xdr:oneCellAnchor>
    <xdr:from>
      <xdr:col>6</xdr:col>
      <xdr:colOff>1585018</xdr:colOff>
      <xdr:row>38</xdr:row>
      <xdr:rowOff>167140</xdr:rowOff>
    </xdr:from>
    <xdr:ext cx="2462893" cy="814945"/>
    <xdr:sp macro="" textlink="">
      <xdr:nvSpPr>
        <xdr:cNvPr id="11" name="TextBox 17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603661" y="7206569"/>
          <a:ext cx="2462893" cy="814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ko-KR" sz="3600" b="1">
              <a:solidFill>
                <a:srgbClr val="FF0000"/>
              </a:solidFill>
            </a:rPr>
            <a:t>RMB </a:t>
          </a:r>
          <a:r>
            <a:rPr lang="ko-KR" altLang="en-US" sz="3600" b="1">
              <a:solidFill>
                <a:srgbClr val="FF0000"/>
              </a:solidFill>
            </a:rPr>
            <a:t>내역</a:t>
          </a:r>
        </a:p>
      </xdr:txBody>
    </xdr:sp>
    <xdr:clientData/>
  </xdr:oneCellAnchor>
  <xdr:oneCellAnchor>
    <xdr:from>
      <xdr:col>6</xdr:col>
      <xdr:colOff>2383661</xdr:colOff>
      <xdr:row>55</xdr:row>
      <xdr:rowOff>18720</xdr:rowOff>
    </xdr:from>
    <xdr:ext cx="1387929" cy="394608"/>
    <xdr:sp macro="" textlink="">
      <xdr:nvSpPr>
        <xdr:cNvPr id="12" name="TextBox 12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6394744" y="10062303"/>
          <a:ext cx="1387929" cy="3946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altLang="ko-KR" sz="1000" b="1">
              <a:solidFill>
                <a:srgbClr val="FF0000"/>
              </a:solidFill>
            </a:rPr>
            <a:t>=&gt; </a:t>
          </a:r>
          <a:r>
            <a:rPr lang="ko-KR" altLang="en-US" sz="1000" b="1">
              <a:solidFill>
                <a:srgbClr val="FF0000"/>
              </a:solidFill>
            </a:rPr>
            <a:t>잔액</a:t>
          </a:r>
        </a:p>
      </xdr:txBody>
    </xdr:sp>
    <xdr:clientData/>
  </xdr:oneCellAnchor>
  <xdr:twoCellAnchor editAs="oneCell">
    <xdr:from>
      <xdr:col>8</xdr:col>
      <xdr:colOff>619124</xdr:colOff>
      <xdr:row>0</xdr:row>
      <xdr:rowOff>119063</xdr:rowOff>
    </xdr:from>
    <xdr:to>
      <xdr:col>20</xdr:col>
      <xdr:colOff>395384</xdr:colOff>
      <xdr:row>33</xdr:row>
      <xdr:rowOff>111125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7687" y="119063"/>
          <a:ext cx="7324822" cy="5889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31750</xdr:rowOff>
    </xdr:from>
    <xdr:to>
      <xdr:col>10</xdr:col>
      <xdr:colOff>476250</xdr:colOff>
      <xdr:row>97</xdr:row>
      <xdr:rowOff>105569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684375"/>
          <a:ext cx="9278938" cy="2518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87313</xdr:rowOff>
    </xdr:from>
    <xdr:to>
      <xdr:col>10</xdr:col>
      <xdr:colOff>484186</xdr:colOff>
      <xdr:row>112</xdr:row>
      <xdr:rowOff>2441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7184688"/>
          <a:ext cx="9286874" cy="253450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75406</xdr:rowOff>
    </xdr:from>
    <xdr:to>
      <xdr:col>10</xdr:col>
      <xdr:colOff>508000</xdr:colOff>
      <xdr:row>120</xdr:row>
      <xdr:rowOff>69712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3911719"/>
          <a:ext cx="10175875" cy="19231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1\TEAM\&#50689;&#50629;&#44288;&#47532;&#54028;&#53944;\&#50689;&#50629;&#44288;&#47532;%20&#44592;&#54925;&#50868;&#50689;\&#50689;&#50629;&#50868;&#50689;\6.%20&#54644;&#50808;&#51648;&#49324;%20&#44288;&#47532;%20(&#51204;&#46020;&#44552;)\&#50672;&#46020;&#48324;%20&#47928;&#49436;%20(&#51221;&#49328;%20&#48143;%20&#50696;&#49328;)\'2019\'19&#45380;%205&#50900;\(&#49345;&#54644;&#51648;&#49324;)%205&#50900;%20&#51221;&#49328;\201905Shanghai%20Office%20Expense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0000177/Desktop/Wooktigravity/260630_shenzhen_restart_step_1/&#44284;&#44144;%20&#52280;&#44256;&#45936;&#51060;&#53552;/26&#45380;%205&#50900;/&#49900;&#52380;&#51648;&#49324;%20&#51204;&#46020;&#44552;%20&#51221;&#49328;%20&#50577;&#49885;%20&#48320;&#44221;%20&#50836;&#52397;_2605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classification"/>
      <sheetName val="Report Summary"/>
      <sheetName val="Budget vs Remittance vs Expense"/>
      <sheetName val="Sheet3"/>
    </sheetNames>
    <sheetDataSet>
      <sheetData sheetId="0"/>
      <sheetData sheetId="1"/>
      <sheetData sheetId="2"/>
      <sheetData sheetId="3"/>
      <sheetData sheetId="4">
        <row r="4">
          <cell r="C4" t="str">
            <v>Trip_Expense</v>
          </cell>
        </row>
        <row r="5">
          <cell r="C5" t="str">
            <v>Communication_Expense</v>
          </cell>
        </row>
        <row r="6">
          <cell r="C6" t="str">
            <v xml:space="preserve">Business_Expense </v>
          </cell>
        </row>
        <row r="7">
          <cell r="C7" t="str">
            <v>Rent</v>
          </cell>
        </row>
        <row r="8">
          <cell r="C8" t="str">
            <v>Oversea_Branch_Expense</v>
          </cell>
        </row>
        <row r="9">
          <cell r="C9" t="str">
            <v>DBH_Remittance</v>
          </cell>
        </row>
        <row r="10">
          <cell r="C10" t="str">
            <v>Brought_or_Carried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장내역(환율표)"/>
      <sheetName val="내역_22.03"/>
      <sheetName val="내역_22.04"/>
      <sheetName val="내역_22.05"/>
      <sheetName val="내역_22.06"/>
      <sheetName val="내역_22.07"/>
      <sheetName val="내역_22.07 (수정)"/>
      <sheetName val="내역_22.08"/>
      <sheetName val="내역_22.09"/>
      <sheetName val="내역_22.10"/>
      <sheetName val="내역_22.11"/>
      <sheetName val="내역_22.12"/>
      <sheetName val="내역_23.01"/>
      <sheetName val="내역_23.02"/>
      <sheetName val="내역_23.03"/>
      <sheetName val="내역_23.04"/>
      <sheetName val="내역_23.05"/>
      <sheetName val="6월 업무추진비"/>
      <sheetName val="내역_23.06"/>
      <sheetName val="내역_23.07"/>
      <sheetName val="내역_23.08"/>
      <sheetName val="8월 기사 야근"/>
      <sheetName val="내역_23.09"/>
      <sheetName val="내역_23.10"/>
      <sheetName val="내역_23.11"/>
      <sheetName val="내역_23.12"/>
      <sheetName val="내역_24.01"/>
      <sheetName val="내역_24.02"/>
      <sheetName val="내역_24.03"/>
      <sheetName val="내역_24.04"/>
      <sheetName val="내역_24.05"/>
      <sheetName val="내역_24.06"/>
      <sheetName val="내역_24.07"/>
      <sheetName val="내역_24.08"/>
      <sheetName val="내역_24.09"/>
      <sheetName val="내역_24.10"/>
      <sheetName val="내역_24.11"/>
      <sheetName val="내역_24.12"/>
      <sheetName val="내역_25.01"/>
      <sheetName val="내역_25.02"/>
      <sheetName val="내역_25.03"/>
      <sheetName val="내역_25.04"/>
      <sheetName val="내역_25.05"/>
      <sheetName val="26.05"/>
      <sheetName val="통장지급내역"/>
      <sheetName val="당월 업무추진비"/>
      <sheetName val="기사 야근 일지"/>
      <sheetName val="업무추진비"/>
      <sheetName val="12월 업무추진비"/>
      <sheetName val="기사 야근일지"/>
      <sheetName val="9월 10월 기사 야근"/>
      <sheetName val="10월 업무추진비"/>
      <sheetName val="9월 업무추진비"/>
      <sheetName val="세부내역"/>
    </sheetNames>
    <sheetDataSet>
      <sheetData sheetId="0">
        <row r="238">
          <cell r="D238">
            <v>7.2637000065386541</v>
          </cell>
        </row>
        <row r="246">
          <cell r="D246">
            <v>7.3190999922785887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Relationship Id="rId6" Type="http://schemas.openxmlformats.org/officeDocument/2006/relationships/comments" Target="../comments6.xml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Worksheet.xlsx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FF30-D931-41B1-AE61-A73C1350288A}">
  <sheetPr>
    <pageSetUpPr fitToPage="1"/>
  </sheetPr>
  <dimension ref="A1:N99"/>
  <sheetViews>
    <sheetView showGridLines="0" topLeftCell="A64" zoomScaleNormal="100" workbookViewId="0">
      <selection activeCell="E105" sqref="E105"/>
    </sheetView>
  </sheetViews>
  <sheetFormatPr defaultColWidth="9" defaultRowHeight="13.5" outlineLevelRow="1"/>
  <cols>
    <col min="1" max="1" width="2.25" style="5" customWidth="1"/>
    <col min="2" max="2" width="13.5" style="1" bestFit="1" customWidth="1"/>
    <col min="3" max="3" width="9" style="1" customWidth="1"/>
    <col min="4" max="4" width="11.75" style="1" bestFit="1" customWidth="1"/>
    <col min="5" max="5" width="11.625" style="1" bestFit="1" customWidth="1"/>
    <col min="6" max="6" width="13.25" style="1" customWidth="1"/>
    <col min="7" max="7" width="10.5" style="1" bestFit="1" customWidth="1"/>
    <col min="8" max="8" width="10.75" style="1" bestFit="1" customWidth="1"/>
    <col min="9" max="10" width="11.75" style="1" bestFit="1" customWidth="1"/>
    <col min="11" max="13" width="10.5" style="1" bestFit="1" customWidth="1"/>
    <col min="14" max="14" width="12.5" style="1" customWidth="1"/>
    <col min="15" max="16" width="10.5" style="1" bestFit="1" customWidth="1"/>
    <col min="17" max="18" width="9" style="1" customWidth="1"/>
    <col min="19" max="16384" width="9" style="1"/>
  </cols>
  <sheetData>
    <row r="1" spans="2:14" ht="6.6" customHeight="1" thickBot="1"/>
    <row r="2" spans="2:14" ht="16.5" customHeight="1">
      <c r="B2" s="623" t="s">
        <v>300</v>
      </c>
      <c r="C2" s="625" t="s">
        <v>301</v>
      </c>
      <c r="D2" s="626"/>
      <c r="E2" s="622"/>
      <c r="F2" s="625" t="s">
        <v>302</v>
      </c>
      <c r="G2" s="626"/>
      <c r="H2" s="622"/>
      <c r="I2" s="625" t="s">
        <v>303</v>
      </c>
      <c r="J2" s="622"/>
      <c r="K2" s="625" t="s">
        <v>304</v>
      </c>
      <c r="L2" s="622"/>
      <c r="M2" s="621" t="s">
        <v>305</v>
      </c>
      <c r="N2" s="622"/>
    </row>
    <row r="3" spans="2:14" ht="27" customHeight="1">
      <c r="B3" s="624"/>
      <c r="C3" s="544" t="s">
        <v>306</v>
      </c>
      <c r="D3" s="544" t="s">
        <v>20</v>
      </c>
      <c r="E3" s="545" t="s">
        <v>307</v>
      </c>
      <c r="F3" s="546" t="s">
        <v>308</v>
      </c>
      <c r="G3" s="546" t="s">
        <v>68</v>
      </c>
      <c r="H3" s="547" t="s">
        <v>50</v>
      </c>
      <c r="I3" s="546" t="s">
        <v>308</v>
      </c>
      <c r="J3" s="546" t="s">
        <v>50</v>
      </c>
      <c r="K3" s="546" t="s">
        <v>308</v>
      </c>
      <c r="L3" s="546" t="s">
        <v>50</v>
      </c>
      <c r="M3" s="3" t="s">
        <v>308</v>
      </c>
      <c r="N3" s="9" t="s">
        <v>50</v>
      </c>
    </row>
    <row r="4" spans="2:14" ht="16.5" customHeight="1" outlineLevel="1">
      <c r="B4" s="10">
        <v>45854</v>
      </c>
      <c r="C4" s="2"/>
      <c r="D4" s="2"/>
      <c r="E4" s="2"/>
      <c r="F4" s="548">
        <v>74022.44</v>
      </c>
      <c r="G4" s="548"/>
      <c r="H4" s="548"/>
      <c r="I4" s="548"/>
      <c r="J4" s="548"/>
      <c r="K4" s="548"/>
      <c r="L4" s="548"/>
      <c r="M4" s="548"/>
      <c r="N4" s="549">
        <f>H4-L4</f>
        <v>0</v>
      </c>
    </row>
    <row r="5" spans="2:14" ht="16.5" customHeight="1" outlineLevel="1">
      <c r="B5" s="10">
        <v>45854</v>
      </c>
      <c r="C5" s="4">
        <v>1373.8</v>
      </c>
      <c r="D5" s="550">
        <f>-H5/F5</f>
        <v>7.1674000343842152</v>
      </c>
      <c r="E5" s="2">
        <v>2000001679</v>
      </c>
      <c r="F5" s="548">
        <v>-73987.44</v>
      </c>
      <c r="G5" s="548"/>
      <c r="H5" s="548">
        <v>530297.58000000007</v>
      </c>
      <c r="I5" s="548"/>
      <c r="J5" s="548"/>
      <c r="K5" s="548">
        <v>35</v>
      </c>
      <c r="L5" s="548">
        <v>73092</v>
      </c>
      <c r="M5" s="548"/>
      <c r="N5" s="549">
        <f>H5-L5</f>
        <v>457205.58000000007</v>
      </c>
    </row>
    <row r="6" spans="2:14" ht="16.5" customHeight="1" outlineLevel="1">
      <c r="B6" s="10">
        <v>45855</v>
      </c>
      <c r="C6" s="4"/>
      <c r="D6" s="2"/>
      <c r="E6" s="2"/>
      <c r="F6" s="548"/>
      <c r="G6" s="548"/>
      <c r="H6" s="548"/>
      <c r="I6" s="548"/>
      <c r="J6" s="548"/>
      <c r="K6" s="548"/>
      <c r="L6" s="548">
        <v>2403.6</v>
      </c>
      <c r="M6" s="548"/>
      <c r="N6" s="549">
        <f>N5-L6</f>
        <v>454801.9800000001</v>
      </c>
    </row>
    <row r="7" spans="2:14" ht="16.5" customHeight="1" outlineLevel="1">
      <c r="B7" s="10">
        <v>45860</v>
      </c>
      <c r="C7" s="4"/>
      <c r="D7" s="2"/>
      <c r="E7" s="2"/>
      <c r="F7" s="548"/>
      <c r="G7" s="548"/>
      <c r="H7" s="548"/>
      <c r="I7" s="548"/>
      <c r="J7" s="548"/>
      <c r="K7" s="548"/>
      <c r="L7" s="548">
        <v>28287.200000000001</v>
      </c>
      <c r="M7" s="548"/>
      <c r="N7" s="549">
        <f>N6-L7</f>
        <v>426514.78000000009</v>
      </c>
    </row>
    <row r="8" spans="2:14" ht="16.5" customHeight="1" outlineLevel="1">
      <c r="B8" s="10">
        <v>45862</v>
      </c>
      <c r="C8" s="4"/>
      <c r="D8" s="2"/>
      <c r="E8" s="2"/>
      <c r="F8" s="548"/>
      <c r="G8" s="548"/>
      <c r="H8" s="548"/>
      <c r="I8" s="548"/>
      <c r="J8" s="548"/>
      <c r="K8" s="548"/>
      <c r="L8" s="548">
        <v>345390.37999999989</v>
      </c>
      <c r="M8" s="548"/>
      <c r="N8" s="549">
        <f>N7-L8</f>
        <v>81124.400000000198</v>
      </c>
    </row>
    <row r="9" spans="2:14" ht="16.5" customHeight="1" outlineLevel="1">
      <c r="B9" s="10">
        <v>45863</v>
      </c>
      <c r="C9" s="4"/>
      <c r="D9" s="2"/>
      <c r="E9" s="2"/>
      <c r="F9" s="548"/>
      <c r="G9" s="548"/>
      <c r="H9" s="548"/>
      <c r="I9" s="548"/>
      <c r="J9" s="548"/>
      <c r="K9" s="548"/>
      <c r="L9" s="548">
        <v>80014.399999999994</v>
      </c>
      <c r="M9" s="548"/>
      <c r="N9" s="549">
        <f>N8-L9</f>
        <v>1110.0000000002037</v>
      </c>
    </row>
    <row r="10" spans="2:14" outlineLevel="1">
      <c r="B10" s="11"/>
      <c r="C10" s="6"/>
      <c r="D10" s="6"/>
      <c r="E10" s="6"/>
      <c r="F10" s="551"/>
      <c r="G10" s="551"/>
      <c r="H10" s="552"/>
      <c r="I10" s="552"/>
      <c r="J10" s="552"/>
      <c r="K10" s="551"/>
      <c r="L10" s="553"/>
      <c r="M10" s="7"/>
      <c r="N10" s="12">
        <f>N9</f>
        <v>1110.0000000002037</v>
      </c>
    </row>
    <row r="11" spans="2:14" outlineLevel="1" collapsed="1">
      <c r="B11" s="10">
        <v>45881</v>
      </c>
      <c r="C11" s="2"/>
      <c r="D11" s="2"/>
      <c r="E11" s="2"/>
      <c r="F11" s="548">
        <v>66958.929999999993</v>
      </c>
      <c r="G11" s="548"/>
      <c r="H11" s="548"/>
      <c r="I11" s="548"/>
      <c r="J11" s="548"/>
      <c r="K11" s="548"/>
      <c r="L11" s="548"/>
      <c r="M11" s="548"/>
      <c r="N11" s="549">
        <f t="shared" ref="N11:N23" si="0">N10+H11-L11</f>
        <v>1110.0000000002037</v>
      </c>
    </row>
    <row r="12" spans="2:14" outlineLevel="1">
      <c r="B12" s="10">
        <v>45881</v>
      </c>
      <c r="C12" s="4">
        <v>1384.2</v>
      </c>
      <c r="D12" s="550">
        <f>-H12/F12</f>
        <v>7.1783000041981708</v>
      </c>
      <c r="E12" s="2">
        <v>2000001943</v>
      </c>
      <c r="F12" s="548">
        <v>-66933.929999999993</v>
      </c>
      <c r="G12" s="548"/>
      <c r="H12" s="548">
        <v>480471.83</v>
      </c>
      <c r="I12" s="548"/>
      <c r="J12" s="548"/>
      <c r="K12" s="548">
        <v>25</v>
      </c>
      <c r="L12" s="548"/>
      <c r="M12" s="548"/>
      <c r="N12" s="549">
        <f t="shared" si="0"/>
        <v>481581.83000000019</v>
      </c>
    </row>
    <row r="13" spans="2:14" outlineLevel="1">
      <c r="B13" s="10">
        <v>45883</v>
      </c>
      <c r="C13" s="4"/>
      <c r="D13" s="2"/>
      <c r="E13" s="2"/>
      <c r="F13" s="548"/>
      <c r="G13" s="548"/>
      <c r="H13" s="548"/>
      <c r="I13" s="548"/>
      <c r="J13" s="548"/>
      <c r="K13" s="548"/>
      <c r="L13" s="554">
        <v>1110.056783802901</v>
      </c>
      <c r="M13" s="548"/>
      <c r="N13" s="549">
        <f t="shared" si="0"/>
        <v>480471.77321619727</v>
      </c>
    </row>
    <row r="14" spans="2:14" outlineLevel="1">
      <c r="B14" s="10">
        <v>45883</v>
      </c>
      <c r="C14" s="4"/>
      <c r="D14" s="2"/>
      <c r="E14" s="2"/>
      <c r="F14" s="548"/>
      <c r="G14" s="548"/>
      <c r="H14" s="548"/>
      <c r="I14" s="548"/>
      <c r="J14" s="548"/>
      <c r="K14" s="548"/>
      <c r="L14" s="554">
        <v>26430.74</v>
      </c>
      <c r="M14" s="548"/>
      <c r="N14" s="549">
        <f t="shared" si="0"/>
        <v>454041.03321619728</v>
      </c>
    </row>
    <row r="15" spans="2:14" outlineLevel="1">
      <c r="B15" s="10">
        <v>45887</v>
      </c>
      <c r="C15" s="4"/>
      <c r="D15" s="2"/>
      <c r="E15" s="2"/>
      <c r="F15" s="548"/>
      <c r="G15" s="548"/>
      <c r="H15" s="548"/>
      <c r="I15" s="548"/>
      <c r="J15" s="548"/>
      <c r="K15" s="548"/>
      <c r="L15" s="548">
        <v>33.6</v>
      </c>
      <c r="M15" s="548"/>
      <c r="N15" s="549">
        <f t="shared" si="0"/>
        <v>454007.4332161973</v>
      </c>
    </row>
    <row r="16" spans="2:14" outlineLevel="1">
      <c r="B16" s="10">
        <v>45888</v>
      </c>
      <c r="C16" s="4"/>
      <c r="D16" s="2"/>
      <c r="E16" s="2"/>
      <c r="F16" s="548"/>
      <c r="G16" s="548"/>
      <c r="H16" s="548"/>
      <c r="I16" s="548"/>
      <c r="J16" s="548"/>
      <c r="K16" s="548"/>
      <c r="L16" s="548">
        <v>148030.18000000011</v>
      </c>
      <c r="M16" s="548"/>
      <c r="N16" s="549">
        <f t="shared" si="0"/>
        <v>305977.25321619719</v>
      </c>
    </row>
    <row r="17" spans="2:14" outlineLevel="1">
      <c r="B17" s="10">
        <v>45889</v>
      </c>
      <c r="C17" s="4"/>
      <c r="D17" s="2"/>
      <c r="E17" s="2"/>
      <c r="F17" s="548"/>
      <c r="G17" s="548"/>
      <c r="H17" s="548"/>
      <c r="I17" s="548"/>
      <c r="J17" s="548"/>
      <c r="K17" s="548"/>
      <c r="L17" s="548">
        <v>292153.69</v>
      </c>
      <c r="M17" s="548"/>
      <c r="N17" s="549">
        <f t="shared" si="0"/>
        <v>13823.563216197188</v>
      </c>
    </row>
    <row r="18" spans="2:14" ht="14.25" customHeight="1" outlineLevel="1" thickBot="1">
      <c r="B18" s="555"/>
      <c r="C18" s="556"/>
      <c r="D18" s="556"/>
      <c r="E18" s="556"/>
      <c r="F18" s="557"/>
      <c r="G18" s="557"/>
      <c r="H18" s="558"/>
      <c r="I18" s="558"/>
      <c r="J18" s="558"/>
      <c r="K18" s="557"/>
      <c r="L18" s="559"/>
      <c r="M18" s="560"/>
      <c r="N18" s="561">
        <f t="shared" si="0"/>
        <v>13823.563216197188</v>
      </c>
    </row>
    <row r="19" spans="2:14" outlineLevel="1">
      <c r="B19" s="10">
        <v>45910</v>
      </c>
      <c r="C19" s="4"/>
      <c r="D19" s="2"/>
      <c r="E19" s="2"/>
      <c r="F19" s="548"/>
      <c r="G19" s="548"/>
      <c r="H19" s="548"/>
      <c r="I19" s="548"/>
      <c r="J19" s="548"/>
      <c r="K19" s="548"/>
      <c r="L19" s="548">
        <v>243.6</v>
      </c>
      <c r="M19" s="548"/>
      <c r="N19" s="549">
        <f t="shared" si="0"/>
        <v>13579.963216197188</v>
      </c>
    </row>
    <row r="20" spans="2:14" outlineLevel="1">
      <c r="B20" s="10">
        <v>45911</v>
      </c>
      <c r="C20" s="4"/>
      <c r="D20" s="2"/>
      <c r="E20" s="2"/>
      <c r="F20" s="548">
        <v>58404.05</v>
      </c>
      <c r="G20" s="548"/>
      <c r="H20" s="548"/>
      <c r="I20" s="548"/>
      <c r="J20" s="548"/>
      <c r="K20" s="548"/>
      <c r="L20" s="548"/>
      <c r="M20" s="548"/>
      <c r="N20" s="549">
        <f t="shared" si="0"/>
        <v>13579.963216197188</v>
      </c>
    </row>
    <row r="21" spans="2:14" outlineLevel="1">
      <c r="B21" s="10">
        <v>45911</v>
      </c>
      <c r="C21" s="4">
        <v>1386.6</v>
      </c>
      <c r="D21" s="550">
        <f>-H21/F21</f>
        <v>7.1105999498107622</v>
      </c>
      <c r="E21" s="2">
        <v>2000002211</v>
      </c>
      <c r="F21" s="548">
        <v>-58379.05</v>
      </c>
      <c r="G21" s="548"/>
      <c r="H21" s="548">
        <v>415110.07</v>
      </c>
      <c r="I21" s="548"/>
      <c r="J21" s="548"/>
      <c r="K21" s="548">
        <v>25</v>
      </c>
      <c r="L21" s="548"/>
      <c r="M21" s="548"/>
      <c r="N21" s="549">
        <f t="shared" si="0"/>
        <v>428690.03321619722</v>
      </c>
    </row>
    <row r="22" spans="2:14" outlineLevel="1">
      <c r="B22" s="10">
        <v>45915</v>
      </c>
      <c r="C22" s="4"/>
      <c r="D22" s="2"/>
      <c r="E22" s="2"/>
      <c r="F22" s="548"/>
      <c r="G22" s="548"/>
      <c r="H22" s="548"/>
      <c r="I22" s="548"/>
      <c r="J22" s="548"/>
      <c r="K22" s="548"/>
      <c r="L22" s="554">
        <v>13580.05795001729</v>
      </c>
      <c r="M22" s="548"/>
      <c r="N22" s="549">
        <f t="shared" si="0"/>
        <v>415109.97526617994</v>
      </c>
    </row>
    <row r="23" spans="2:14" outlineLevel="1">
      <c r="B23" s="10">
        <v>45915</v>
      </c>
      <c r="C23" s="4"/>
      <c r="D23" s="2"/>
      <c r="E23" s="2"/>
      <c r="F23" s="548"/>
      <c r="G23" s="548"/>
      <c r="H23" s="548"/>
      <c r="I23" s="548"/>
      <c r="J23" s="548"/>
      <c r="K23" s="548"/>
      <c r="L23" s="554">
        <v>13975.74</v>
      </c>
      <c r="M23" s="548"/>
      <c r="N23" s="549">
        <f t="shared" si="0"/>
        <v>401134.23526617995</v>
      </c>
    </row>
    <row r="24" spans="2:14" outlineLevel="1">
      <c r="B24" s="10">
        <v>45921</v>
      </c>
      <c r="C24" s="4"/>
      <c r="D24" s="2"/>
      <c r="E24" s="2"/>
      <c r="F24" s="548"/>
      <c r="G24" s="548"/>
      <c r="H24" s="548"/>
      <c r="I24" s="548"/>
      <c r="J24" s="548">
        <v>32.36</v>
      </c>
      <c r="K24" s="548"/>
      <c r="L24" s="554"/>
      <c r="M24" s="548"/>
      <c r="N24" s="549">
        <f>N23+H24-L24+J24</f>
        <v>401166.59526617994</v>
      </c>
    </row>
    <row r="25" spans="2:14" outlineLevel="1">
      <c r="B25" s="10">
        <v>45923</v>
      </c>
      <c r="C25" s="4"/>
      <c r="D25" s="2"/>
      <c r="E25" s="2"/>
      <c r="F25" s="548"/>
      <c r="G25" s="548"/>
      <c r="H25" s="548"/>
      <c r="I25" s="548"/>
      <c r="J25" s="548"/>
      <c r="K25" s="548"/>
      <c r="L25" s="548">
        <v>399903.2</v>
      </c>
      <c r="M25" s="548"/>
      <c r="N25" s="549">
        <f t="shared" ref="N25:N38" si="1">N24+H25-L25</f>
        <v>1263.3952661799267</v>
      </c>
    </row>
    <row r="26" spans="2:14" ht="14.25" customHeight="1" outlineLevel="1" thickBot="1">
      <c r="B26" s="555"/>
      <c r="C26" s="556"/>
      <c r="D26" s="556"/>
      <c r="E26" s="556"/>
      <c r="F26" s="557"/>
      <c r="G26" s="557"/>
      <c r="H26" s="558"/>
      <c r="I26" s="558"/>
      <c r="J26" s="558"/>
      <c r="K26" s="557"/>
      <c r="L26" s="559"/>
      <c r="M26" s="560"/>
      <c r="N26" s="561">
        <f t="shared" si="1"/>
        <v>1263.3952661799267</v>
      </c>
    </row>
    <row r="27" spans="2:14" outlineLevel="1" collapsed="1">
      <c r="B27" s="10">
        <v>45943</v>
      </c>
      <c r="C27" s="4"/>
      <c r="D27" s="2"/>
      <c r="E27" s="2"/>
      <c r="F27" s="548">
        <v>76124.429999999993</v>
      </c>
      <c r="G27" s="548"/>
      <c r="H27" s="548"/>
      <c r="I27" s="548"/>
      <c r="J27" s="548"/>
      <c r="K27" s="548"/>
      <c r="L27" s="548"/>
      <c r="M27" s="548"/>
      <c r="N27" s="549">
        <f t="shared" si="1"/>
        <v>1263.3952661799267</v>
      </c>
    </row>
    <row r="28" spans="2:14" outlineLevel="1">
      <c r="B28" s="10">
        <v>45943</v>
      </c>
      <c r="C28" s="4">
        <v>1401.9</v>
      </c>
      <c r="D28" s="550">
        <f>-H28/F28</f>
        <v>7.116499952759173</v>
      </c>
      <c r="E28" s="2">
        <v>2000002505</v>
      </c>
      <c r="F28" s="548">
        <v>-76099.429999999993</v>
      </c>
      <c r="G28" s="548"/>
      <c r="H28" s="548">
        <v>541561.59</v>
      </c>
      <c r="I28" s="548"/>
      <c r="J28" s="548"/>
      <c r="K28" s="548">
        <v>25</v>
      </c>
      <c r="L28" s="548"/>
      <c r="M28" s="548"/>
      <c r="N28" s="549">
        <f t="shared" si="1"/>
        <v>542824.98526617989</v>
      </c>
    </row>
    <row r="29" spans="2:14" outlineLevel="1">
      <c r="B29" s="10">
        <v>45945</v>
      </c>
      <c r="C29" s="4"/>
      <c r="D29" s="2"/>
      <c r="E29" s="2"/>
      <c r="F29" s="548"/>
      <c r="G29" s="548"/>
      <c r="H29" s="548"/>
      <c r="I29" s="548"/>
      <c r="J29" s="548"/>
      <c r="K29" s="548"/>
      <c r="L29" s="554">
        <v>1263.482505081874</v>
      </c>
      <c r="M29" s="548"/>
      <c r="N29" s="549">
        <f t="shared" si="1"/>
        <v>541561.50276109797</v>
      </c>
    </row>
    <row r="30" spans="2:14" outlineLevel="1">
      <c r="B30" s="10">
        <v>45945</v>
      </c>
      <c r="C30" s="4"/>
      <c r="D30" s="2"/>
      <c r="E30" s="2"/>
      <c r="F30" s="548"/>
      <c r="G30" s="548"/>
      <c r="H30" s="548"/>
      <c r="I30" s="548"/>
      <c r="J30" s="548"/>
      <c r="L30" s="554">
        <v>26248.32</v>
      </c>
      <c r="M30" s="548"/>
      <c r="N30" s="549">
        <f t="shared" si="1"/>
        <v>515313.18276109797</v>
      </c>
    </row>
    <row r="31" spans="2:14" outlineLevel="1">
      <c r="B31" s="10">
        <v>45952</v>
      </c>
      <c r="C31" s="4"/>
      <c r="D31" s="2"/>
      <c r="E31" s="2"/>
      <c r="F31" s="548"/>
      <c r="G31" s="548"/>
      <c r="H31" s="548"/>
      <c r="I31" s="548"/>
      <c r="J31" s="548"/>
      <c r="K31" s="548"/>
      <c r="L31" s="548">
        <v>57279.62</v>
      </c>
      <c r="M31" s="548"/>
      <c r="N31" s="549">
        <f t="shared" si="1"/>
        <v>458033.56276109797</v>
      </c>
    </row>
    <row r="32" spans="2:14" outlineLevel="1">
      <c r="B32" s="10">
        <v>45953</v>
      </c>
      <c r="C32" s="4"/>
      <c r="D32" s="2"/>
      <c r="E32" s="2"/>
      <c r="F32" s="548"/>
      <c r="G32" s="548"/>
      <c r="H32" s="548"/>
      <c r="I32" s="548"/>
      <c r="J32" s="548"/>
      <c r="K32" s="548"/>
      <c r="L32" s="548">
        <v>435679.23</v>
      </c>
      <c r="M32" s="548"/>
      <c r="N32" s="549">
        <f t="shared" si="1"/>
        <v>22354.33276109799</v>
      </c>
    </row>
    <row r="33" spans="2:14" ht="14.25" customHeight="1" outlineLevel="1" thickBot="1">
      <c r="B33" s="555"/>
      <c r="C33" s="556"/>
      <c r="D33" s="556"/>
      <c r="E33" s="556"/>
      <c r="F33" s="557"/>
      <c r="G33" s="557"/>
      <c r="H33" s="558"/>
      <c r="I33" s="558"/>
      <c r="J33" s="558"/>
      <c r="K33" s="557"/>
      <c r="L33" s="559"/>
      <c r="M33" s="560"/>
      <c r="N33" s="561">
        <f t="shared" si="1"/>
        <v>22354.33276109799</v>
      </c>
    </row>
    <row r="34" spans="2:14" outlineLevel="1">
      <c r="B34" s="10">
        <v>45974</v>
      </c>
      <c r="C34" s="4"/>
      <c r="D34" s="2"/>
      <c r="E34" s="2"/>
      <c r="F34" s="548">
        <v>58100.87</v>
      </c>
      <c r="G34" s="548"/>
      <c r="H34" s="548"/>
      <c r="I34" s="548"/>
      <c r="J34" s="548"/>
      <c r="K34" s="548"/>
      <c r="L34" s="548"/>
      <c r="M34" s="548"/>
      <c r="N34" s="549">
        <f t="shared" si="1"/>
        <v>22354.33276109799</v>
      </c>
    </row>
    <row r="35" spans="2:14" outlineLevel="1">
      <c r="B35" s="10">
        <v>45974</v>
      </c>
      <c r="C35" s="4">
        <v>1454</v>
      </c>
      <c r="D35" s="550">
        <f>-H35/F35</f>
        <v>7.0840999885150238</v>
      </c>
      <c r="E35" s="2">
        <v>2000002746</v>
      </c>
      <c r="F35" s="548">
        <v>-58075.87</v>
      </c>
      <c r="G35" s="548"/>
      <c r="H35" s="548">
        <v>411415.27</v>
      </c>
      <c r="I35" s="548"/>
      <c r="J35" s="548"/>
      <c r="K35" s="548">
        <v>25</v>
      </c>
      <c r="L35" s="548"/>
      <c r="M35" s="548"/>
      <c r="N35" s="549">
        <f t="shared" si="1"/>
        <v>433769.60276109801</v>
      </c>
    </row>
    <row r="36" spans="2:14" outlineLevel="1">
      <c r="B36" s="10">
        <v>45975</v>
      </c>
      <c r="C36" s="4"/>
      <c r="D36" s="2"/>
      <c r="E36" s="2"/>
      <c r="F36" s="548"/>
      <c r="G36" s="548"/>
      <c r="H36" s="548"/>
      <c r="I36" s="548"/>
      <c r="J36" s="548"/>
      <c r="K36" s="548"/>
      <c r="L36" s="554">
        <v>22335.89</v>
      </c>
      <c r="M36" s="548"/>
      <c r="N36" s="549">
        <f t="shared" si="1"/>
        <v>411433.712761098</v>
      </c>
    </row>
    <row r="37" spans="2:14" outlineLevel="1">
      <c r="B37" s="10">
        <v>45975</v>
      </c>
      <c r="C37" s="4"/>
      <c r="D37" s="2"/>
      <c r="E37" s="2"/>
      <c r="F37" s="548"/>
      <c r="G37" s="548"/>
      <c r="H37" s="548"/>
      <c r="I37" s="548"/>
      <c r="J37" s="548"/>
      <c r="L37" s="554">
        <v>5111.91</v>
      </c>
      <c r="M37" s="548"/>
      <c r="N37" s="549">
        <f t="shared" si="1"/>
        <v>406321.80276109802</v>
      </c>
    </row>
    <row r="38" spans="2:14" ht="14.25" customHeight="1" outlineLevel="1">
      <c r="B38" s="10">
        <v>45985</v>
      </c>
      <c r="C38" s="4"/>
      <c r="D38" s="2"/>
      <c r="E38" s="2"/>
      <c r="F38" s="548"/>
      <c r="G38" s="548"/>
      <c r="H38" s="548"/>
      <c r="I38" s="548"/>
      <c r="J38" s="548"/>
      <c r="K38" s="548"/>
      <c r="L38" s="548">
        <v>377571.91</v>
      </c>
      <c r="M38" s="548"/>
      <c r="N38" s="549">
        <f t="shared" si="1"/>
        <v>28749.892761098046</v>
      </c>
    </row>
    <row r="39" spans="2:14" ht="14.25" customHeight="1" outlineLevel="1" thickBot="1">
      <c r="B39" s="555"/>
      <c r="C39" s="556"/>
      <c r="D39" s="556"/>
      <c r="E39" s="556"/>
      <c r="F39" s="557"/>
      <c r="G39" s="557"/>
      <c r="H39" s="558"/>
      <c r="I39" s="558"/>
      <c r="J39" s="558"/>
      <c r="K39" s="557"/>
      <c r="L39" s="559"/>
      <c r="M39" s="560"/>
      <c r="N39" s="561">
        <f>N38</f>
        <v>28749.892761098046</v>
      </c>
    </row>
    <row r="40" spans="2:14" outlineLevel="1" collapsed="1">
      <c r="B40" s="10">
        <v>46002</v>
      </c>
      <c r="C40" s="4"/>
      <c r="D40" s="2"/>
      <c r="E40" s="2"/>
      <c r="F40" s="548">
        <v>60766.8</v>
      </c>
      <c r="G40" s="548"/>
      <c r="H40" s="548"/>
      <c r="I40" s="548"/>
      <c r="J40" s="548"/>
      <c r="K40" s="548"/>
      <c r="L40" s="548"/>
      <c r="M40" s="548"/>
      <c r="N40" s="549">
        <f>N39+H40-L40</f>
        <v>28749.892761098046</v>
      </c>
    </row>
    <row r="41" spans="2:14" outlineLevel="1">
      <c r="B41" s="10">
        <v>46002</v>
      </c>
      <c r="C41" s="4">
        <v>1470.4</v>
      </c>
      <c r="D41" s="2">
        <f>-H41/F41</f>
        <v>7.0497000418163429</v>
      </c>
      <c r="E41" s="2">
        <v>2000003021</v>
      </c>
      <c r="F41" s="548">
        <v>-60741.8</v>
      </c>
      <c r="G41" s="548"/>
      <c r="H41" s="548">
        <v>428211.47</v>
      </c>
      <c r="I41" s="548"/>
      <c r="J41" s="548"/>
      <c r="K41" s="548">
        <v>25</v>
      </c>
      <c r="L41" s="548"/>
      <c r="M41" s="548"/>
      <c r="N41" s="549">
        <f>N40+H41-L41</f>
        <v>456961.36276109802</v>
      </c>
    </row>
    <row r="42" spans="2:14" outlineLevel="1">
      <c r="B42" s="10">
        <v>46006</v>
      </c>
      <c r="C42" s="4"/>
      <c r="D42" s="2"/>
      <c r="E42" s="2"/>
      <c r="F42" s="548"/>
      <c r="G42" s="548"/>
      <c r="H42" s="548"/>
      <c r="I42" s="548"/>
      <c r="J42" s="548"/>
      <c r="K42" s="548"/>
      <c r="L42" s="548">
        <v>27509.8</v>
      </c>
      <c r="M42" s="548"/>
      <c r="N42" s="549">
        <f>N41+H42-L42</f>
        <v>429451.56276109803</v>
      </c>
    </row>
    <row r="43" spans="2:14" outlineLevel="1">
      <c r="B43" s="10">
        <v>46012</v>
      </c>
      <c r="C43" s="4"/>
      <c r="D43" s="2"/>
      <c r="E43" s="2"/>
      <c r="F43" s="548"/>
      <c r="G43" s="548"/>
      <c r="H43" s="548"/>
      <c r="I43" s="548">
        <v>6.209680844612306</v>
      </c>
      <c r="J43" s="548">
        <v>43.99</v>
      </c>
      <c r="K43" s="548"/>
      <c r="L43" s="548"/>
      <c r="M43" s="548"/>
      <c r="N43" s="549">
        <f>N42+H43-L43+J43</f>
        <v>429495.55276109802</v>
      </c>
    </row>
    <row r="44" spans="2:14" outlineLevel="1">
      <c r="B44" s="10">
        <v>46013</v>
      </c>
      <c r="C44" s="4"/>
      <c r="D44" s="2"/>
      <c r="E44" s="2"/>
      <c r="F44" s="548"/>
      <c r="G44" s="548"/>
      <c r="H44" s="548"/>
      <c r="I44" s="548"/>
      <c r="J44" s="548"/>
      <c r="K44" s="548"/>
      <c r="L44" s="554">
        <v>1284.1400000000001</v>
      </c>
      <c r="M44" s="548"/>
      <c r="N44" s="549">
        <f>N43+H44-L44</f>
        <v>428211.41276109801</v>
      </c>
    </row>
    <row r="45" spans="2:14" outlineLevel="1">
      <c r="B45" s="10">
        <v>46013</v>
      </c>
      <c r="C45" s="4"/>
      <c r="D45" s="2"/>
      <c r="E45" s="2"/>
      <c r="F45" s="548"/>
      <c r="G45" s="548"/>
      <c r="H45" s="548"/>
      <c r="I45" s="548"/>
      <c r="J45" s="548"/>
      <c r="K45" s="548"/>
      <c r="L45" s="554">
        <v>146684.94</v>
      </c>
      <c r="M45" s="548"/>
      <c r="N45" s="549">
        <f>N44+H45-L45</f>
        <v>281526.472761098</v>
      </c>
    </row>
    <row r="46" spans="2:14" outlineLevel="1">
      <c r="B46" s="10">
        <v>46015</v>
      </c>
      <c r="C46" s="4"/>
      <c r="D46" s="2"/>
      <c r="E46" s="2"/>
      <c r="F46" s="548"/>
      <c r="G46" s="548"/>
      <c r="H46" s="548"/>
      <c r="I46" s="548"/>
      <c r="J46" s="548"/>
      <c r="K46" s="548"/>
      <c r="L46" s="548">
        <v>251327.53</v>
      </c>
      <c r="M46" s="548"/>
      <c r="N46" s="549">
        <f>N45+H46-L46</f>
        <v>30198.942761098006</v>
      </c>
    </row>
    <row r="47" spans="2:14" ht="14.25" customHeight="1" outlineLevel="1" thickBot="1">
      <c r="B47" s="555"/>
      <c r="C47" s="556"/>
      <c r="D47" s="556"/>
      <c r="E47" s="556"/>
      <c r="F47" s="557"/>
      <c r="G47" s="557"/>
      <c r="H47" s="558"/>
      <c r="I47" s="558"/>
      <c r="J47" s="558"/>
      <c r="K47" s="557"/>
      <c r="L47" s="559"/>
      <c r="M47" s="560"/>
      <c r="N47" s="561">
        <f>N46</f>
        <v>30198.942761098006</v>
      </c>
    </row>
    <row r="48" spans="2:14" outlineLevel="1">
      <c r="B48" s="10">
        <v>46035</v>
      </c>
      <c r="C48" s="4"/>
      <c r="D48" s="2"/>
      <c r="E48" s="2"/>
      <c r="F48" s="548">
        <v>63822.55</v>
      </c>
      <c r="G48" s="548"/>
      <c r="H48" s="548"/>
      <c r="I48" s="548"/>
      <c r="J48" s="548"/>
      <c r="K48" s="548"/>
      <c r="L48" s="548"/>
      <c r="M48" s="548"/>
      <c r="N48" s="549">
        <f t="shared" ref="N48:N54" si="2">N47+H48-L48</f>
        <v>30198.942761098006</v>
      </c>
    </row>
    <row r="49" spans="2:14" outlineLevel="1">
      <c r="B49" s="10">
        <v>46035</v>
      </c>
      <c r="C49" s="4">
        <v>1449.4</v>
      </c>
      <c r="D49" s="2">
        <f>-H49/F49</f>
        <v>6.9648000589364321</v>
      </c>
      <c r="E49" s="2">
        <v>2000000038</v>
      </c>
      <c r="F49" s="548">
        <v>-63797.55</v>
      </c>
      <c r="G49" s="548"/>
      <c r="H49" s="548">
        <v>444337.18</v>
      </c>
      <c r="I49" s="548"/>
      <c r="J49" s="548"/>
      <c r="K49" s="548">
        <v>25</v>
      </c>
      <c r="L49" s="548"/>
      <c r="M49" s="548"/>
      <c r="N49" s="549">
        <f t="shared" si="2"/>
        <v>474536.12276109797</v>
      </c>
    </row>
    <row r="50" spans="2:14" outlineLevel="1">
      <c r="B50" s="10">
        <v>46035</v>
      </c>
      <c r="C50" s="4"/>
      <c r="D50" s="2"/>
      <c r="E50" s="2"/>
      <c r="F50" s="548"/>
      <c r="G50" s="548"/>
      <c r="H50" s="548"/>
      <c r="I50" s="548"/>
      <c r="J50" s="548"/>
      <c r="K50" s="548"/>
      <c r="L50" s="548">
        <v>25054.2</v>
      </c>
      <c r="M50" s="548"/>
      <c r="N50" s="549">
        <f t="shared" si="2"/>
        <v>449481.92276109796</v>
      </c>
    </row>
    <row r="51" spans="2:14" outlineLevel="1">
      <c r="B51" s="10">
        <v>46037</v>
      </c>
      <c r="C51" s="4"/>
      <c r="D51" s="2"/>
      <c r="E51" s="2"/>
      <c r="F51" s="548"/>
      <c r="G51" s="548"/>
      <c r="H51" s="548"/>
      <c r="I51" s="548"/>
      <c r="J51" s="548"/>
      <c r="K51" s="548"/>
      <c r="L51" s="548">
        <v>2403.6</v>
      </c>
      <c r="M51" s="548"/>
      <c r="N51" s="549">
        <f t="shared" si="2"/>
        <v>447078.32276109798</v>
      </c>
    </row>
    <row r="52" spans="2:14" outlineLevel="1">
      <c r="B52" s="10">
        <v>46038</v>
      </c>
      <c r="C52" s="4"/>
      <c r="D52" s="2"/>
      <c r="E52" s="2"/>
      <c r="F52" s="548"/>
      <c r="G52" s="548"/>
      <c r="H52" s="548"/>
      <c r="I52" s="548"/>
      <c r="J52" s="548"/>
      <c r="K52" s="548"/>
      <c r="L52" s="554">
        <v>2741.20212012001</v>
      </c>
      <c r="M52" s="548"/>
      <c r="N52" s="549">
        <f t="shared" si="2"/>
        <v>444337.12064097798</v>
      </c>
    </row>
    <row r="53" spans="2:14" outlineLevel="1">
      <c r="B53" s="10">
        <v>46038</v>
      </c>
      <c r="C53" s="4"/>
      <c r="D53" s="2"/>
      <c r="E53" s="2"/>
      <c r="F53" s="548"/>
      <c r="G53" s="548"/>
      <c r="H53" s="548"/>
      <c r="I53" s="548"/>
      <c r="J53" s="548"/>
      <c r="K53" s="548"/>
      <c r="L53" s="554">
        <v>54391.907879879989</v>
      </c>
      <c r="M53" s="548"/>
      <c r="N53" s="549">
        <f t="shared" si="2"/>
        <v>389945.212761098</v>
      </c>
    </row>
    <row r="54" spans="2:14" outlineLevel="1">
      <c r="B54" s="10">
        <v>46044</v>
      </c>
      <c r="C54" s="4"/>
      <c r="D54" s="2"/>
      <c r="E54" s="2"/>
      <c r="F54" s="548"/>
      <c r="G54" s="548"/>
      <c r="H54" s="548"/>
      <c r="I54" s="548"/>
      <c r="J54" s="548"/>
      <c r="K54" s="548"/>
      <c r="L54" s="548">
        <v>348537.1</v>
      </c>
      <c r="M54" s="548"/>
      <c r="N54" s="549">
        <f t="shared" si="2"/>
        <v>41408.112761098018</v>
      </c>
    </row>
    <row r="55" spans="2:14" ht="14.25" customHeight="1" outlineLevel="1" thickBot="1">
      <c r="B55" s="555"/>
      <c r="C55" s="556"/>
      <c r="D55" s="556"/>
      <c r="E55" s="556"/>
      <c r="F55" s="557"/>
      <c r="G55" s="557"/>
      <c r="H55" s="558"/>
      <c r="I55" s="558"/>
      <c r="J55" s="558"/>
      <c r="K55" s="557"/>
      <c r="L55" s="559"/>
      <c r="M55" s="560"/>
      <c r="N55" s="561">
        <f>N54</f>
        <v>41408.112761098018</v>
      </c>
    </row>
    <row r="56" spans="2:14" outlineLevel="1" collapsed="1">
      <c r="B56" s="10">
        <v>46055</v>
      </c>
      <c r="C56" s="4"/>
      <c r="D56" s="2"/>
      <c r="E56" s="2"/>
      <c r="F56" s="548"/>
      <c r="G56" s="548"/>
      <c r="H56" s="548"/>
      <c r="I56" s="548"/>
      <c r="J56" s="548"/>
      <c r="K56" s="548"/>
      <c r="L56" s="548">
        <v>140</v>
      </c>
      <c r="M56" s="548"/>
      <c r="N56" s="549">
        <f t="shared" ref="N56:N64" si="3">N55+H56-L56</f>
        <v>41268.112761098018</v>
      </c>
    </row>
    <row r="57" spans="2:14" outlineLevel="1">
      <c r="B57" s="10">
        <v>46062</v>
      </c>
      <c r="C57" s="4"/>
      <c r="D57" s="2"/>
      <c r="E57" s="2"/>
      <c r="F57" s="548">
        <v>75630.62</v>
      </c>
      <c r="G57" s="548"/>
      <c r="H57" s="548"/>
      <c r="I57" s="548"/>
      <c r="J57" s="548"/>
      <c r="K57" s="548"/>
      <c r="L57" s="548"/>
      <c r="M57" s="548"/>
      <c r="N57" s="549">
        <f t="shared" si="3"/>
        <v>41268.112761098018</v>
      </c>
    </row>
    <row r="58" spans="2:14" outlineLevel="1">
      <c r="B58" s="10">
        <v>46062</v>
      </c>
      <c r="C58" s="4">
        <v>1451.2</v>
      </c>
      <c r="D58" s="2">
        <f>-H58/F58</f>
        <v>6.916399997777944</v>
      </c>
      <c r="E58" s="2">
        <v>2000000421</v>
      </c>
      <c r="F58" s="548">
        <v>-75605.62</v>
      </c>
      <c r="G58" s="548"/>
      <c r="H58" s="548">
        <v>522918.71</v>
      </c>
      <c r="I58" s="548"/>
      <c r="J58" s="548"/>
      <c r="K58" s="548">
        <v>25</v>
      </c>
      <c r="L58" s="548"/>
      <c r="M58" s="548"/>
      <c r="N58" s="549">
        <f t="shared" si="3"/>
        <v>564186.82276109804</v>
      </c>
    </row>
    <row r="59" spans="2:14" outlineLevel="1">
      <c r="B59" s="10">
        <v>46063</v>
      </c>
      <c r="C59" s="4"/>
      <c r="D59" s="2"/>
      <c r="E59" s="2"/>
      <c r="F59" s="548"/>
      <c r="G59" s="548"/>
      <c r="H59" s="548"/>
      <c r="I59" s="548"/>
      <c r="J59" s="548"/>
      <c r="K59" s="548"/>
      <c r="L59" s="548">
        <v>80846.2</v>
      </c>
      <c r="M59" s="548"/>
      <c r="N59" s="549">
        <f t="shared" si="3"/>
        <v>483340.62276109803</v>
      </c>
    </row>
    <row r="60" spans="2:14" outlineLevel="1">
      <c r="B60" s="10">
        <v>46065</v>
      </c>
      <c r="C60" s="4"/>
      <c r="D60" s="2"/>
      <c r="E60" s="2"/>
      <c r="F60" s="548"/>
      <c r="G60" s="548"/>
      <c r="H60" s="548"/>
      <c r="I60" s="548"/>
      <c r="J60" s="548"/>
      <c r="K60" s="548"/>
      <c r="L60" s="548">
        <v>20007.2</v>
      </c>
      <c r="M60" s="548"/>
      <c r="N60" s="549">
        <f t="shared" si="3"/>
        <v>463333.42276109802</v>
      </c>
    </row>
    <row r="61" spans="2:14" outlineLevel="1">
      <c r="B61" s="10">
        <v>46066</v>
      </c>
      <c r="C61" s="4"/>
      <c r="D61" s="2"/>
      <c r="E61" s="2"/>
      <c r="F61" s="548"/>
      <c r="G61" s="548"/>
      <c r="H61" s="548"/>
      <c r="I61" s="548"/>
      <c r="J61" s="548"/>
      <c r="K61" s="548"/>
      <c r="L61" s="548">
        <v>65112.399999999987</v>
      </c>
      <c r="M61" s="548"/>
      <c r="N61" s="549">
        <f t="shared" si="3"/>
        <v>398221.02276109805</v>
      </c>
    </row>
    <row r="62" spans="2:14" outlineLevel="1">
      <c r="B62" s="10">
        <v>46067</v>
      </c>
      <c r="C62" s="4"/>
      <c r="D62" s="2"/>
      <c r="E62" s="2"/>
      <c r="F62" s="548"/>
      <c r="G62" s="548"/>
      <c r="H62" s="548"/>
      <c r="I62" s="548"/>
      <c r="J62" s="548"/>
      <c r="K62" s="548"/>
      <c r="L62" s="548">
        <v>89777.560000000056</v>
      </c>
      <c r="M62" s="548"/>
      <c r="N62" s="549">
        <f t="shared" si="3"/>
        <v>308443.462761098</v>
      </c>
    </row>
    <row r="63" spans="2:14" outlineLevel="1">
      <c r="B63" s="10">
        <v>46077</v>
      </c>
      <c r="C63" s="4"/>
      <c r="D63" s="2"/>
      <c r="E63" s="2"/>
      <c r="F63" s="548"/>
      <c r="G63" s="548"/>
      <c r="H63" s="548"/>
      <c r="I63" s="548"/>
      <c r="J63" s="548"/>
      <c r="K63" s="548"/>
      <c r="L63" s="548">
        <v>252472.24</v>
      </c>
      <c r="M63" s="548"/>
      <c r="N63" s="549">
        <f t="shared" si="3"/>
        <v>55971.222761098004</v>
      </c>
    </row>
    <row r="64" spans="2:14" outlineLevel="1">
      <c r="B64" s="10">
        <v>46079</v>
      </c>
      <c r="C64" s="4"/>
      <c r="D64" s="2"/>
      <c r="E64" s="2"/>
      <c r="F64" s="548"/>
      <c r="G64" s="548"/>
      <c r="H64" s="548"/>
      <c r="I64" s="548"/>
      <c r="J64" s="548"/>
      <c r="K64" s="548"/>
      <c r="L64" s="548">
        <v>553.6</v>
      </c>
      <c r="M64" s="548"/>
      <c r="N64" s="549">
        <f t="shared" si="3"/>
        <v>55417.622761098006</v>
      </c>
    </row>
    <row r="65" spans="2:14" ht="14.25" customHeight="1" outlineLevel="1" thickBot="1">
      <c r="B65" s="555"/>
      <c r="C65" s="556"/>
      <c r="D65" s="556"/>
      <c r="E65" s="556"/>
      <c r="F65" s="557"/>
      <c r="G65" s="557"/>
      <c r="H65" s="558"/>
      <c r="I65" s="558"/>
      <c r="J65" s="558"/>
      <c r="K65" s="557"/>
      <c r="L65" s="559"/>
      <c r="M65" s="560"/>
      <c r="N65" s="561">
        <f>N64</f>
        <v>55417.622761098006</v>
      </c>
    </row>
    <row r="66" spans="2:14" outlineLevel="1">
      <c r="B66" s="10">
        <v>46093</v>
      </c>
      <c r="C66" s="4"/>
      <c r="D66" s="2"/>
      <c r="E66" s="2"/>
      <c r="F66" s="548"/>
      <c r="G66" s="548"/>
      <c r="H66" s="548"/>
      <c r="I66" s="548">
        <v>48000</v>
      </c>
      <c r="J66" s="548"/>
      <c r="L66" s="548">
        <v>612</v>
      </c>
      <c r="M66" s="548"/>
      <c r="N66" s="549">
        <f>N65+I66-L66</f>
        <v>102805.622761098</v>
      </c>
    </row>
    <row r="67" spans="2:14" outlineLevel="1">
      <c r="B67" s="10">
        <v>46098</v>
      </c>
      <c r="C67" s="4"/>
      <c r="D67" s="2"/>
      <c r="E67" s="2"/>
      <c r="F67" s="548">
        <v>73089.83</v>
      </c>
      <c r="G67" s="548"/>
      <c r="H67" s="548"/>
      <c r="I67" s="548"/>
      <c r="J67" s="548"/>
      <c r="K67" s="548"/>
      <c r="L67" s="548"/>
      <c r="M67" s="548"/>
      <c r="N67" s="549">
        <f>N66+H67-L67</f>
        <v>102805.622761098</v>
      </c>
    </row>
    <row r="68" spans="2:14" outlineLevel="1">
      <c r="B68" s="10">
        <v>46098</v>
      </c>
      <c r="C68" s="4">
        <v>1479.8</v>
      </c>
      <c r="D68" s="2">
        <f>-H68/F68</f>
        <v>6.8738999324298709</v>
      </c>
      <c r="E68" s="2">
        <v>2000000732</v>
      </c>
      <c r="F68" s="548">
        <v>-73064.83</v>
      </c>
      <c r="G68" s="548"/>
      <c r="H68" s="548">
        <v>502240.33</v>
      </c>
      <c r="I68" s="548"/>
      <c r="J68" s="548"/>
      <c r="K68" s="548">
        <v>25</v>
      </c>
      <c r="L68" s="548"/>
      <c r="M68" s="548"/>
      <c r="N68" s="549">
        <f>N67+H68-L68</f>
        <v>605045.95276109804</v>
      </c>
    </row>
    <row r="69" spans="2:14" outlineLevel="1">
      <c r="B69" s="10">
        <v>46102</v>
      </c>
      <c r="C69" s="4"/>
      <c r="D69" s="2"/>
      <c r="E69" s="2"/>
      <c r="F69" s="548"/>
      <c r="G69" s="548"/>
      <c r="H69" s="548"/>
      <c r="I69" s="548">
        <v>42.57</v>
      </c>
      <c r="J69" s="548">
        <v>6.1549360958991111</v>
      </c>
      <c r="K69" s="548"/>
      <c r="L69" s="548"/>
      <c r="M69" s="548"/>
      <c r="N69" s="549">
        <f>N68+I69-L69</f>
        <v>605088.52276109799</v>
      </c>
    </row>
    <row r="70" spans="2:14" outlineLevel="1">
      <c r="B70" s="10">
        <v>46104</v>
      </c>
      <c r="C70" s="4"/>
      <c r="D70" s="2"/>
      <c r="E70" s="2"/>
      <c r="F70" s="548"/>
      <c r="G70" s="548"/>
      <c r="H70" s="548"/>
      <c r="I70" s="548"/>
      <c r="J70" s="548"/>
      <c r="K70" s="548"/>
      <c r="L70" s="562">
        <v>54848.294146195753</v>
      </c>
      <c r="M70" s="548"/>
      <c r="N70" s="549">
        <f>N69+I70-L70</f>
        <v>550240.22861490224</v>
      </c>
    </row>
    <row r="71" spans="2:14" outlineLevel="1">
      <c r="B71" s="10">
        <v>46104</v>
      </c>
      <c r="C71" s="4"/>
      <c r="D71" s="2"/>
      <c r="E71" s="2"/>
      <c r="F71" s="548"/>
      <c r="G71" s="548"/>
      <c r="H71" s="548"/>
      <c r="I71" s="548"/>
      <c r="J71" s="548"/>
      <c r="K71" s="548"/>
      <c r="L71" s="562">
        <v>142377.98585380419</v>
      </c>
      <c r="M71" s="548"/>
      <c r="N71" s="549">
        <f>N70+I71-L71</f>
        <v>407862.24276109808</v>
      </c>
    </row>
    <row r="72" spans="2:14" outlineLevel="1">
      <c r="B72" s="10">
        <v>46105</v>
      </c>
      <c r="C72" s="4"/>
      <c r="D72" s="2"/>
      <c r="E72" s="2"/>
      <c r="F72" s="548"/>
      <c r="G72" s="548"/>
      <c r="H72" s="548"/>
      <c r="I72" s="548"/>
      <c r="J72" s="548"/>
      <c r="K72" s="548"/>
      <c r="L72" s="548">
        <v>269648.75</v>
      </c>
      <c r="M72" s="548"/>
      <c r="N72" s="549">
        <f>N71+I72-L72</f>
        <v>138213.49276109808</v>
      </c>
    </row>
    <row r="73" spans="2:14" ht="14.25" customHeight="1" outlineLevel="1" thickBot="1">
      <c r="B73" s="555"/>
      <c r="C73" s="556"/>
      <c r="D73" s="556"/>
      <c r="E73" s="556"/>
      <c r="F73" s="557"/>
      <c r="G73" s="557"/>
      <c r="H73" s="558"/>
      <c r="I73" s="558"/>
      <c r="J73" s="558"/>
      <c r="K73" s="557"/>
      <c r="L73" s="559"/>
      <c r="M73" s="560"/>
      <c r="N73" s="561">
        <f>N72</f>
        <v>138213.49276109808</v>
      </c>
    </row>
    <row r="74" spans="2:14" outlineLevel="1">
      <c r="B74" s="10">
        <v>46128</v>
      </c>
      <c r="C74" s="4"/>
      <c r="D74" s="2"/>
      <c r="E74" s="2"/>
      <c r="F74" s="548">
        <v>55078.720000000001</v>
      </c>
      <c r="G74" s="548"/>
      <c r="H74" s="548"/>
      <c r="I74" s="548"/>
      <c r="J74" s="548"/>
      <c r="K74" s="548"/>
      <c r="L74" s="548"/>
      <c r="M74" s="548"/>
      <c r="N74" s="549">
        <f t="shared" ref="N74:N81" si="4">N73+H74-L74</f>
        <v>138213.49276109808</v>
      </c>
    </row>
    <row r="75" spans="2:14" outlineLevel="1">
      <c r="B75" s="10">
        <v>46128</v>
      </c>
      <c r="C75" s="4">
        <v>1479.8</v>
      </c>
      <c r="D75" s="2">
        <f>-H75/F75</f>
        <v>6.8060000305156487</v>
      </c>
      <c r="E75" s="2">
        <v>2000000992</v>
      </c>
      <c r="F75" s="548">
        <v>-55053.72</v>
      </c>
      <c r="G75" s="548"/>
      <c r="H75" s="548">
        <v>374695.62</v>
      </c>
      <c r="I75" s="548"/>
      <c r="J75" s="548"/>
      <c r="K75" s="548">
        <v>25</v>
      </c>
      <c r="L75" s="548"/>
      <c r="M75" s="548"/>
      <c r="N75" s="549">
        <f t="shared" si="4"/>
        <v>512909.11276109808</v>
      </c>
    </row>
    <row r="76" spans="2:14" outlineLevel="1">
      <c r="B76" s="10">
        <v>46129</v>
      </c>
      <c r="C76" s="4"/>
      <c r="D76" s="2"/>
      <c r="E76" s="2"/>
      <c r="F76" s="548"/>
      <c r="G76" s="548"/>
      <c r="H76" s="548"/>
      <c r="I76" s="548"/>
      <c r="J76" s="548"/>
      <c r="K76" s="548"/>
      <c r="L76" s="548">
        <v>58139.61</v>
      </c>
      <c r="M76" s="548"/>
      <c r="N76" s="549">
        <f t="shared" si="4"/>
        <v>454769.50276109809</v>
      </c>
    </row>
    <row r="77" spans="2:14" outlineLevel="1">
      <c r="B77" s="10">
        <v>46132</v>
      </c>
      <c r="C77" s="4"/>
      <c r="D77" s="2"/>
      <c r="E77" s="2"/>
      <c r="F77" s="548"/>
      <c r="G77" s="548"/>
      <c r="H77" s="548"/>
      <c r="I77" s="548"/>
      <c r="J77" s="548"/>
      <c r="L77" s="548">
        <v>20007.2</v>
      </c>
      <c r="M77" s="548"/>
      <c r="N77" s="549">
        <f t="shared" si="4"/>
        <v>434762.30276109808</v>
      </c>
    </row>
    <row r="78" spans="2:14" outlineLevel="1">
      <c r="B78" s="10">
        <v>46135</v>
      </c>
      <c r="C78" s="4"/>
      <c r="D78" s="2"/>
      <c r="E78" s="2"/>
      <c r="F78" s="548"/>
      <c r="G78" s="548"/>
      <c r="H78" s="548"/>
      <c r="I78" s="548"/>
      <c r="J78" s="548"/>
      <c r="K78" s="548"/>
      <c r="L78" s="562">
        <v>60066.7</v>
      </c>
      <c r="M78" s="548"/>
      <c r="N78" s="549">
        <f t="shared" si="4"/>
        <v>374695.60276109807</v>
      </c>
    </row>
    <row r="79" spans="2:14" outlineLevel="1">
      <c r="B79" s="10">
        <v>46135</v>
      </c>
      <c r="C79" s="4"/>
      <c r="D79" s="2"/>
      <c r="E79" s="2"/>
      <c r="F79" s="548"/>
      <c r="G79" s="548"/>
      <c r="H79" s="548"/>
      <c r="I79" s="548"/>
      <c r="J79" s="548"/>
      <c r="K79" s="548"/>
      <c r="L79" s="562">
        <v>257166.45</v>
      </c>
      <c r="M79" s="548"/>
      <c r="N79" s="549">
        <f t="shared" si="4"/>
        <v>117529.15276109806</v>
      </c>
    </row>
    <row r="80" spans="2:14" outlineLevel="1">
      <c r="B80" s="10">
        <v>46136</v>
      </c>
      <c r="C80" s="4"/>
      <c r="D80" s="2"/>
      <c r="E80" s="2"/>
      <c r="F80" s="548"/>
      <c r="G80" s="548"/>
      <c r="H80" s="548"/>
      <c r="I80" s="548"/>
      <c r="J80" s="548"/>
      <c r="K80" s="548"/>
      <c r="L80" s="548">
        <v>35713.839999999997</v>
      </c>
      <c r="M80" s="548"/>
      <c r="N80" s="549">
        <f t="shared" si="4"/>
        <v>81815.312761098059</v>
      </c>
    </row>
    <row r="81" spans="2:14" outlineLevel="1">
      <c r="B81" s="10">
        <v>46137</v>
      </c>
      <c r="C81" s="4"/>
      <c r="D81" s="2"/>
      <c r="E81" s="2"/>
      <c r="F81" s="548"/>
      <c r="G81" s="548"/>
      <c r="H81" s="548"/>
      <c r="I81" s="548"/>
      <c r="J81" s="548"/>
      <c r="K81" s="548"/>
      <c r="L81" s="548">
        <v>80769.520000000019</v>
      </c>
      <c r="M81" s="548"/>
      <c r="N81" s="549">
        <f t="shared" si="4"/>
        <v>1045.7927610980405</v>
      </c>
    </row>
    <row r="82" spans="2:14" ht="14.25" customHeight="1" outlineLevel="1" thickBot="1">
      <c r="B82" s="555"/>
      <c r="C82" s="556"/>
      <c r="D82" s="556"/>
      <c r="E82" s="556"/>
      <c r="F82" s="557"/>
      <c r="G82" s="557"/>
      <c r="H82" s="558"/>
      <c r="I82" s="558"/>
      <c r="J82" s="558"/>
      <c r="K82" s="557"/>
      <c r="L82" s="559"/>
      <c r="M82" s="560"/>
      <c r="N82" s="561">
        <f>N81</f>
        <v>1045.7927610980405</v>
      </c>
    </row>
    <row r="83" spans="2:14">
      <c r="B83" s="10">
        <v>46148</v>
      </c>
      <c r="C83" s="4"/>
      <c r="D83" s="2"/>
      <c r="E83" s="2"/>
      <c r="F83" s="548">
        <v>5226.93</v>
      </c>
      <c r="G83" s="548"/>
      <c r="H83" s="548"/>
      <c r="I83" s="548"/>
      <c r="J83" s="548"/>
      <c r="K83" s="548"/>
      <c r="L83" s="548"/>
      <c r="M83" s="548"/>
      <c r="N83" s="549">
        <f t="shared" ref="N83:N91" si="5">N82+H83-L83</f>
        <v>1045.7927610980405</v>
      </c>
    </row>
    <row r="84" spans="2:14">
      <c r="B84" s="10">
        <v>46148</v>
      </c>
      <c r="C84" s="4">
        <v>1473.1</v>
      </c>
      <c r="D84" s="2">
        <f>-H84/F84</f>
        <v>6.8025007044372829</v>
      </c>
      <c r="E84" s="2">
        <v>2000001199</v>
      </c>
      <c r="F84" s="548">
        <v>-5216.93</v>
      </c>
      <c r="G84" s="548"/>
      <c r="H84" s="548">
        <v>35488.17</v>
      </c>
      <c r="I84" s="548"/>
      <c r="J84" s="548"/>
      <c r="K84" s="548">
        <v>10</v>
      </c>
      <c r="L84" s="548"/>
      <c r="M84" s="548"/>
      <c r="N84" s="549">
        <f t="shared" si="5"/>
        <v>36533.962761098039</v>
      </c>
    </row>
    <row r="85" spans="2:14">
      <c r="B85" s="10">
        <v>46148</v>
      </c>
      <c r="C85" s="4"/>
      <c r="D85" s="2"/>
      <c r="E85" s="2"/>
      <c r="F85" s="548"/>
      <c r="G85" s="548"/>
      <c r="H85" s="548"/>
      <c r="I85" s="548"/>
      <c r="J85" s="548"/>
      <c r="K85" s="548"/>
      <c r="L85" s="562">
        <v>1045.809964689035</v>
      </c>
      <c r="M85" s="548"/>
      <c r="N85" s="549">
        <f t="shared" si="5"/>
        <v>35488.152796409006</v>
      </c>
    </row>
    <row r="86" spans="2:14">
      <c r="B86" s="10">
        <v>46154</v>
      </c>
      <c r="C86" s="4"/>
      <c r="D86" s="2"/>
      <c r="E86" s="2"/>
      <c r="F86" s="548"/>
      <c r="G86" s="548"/>
      <c r="H86" s="548"/>
      <c r="I86" s="548"/>
      <c r="J86" s="548"/>
      <c r="K86" s="548"/>
      <c r="L86" s="562">
        <v>18396.300035310971</v>
      </c>
      <c r="M86" s="548"/>
      <c r="N86" s="549">
        <f t="shared" si="5"/>
        <v>17091.852761098035</v>
      </c>
    </row>
    <row r="87" spans="2:14">
      <c r="B87" s="10">
        <v>46160</v>
      </c>
      <c r="C87" s="4"/>
      <c r="D87" s="2"/>
      <c r="E87" s="2"/>
      <c r="F87" s="548">
        <v>59269.52</v>
      </c>
      <c r="G87" s="548"/>
      <c r="H87" s="548"/>
      <c r="I87" s="548"/>
      <c r="J87" s="548"/>
      <c r="K87" s="548"/>
      <c r="L87" s="548">
        <v>471.36</v>
      </c>
      <c r="M87" s="548"/>
      <c r="N87" s="549">
        <f t="shared" si="5"/>
        <v>16620.492761098034</v>
      </c>
    </row>
    <row r="88" spans="2:14">
      <c r="B88" s="10">
        <v>46160</v>
      </c>
      <c r="C88" s="4">
        <v>1484.3</v>
      </c>
      <c r="D88" s="2">
        <f>-H88/F88</f>
        <v>6.7996000305175901</v>
      </c>
      <c r="E88" s="2">
        <v>2000001372</v>
      </c>
      <c r="F88" s="548">
        <v>-59244.52</v>
      </c>
      <c r="G88" s="548"/>
      <c r="H88" s="548">
        <v>402839.03999999998</v>
      </c>
      <c r="I88" s="548"/>
      <c r="J88" s="548"/>
      <c r="K88" s="548">
        <v>25</v>
      </c>
      <c r="L88" s="548"/>
      <c r="M88" s="548"/>
      <c r="N88" s="549">
        <f t="shared" si="5"/>
        <v>419459.532761098</v>
      </c>
    </row>
    <row r="89" spans="2:14">
      <c r="B89" s="10">
        <v>46161</v>
      </c>
      <c r="C89" s="4"/>
      <c r="D89" s="2"/>
      <c r="E89" s="2"/>
      <c r="F89" s="563"/>
      <c r="G89" s="548"/>
      <c r="H89" s="563"/>
      <c r="I89" s="548"/>
      <c r="J89" s="548"/>
      <c r="K89" s="548"/>
      <c r="L89" s="562">
        <v>16620.509156147389</v>
      </c>
      <c r="M89" s="548"/>
      <c r="N89" s="549">
        <f t="shared" si="5"/>
        <v>402839.02360495063</v>
      </c>
    </row>
    <row r="90" spans="2:14">
      <c r="B90" s="10">
        <v>46161</v>
      </c>
      <c r="C90" s="4"/>
      <c r="D90" s="2"/>
      <c r="E90" s="2"/>
      <c r="F90" s="564"/>
      <c r="G90" s="548"/>
      <c r="H90" s="563"/>
      <c r="I90" s="548"/>
      <c r="J90" s="548"/>
      <c r="K90" s="548"/>
      <c r="L90" s="562">
        <v>3386.69</v>
      </c>
      <c r="M90" s="548"/>
      <c r="N90" s="549">
        <f t="shared" si="5"/>
        <v>399452.33360495063</v>
      </c>
    </row>
    <row r="91" spans="2:14">
      <c r="B91" s="10">
        <v>46165</v>
      </c>
      <c r="C91" s="4"/>
      <c r="D91" s="2"/>
      <c r="E91" s="2"/>
      <c r="F91" s="548"/>
      <c r="G91" s="548"/>
      <c r="H91" s="548"/>
      <c r="I91" s="548"/>
      <c r="J91" s="548"/>
      <c r="K91" s="548"/>
      <c r="L91" s="548">
        <v>381501.58</v>
      </c>
      <c r="M91" s="548"/>
      <c r="N91" s="549">
        <f t="shared" si="5"/>
        <v>17950.753604950616</v>
      </c>
    </row>
    <row r="92" spans="2:14">
      <c r="B92" s="565"/>
      <c r="C92" s="566"/>
      <c r="D92" s="566"/>
      <c r="E92" s="566"/>
      <c r="F92" s="567"/>
      <c r="G92" s="567"/>
      <c r="H92" s="568"/>
      <c r="I92" s="568"/>
      <c r="J92" s="568"/>
      <c r="K92" s="567"/>
      <c r="L92" s="569"/>
      <c r="M92" s="570"/>
      <c r="N92" s="571">
        <f>N91</f>
        <v>17950.753604950616</v>
      </c>
    </row>
    <row r="93" spans="2:14">
      <c r="B93" s="13">
        <v>46189</v>
      </c>
      <c r="C93" s="572"/>
      <c r="D93" s="573"/>
      <c r="E93" s="573"/>
      <c r="F93" s="574">
        <v>74959.75</v>
      </c>
      <c r="G93" s="573"/>
      <c r="H93" s="573"/>
      <c r="I93" s="573"/>
      <c r="J93" s="573"/>
      <c r="K93" s="573"/>
      <c r="L93" s="573"/>
      <c r="M93" s="573"/>
      <c r="N93" s="549">
        <f>N92+H93-L93</f>
        <v>17950.753604950616</v>
      </c>
    </row>
    <row r="94" spans="2:14">
      <c r="B94" s="10">
        <v>46189</v>
      </c>
      <c r="C94" s="575">
        <v>1527</v>
      </c>
      <c r="D94" s="576">
        <f>-H94/F94</f>
        <v>6.7490999836524441</v>
      </c>
      <c r="E94" s="577">
        <v>2000001534</v>
      </c>
      <c r="F94" s="578">
        <v>-74934.75</v>
      </c>
      <c r="G94" s="577"/>
      <c r="H94" s="579">
        <v>505742.12</v>
      </c>
      <c r="I94" s="577"/>
      <c r="J94" s="577"/>
      <c r="K94" s="548">
        <v>25</v>
      </c>
      <c r="L94" s="577"/>
      <c r="M94" s="577"/>
      <c r="N94" s="549">
        <f>N93+H94-L94</f>
        <v>523692.87360495061</v>
      </c>
    </row>
    <row r="95" spans="2:14">
      <c r="B95" s="10">
        <v>46191</v>
      </c>
      <c r="C95" s="577"/>
      <c r="D95" s="577"/>
      <c r="E95" s="577"/>
      <c r="F95" s="577"/>
      <c r="G95" s="577"/>
      <c r="H95" s="577"/>
      <c r="I95" s="577"/>
      <c r="J95" s="577"/>
      <c r="K95" s="577"/>
      <c r="L95" s="580">
        <v>17950.74009256552</v>
      </c>
      <c r="M95" s="577"/>
      <c r="N95" s="549">
        <f>N94+H95-L95</f>
        <v>505742.13351238507</v>
      </c>
    </row>
    <row r="96" spans="2:14">
      <c r="B96" s="10">
        <v>46191</v>
      </c>
      <c r="C96" s="577"/>
      <c r="D96" s="577"/>
      <c r="E96" s="577"/>
      <c r="F96" s="577"/>
      <c r="G96" s="577"/>
      <c r="H96" s="577"/>
      <c r="I96" s="577"/>
      <c r="J96" s="577"/>
      <c r="K96" s="577"/>
      <c r="L96" s="580">
        <v>186438.41990743461</v>
      </c>
      <c r="M96" s="577"/>
      <c r="N96" s="549">
        <f>N95+H96-L96</f>
        <v>319303.71360495046</v>
      </c>
    </row>
    <row r="97" spans="2:14">
      <c r="B97" s="10">
        <v>46194</v>
      </c>
      <c r="C97" s="577"/>
      <c r="D97" s="577"/>
      <c r="E97" s="577"/>
      <c r="F97" s="577"/>
      <c r="G97" s="577"/>
      <c r="H97" s="577"/>
      <c r="I97" s="581">
        <v>5.2984842551773221</v>
      </c>
      <c r="J97" s="581">
        <v>35.76</v>
      </c>
      <c r="K97" s="577"/>
      <c r="L97" s="577"/>
      <c r="M97" s="577"/>
      <c r="N97" s="549">
        <f>N96+J97-L97</f>
        <v>319339.47360495047</v>
      </c>
    </row>
    <row r="98" spans="2:14">
      <c r="B98" s="10">
        <v>46197</v>
      </c>
      <c r="C98" s="577"/>
      <c r="D98" s="577"/>
      <c r="E98" s="577"/>
      <c r="F98" s="577"/>
      <c r="G98" s="577"/>
      <c r="H98" s="577"/>
      <c r="I98" s="577"/>
      <c r="J98" s="577"/>
      <c r="K98" s="577"/>
      <c r="L98" s="579">
        <v>283930.95</v>
      </c>
      <c r="M98" s="577"/>
      <c r="N98" s="549">
        <f>N97+H98-L98</f>
        <v>35408.52360495046</v>
      </c>
    </row>
    <row r="99" spans="2:14" ht="14.25" customHeight="1" thickBot="1">
      <c r="B99" s="582"/>
      <c r="C99" s="583"/>
      <c r="D99" s="583"/>
      <c r="E99" s="583"/>
      <c r="F99" s="583"/>
      <c r="G99" s="583"/>
      <c r="H99" s="583"/>
      <c r="I99" s="583"/>
      <c r="J99" s="583"/>
      <c r="K99" s="583"/>
      <c r="L99" s="583"/>
      <c r="M99" s="583"/>
      <c r="N99" s="584">
        <f>N98</f>
        <v>35408.52360495046</v>
      </c>
    </row>
  </sheetData>
  <mergeCells count="6">
    <mergeCell ref="M2:N2"/>
    <mergeCell ref="B2:B3"/>
    <mergeCell ref="C2:E2"/>
    <mergeCell ref="F2:H2"/>
    <mergeCell ref="I2:J2"/>
    <mergeCell ref="K2:L2"/>
  </mergeCells>
  <phoneticPr fontId="10" type="noConversion"/>
  <pageMargins left="0.7" right="0.7" top="0.75" bottom="0.75" header="0.3" footer="0.3"/>
  <pageSetup paperSize="9" scale="8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E97E-803B-41C1-906D-09514C5AB0D1}">
  <sheetPr>
    <tabColor rgb="FFFFC000"/>
  </sheetPr>
  <dimension ref="A1:AC105"/>
  <sheetViews>
    <sheetView showGridLines="0" zoomScaleNormal="100" workbookViewId="0">
      <pane ySplit="19" topLeftCell="A6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201" customWidth="1"/>
    <col min="4" max="4" width="9.75" style="201" customWidth="1"/>
    <col min="5" max="5" width="12.125" style="201" customWidth="1"/>
    <col min="6" max="6" width="11.125" style="201" customWidth="1"/>
    <col min="7" max="7" width="9.875" style="37" customWidth="1"/>
    <col min="8" max="8" width="9.75" style="201" customWidth="1"/>
    <col min="9" max="9" width="9.875" style="201" customWidth="1"/>
    <col min="10" max="10" width="10.5" style="37" customWidth="1"/>
    <col min="11" max="11" width="11" style="37" customWidth="1"/>
    <col min="12" max="12" width="11.125" style="201" customWidth="1"/>
    <col min="13" max="13" width="9.75" style="201" customWidth="1"/>
    <col min="14" max="14" width="12.375" style="201" customWidth="1"/>
    <col min="15" max="15" width="9.875" style="201" customWidth="1"/>
    <col min="16" max="16" width="10.75" style="201" customWidth="1"/>
    <col min="17" max="17" width="9.625" style="201" customWidth="1"/>
    <col min="18" max="18" width="31.5" style="37" customWidth="1"/>
    <col min="19" max="19" width="10.5" style="39" bestFit="1" customWidth="1"/>
    <col min="20" max="20" width="9" style="201"/>
    <col min="21" max="21" width="9" style="202"/>
    <col min="22" max="16384" width="9" style="201"/>
  </cols>
  <sheetData>
    <row r="1" spans="1:29" ht="4.5" customHeight="1">
      <c r="A1" s="190"/>
      <c r="B1" s="191"/>
      <c r="C1" s="192"/>
      <c r="D1" s="192"/>
      <c r="E1" s="193"/>
      <c r="F1" s="193"/>
      <c r="G1" s="194"/>
      <c r="H1" s="193"/>
      <c r="I1" s="193"/>
      <c r="J1" s="195"/>
      <c r="K1" s="195"/>
      <c r="L1" s="196"/>
      <c r="M1" s="197"/>
      <c r="N1" s="197"/>
      <c r="O1" s="192"/>
      <c r="P1" s="198"/>
      <c r="Q1" s="198"/>
      <c r="R1" s="199"/>
      <c r="S1" s="200"/>
    </row>
    <row r="2" spans="1:29" s="25" customFormat="1" ht="15" customHeight="1">
      <c r="A2" s="203"/>
      <c r="B2" s="204" t="s">
        <v>158</v>
      </c>
      <c r="C2" s="61"/>
      <c r="D2" s="61"/>
      <c r="F2" s="205"/>
      <c r="G2" s="37" t="s">
        <v>89</v>
      </c>
      <c r="H2" s="206" t="s">
        <v>154</v>
      </c>
      <c r="I2" s="64"/>
      <c r="J2" s="64"/>
      <c r="K2" s="65"/>
      <c r="L2" s="64"/>
      <c r="M2" s="64"/>
      <c r="N2" s="112"/>
      <c r="O2" s="207"/>
      <c r="Q2" s="208"/>
      <c r="R2" s="37"/>
      <c r="S2" s="39"/>
      <c r="T2" s="201"/>
      <c r="U2" s="202"/>
      <c r="V2" s="201"/>
      <c r="W2" s="201"/>
      <c r="X2" s="201"/>
    </row>
    <row r="3" spans="1:29" s="31" customFormat="1" ht="11.25" customHeight="1">
      <c r="A3" s="26"/>
      <c r="B3" s="27" t="s">
        <v>139</v>
      </c>
      <c r="C3" s="28"/>
      <c r="D3" s="28"/>
      <c r="E3" s="28"/>
      <c r="F3" s="184">
        <v>1433.2</v>
      </c>
      <c r="G3" s="30"/>
      <c r="H3" s="27" t="s">
        <v>153</v>
      </c>
      <c r="I3" s="28"/>
      <c r="K3" s="29"/>
      <c r="L3" s="184">
        <v>1458.2</v>
      </c>
      <c r="N3" s="27" t="s">
        <v>168</v>
      </c>
      <c r="O3" s="28"/>
      <c r="Q3" s="29"/>
      <c r="R3" s="184">
        <v>1434.3</v>
      </c>
      <c r="T3" s="27"/>
      <c r="U3" s="28"/>
      <c r="V3" s="29"/>
      <c r="W3" s="29"/>
      <c r="X3" s="107">
        <v>1327.2</v>
      </c>
    </row>
    <row r="4" spans="1:29" ht="11.25" customHeight="1">
      <c r="A4" s="190"/>
      <c r="B4" s="32" t="s">
        <v>0</v>
      </c>
      <c r="C4" s="33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32" t="s">
        <v>0</v>
      </c>
      <c r="O4" s="33" t="s">
        <v>1</v>
      </c>
      <c r="P4" s="34" t="s">
        <v>90</v>
      </c>
      <c r="Q4" s="38" t="s">
        <v>91</v>
      </c>
      <c r="R4" s="36" t="s">
        <v>92</v>
      </c>
      <c r="T4" s="25"/>
      <c r="U4" s="25"/>
      <c r="V4" s="25"/>
      <c r="W4" s="25"/>
      <c r="X4" s="25"/>
      <c r="Y4" s="25"/>
      <c r="Z4" s="25"/>
      <c r="AA4" s="25"/>
    </row>
    <row r="5" spans="1:29" ht="11.25" customHeight="1">
      <c r="A5" s="39">
        <v>51131050</v>
      </c>
      <c r="B5" s="40" t="s">
        <v>93</v>
      </c>
      <c r="C5" s="41" t="s">
        <v>3</v>
      </c>
      <c r="D5" s="47"/>
      <c r="E5" s="43"/>
      <c r="F5" s="44">
        <f t="shared" ref="F5:F12" si="0">ROUND(E5*$F$3,0)</f>
        <v>0</v>
      </c>
      <c r="G5" s="45"/>
      <c r="H5" s="46" t="s">
        <v>2</v>
      </c>
      <c r="I5" s="46" t="s">
        <v>3</v>
      </c>
      <c r="J5" s="103">
        <v>30124.080000000002</v>
      </c>
      <c r="K5" s="103">
        <v>4115.82</v>
      </c>
      <c r="L5" s="93">
        <f t="shared" ref="L5:L12" si="1">ROUND(K5*$L$3,0)</f>
        <v>6001689</v>
      </c>
      <c r="M5" s="130">
        <f>L5+F5</f>
        <v>6001689</v>
      </c>
      <c r="N5" s="46" t="s">
        <v>2</v>
      </c>
      <c r="O5" s="46" t="s">
        <v>3</v>
      </c>
      <c r="P5" s="103"/>
      <c r="Q5" s="103"/>
      <c r="R5" s="93">
        <f t="shared" ref="R5:R12" si="2">ROUND(Q5*$R$3,0)</f>
        <v>0</v>
      </c>
      <c r="S5" s="237">
        <f>F5+L5+R5</f>
        <v>6001689</v>
      </c>
      <c r="T5" s="25"/>
      <c r="U5" s="25"/>
      <c r="V5" s="25"/>
      <c r="W5" s="25"/>
      <c r="X5" s="25"/>
      <c r="Y5" s="25"/>
      <c r="Z5" s="25"/>
      <c r="AA5" s="25"/>
    </row>
    <row r="6" spans="1:29" ht="11.25" customHeight="1">
      <c r="A6" s="39">
        <v>51061030</v>
      </c>
      <c r="B6" s="40" t="s">
        <v>94</v>
      </c>
      <c r="C6" s="41" t="s">
        <v>95</v>
      </c>
      <c r="D6" s="47">
        <v>1600</v>
      </c>
      <c r="E6" s="47">
        <v>220.27</v>
      </c>
      <c r="F6" s="44">
        <f t="shared" si="0"/>
        <v>315691</v>
      </c>
      <c r="G6" s="48"/>
      <c r="H6" s="46" t="s">
        <v>4</v>
      </c>
      <c r="I6" s="46" t="s">
        <v>5</v>
      </c>
      <c r="J6" s="103">
        <v>23408.080000000002</v>
      </c>
      <c r="K6" s="103">
        <v>3198.22</v>
      </c>
      <c r="L6" s="93">
        <f t="shared" si="1"/>
        <v>4663644</v>
      </c>
      <c r="M6" s="130">
        <f t="shared" ref="M6:M13" si="3">L6+F6</f>
        <v>4979335</v>
      </c>
      <c r="N6" s="46" t="s">
        <v>4</v>
      </c>
      <c r="O6" s="46" t="s">
        <v>5</v>
      </c>
      <c r="P6" s="103"/>
      <c r="Q6" s="103"/>
      <c r="R6" s="93">
        <f t="shared" si="2"/>
        <v>0</v>
      </c>
      <c r="S6" s="237">
        <f t="shared" ref="S6:S13" si="4">F6+L6+R6</f>
        <v>4979335</v>
      </c>
      <c r="T6" s="25"/>
      <c r="U6" s="25"/>
      <c r="V6" s="25"/>
      <c r="W6" s="25"/>
      <c r="X6" s="25"/>
      <c r="Y6" s="25"/>
      <c r="Z6" s="25"/>
      <c r="AA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24455</v>
      </c>
      <c r="E7" s="47">
        <v>3366.74</v>
      </c>
      <c r="F7" s="44">
        <f t="shared" si="0"/>
        <v>4825212</v>
      </c>
      <c r="G7" s="49"/>
      <c r="H7" s="46" t="s">
        <v>6</v>
      </c>
      <c r="I7" s="46" t="s">
        <v>96</v>
      </c>
      <c r="J7" s="104"/>
      <c r="K7" s="104"/>
      <c r="L7" s="93">
        <f t="shared" si="1"/>
        <v>0</v>
      </c>
      <c r="M7" s="130">
        <f t="shared" si="3"/>
        <v>4825212</v>
      </c>
      <c r="N7" s="46" t="s">
        <v>6</v>
      </c>
      <c r="O7" s="46" t="s">
        <v>96</v>
      </c>
      <c r="P7" s="104"/>
      <c r="Q7" s="104"/>
      <c r="R7" s="93">
        <f t="shared" si="2"/>
        <v>0</v>
      </c>
      <c r="S7" s="237">
        <f t="shared" si="4"/>
        <v>4825212</v>
      </c>
      <c r="T7" s="25"/>
      <c r="U7" s="25"/>
      <c r="V7" s="25"/>
      <c r="W7" s="25"/>
      <c r="X7" s="25"/>
      <c r="Y7" s="25"/>
      <c r="Z7" s="25"/>
      <c r="AA7" s="25"/>
    </row>
    <row r="8" spans="1:29" ht="15" customHeight="1">
      <c r="A8" s="39">
        <v>51201030</v>
      </c>
      <c r="B8" s="40" t="s">
        <v>97</v>
      </c>
      <c r="C8" s="41" t="s">
        <v>7</v>
      </c>
      <c r="D8" s="47">
        <v>8307.64</v>
      </c>
      <c r="E8" s="47">
        <v>1143.72</v>
      </c>
      <c r="F8" s="44">
        <f t="shared" si="0"/>
        <v>1639180</v>
      </c>
      <c r="G8" s="49"/>
      <c r="H8" s="46" t="s">
        <v>6</v>
      </c>
      <c r="I8" s="41" t="s">
        <v>7</v>
      </c>
      <c r="J8" s="104">
        <v>9192.36</v>
      </c>
      <c r="K8" s="104">
        <v>1255.94</v>
      </c>
      <c r="L8" s="93">
        <f t="shared" si="1"/>
        <v>1831412</v>
      </c>
      <c r="M8" s="130">
        <f t="shared" si="3"/>
        <v>3470592</v>
      </c>
      <c r="N8" s="46" t="s">
        <v>6</v>
      </c>
      <c r="O8" s="41" t="s">
        <v>7</v>
      </c>
      <c r="P8" s="104"/>
      <c r="Q8" s="104"/>
      <c r="R8" s="93">
        <f t="shared" si="2"/>
        <v>0</v>
      </c>
      <c r="S8" s="237">
        <f t="shared" si="4"/>
        <v>3470592</v>
      </c>
      <c r="T8" s="25"/>
      <c r="U8" s="25"/>
      <c r="V8" s="25"/>
      <c r="W8" s="25"/>
      <c r="X8" s="25"/>
      <c r="Y8" s="25"/>
      <c r="Z8" s="25"/>
      <c r="AA8" s="25"/>
    </row>
    <row r="9" spans="1:29" ht="11.25" customHeight="1">
      <c r="A9" s="39">
        <v>51071700</v>
      </c>
      <c r="B9" s="40" t="s">
        <v>8</v>
      </c>
      <c r="C9" s="41" t="s">
        <v>9</v>
      </c>
      <c r="D9" s="47"/>
      <c r="E9" s="47"/>
      <c r="F9" s="44">
        <f t="shared" si="0"/>
        <v>0</v>
      </c>
      <c r="G9" s="50"/>
      <c r="H9" s="46" t="s">
        <v>8</v>
      </c>
      <c r="I9" s="41" t="s">
        <v>9</v>
      </c>
      <c r="J9" s="103">
        <v>1412.84</v>
      </c>
      <c r="K9" s="103">
        <v>193.03</v>
      </c>
      <c r="L9" s="93">
        <f t="shared" si="1"/>
        <v>281476</v>
      </c>
      <c r="M9" s="130">
        <f t="shared" si="3"/>
        <v>281476</v>
      </c>
      <c r="N9" s="46" t="s">
        <v>8</v>
      </c>
      <c r="O9" s="41" t="s">
        <v>9</v>
      </c>
      <c r="P9" s="103"/>
      <c r="Q9" s="103"/>
      <c r="R9" s="93">
        <f t="shared" si="2"/>
        <v>0</v>
      </c>
      <c r="S9" s="237">
        <f t="shared" si="4"/>
        <v>281476</v>
      </c>
      <c r="T9" s="25"/>
      <c r="U9" s="25"/>
      <c r="V9" s="25"/>
      <c r="W9" s="25"/>
      <c r="X9" s="25"/>
      <c r="Y9" s="25"/>
      <c r="Z9" s="25"/>
      <c r="AA9" s="25"/>
    </row>
    <row r="10" spans="1:29" ht="11.25" customHeight="1">
      <c r="A10" s="39">
        <v>51321010</v>
      </c>
      <c r="B10" s="40" t="s">
        <v>10</v>
      </c>
      <c r="C10" s="41"/>
      <c r="D10" s="47">
        <v>43977.029999999992</v>
      </c>
      <c r="E10" s="47">
        <v>6054.36</v>
      </c>
      <c r="F10" s="44">
        <f t="shared" si="0"/>
        <v>8677109</v>
      </c>
      <c r="G10" s="51"/>
      <c r="H10" s="46" t="s">
        <v>10</v>
      </c>
      <c r="I10" s="46"/>
      <c r="J10" s="103">
        <v>331930.53999999998</v>
      </c>
      <c r="K10" s="103">
        <v>45402.28</v>
      </c>
      <c r="L10" s="93">
        <f t="shared" si="1"/>
        <v>66205605</v>
      </c>
      <c r="M10" s="130">
        <f t="shared" si="3"/>
        <v>74882714</v>
      </c>
      <c r="N10" s="46" t="s">
        <v>10</v>
      </c>
      <c r="O10" s="46"/>
      <c r="P10" s="103"/>
      <c r="Q10" s="103"/>
      <c r="R10" s="93">
        <f t="shared" si="2"/>
        <v>0</v>
      </c>
      <c r="S10" s="237">
        <f t="shared" si="4"/>
        <v>74882714</v>
      </c>
      <c r="T10" s="25"/>
      <c r="U10" s="25"/>
      <c r="V10" s="25"/>
      <c r="W10" s="25"/>
      <c r="X10" s="25"/>
      <c r="Y10" s="25"/>
      <c r="Z10" s="25"/>
      <c r="AA10" s="25"/>
      <c r="AB10" s="64"/>
      <c r="AC10" s="37"/>
    </row>
    <row r="11" spans="1:29" ht="11.25" customHeight="1">
      <c r="A11" s="39">
        <v>51031020</v>
      </c>
      <c r="B11" s="52" t="s">
        <v>98</v>
      </c>
      <c r="C11" s="52" t="s">
        <v>99</v>
      </c>
      <c r="D11" s="52"/>
      <c r="E11" s="53"/>
      <c r="F11" s="54">
        <f t="shared" si="0"/>
        <v>0</v>
      </c>
      <c r="G11" s="55">
        <f>G13/G12</f>
        <v>1433.2037715239408</v>
      </c>
      <c r="H11" s="52" t="s">
        <v>98</v>
      </c>
      <c r="I11" s="52" t="s">
        <v>130</v>
      </c>
      <c r="J11" s="56"/>
      <c r="K11" s="120"/>
      <c r="L11" s="119">
        <f t="shared" si="1"/>
        <v>0</v>
      </c>
      <c r="M11" s="130">
        <f t="shared" si="3"/>
        <v>0</v>
      </c>
      <c r="N11" s="52" t="s">
        <v>98</v>
      </c>
      <c r="O11" s="52" t="s">
        <v>130</v>
      </c>
      <c r="P11" s="56"/>
      <c r="Q11" s="120">
        <v>36</v>
      </c>
      <c r="R11" s="119">
        <f t="shared" si="2"/>
        <v>51635</v>
      </c>
      <c r="S11" s="237">
        <f t="shared" si="4"/>
        <v>51635</v>
      </c>
      <c r="T11" s="25"/>
      <c r="U11" s="25"/>
      <c r="V11" s="25"/>
      <c r="W11" s="25"/>
      <c r="X11" s="25"/>
      <c r="Y11" s="25"/>
      <c r="Z11" s="25"/>
      <c r="AA11" s="25"/>
      <c r="AB11" s="64"/>
      <c r="AC11" s="37"/>
    </row>
    <row r="12" spans="1:29" ht="11.25" customHeight="1">
      <c r="A12" s="39">
        <v>52981010</v>
      </c>
      <c r="B12" s="46" t="s">
        <v>100</v>
      </c>
      <c r="C12" s="46" t="s">
        <v>101</v>
      </c>
      <c r="D12" s="151"/>
      <c r="E12" s="47"/>
      <c r="F12" s="44">
        <f t="shared" si="0"/>
        <v>0</v>
      </c>
      <c r="G12" s="57">
        <f>E13+Q13+AB13</f>
        <v>10821.09</v>
      </c>
      <c r="H12" s="46" t="s">
        <v>100</v>
      </c>
      <c r="I12" s="46" t="s">
        <v>101</v>
      </c>
      <c r="J12" s="42"/>
      <c r="K12" s="47"/>
      <c r="L12" s="93">
        <f t="shared" si="1"/>
        <v>0</v>
      </c>
      <c r="M12" s="130">
        <f t="shared" si="3"/>
        <v>0</v>
      </c>
      <c r="N12" s="46" t="s">
        <v>100</v>
      </c>
      <c r="O12" s="46" t="s">
        <v>101</v>
      </c>
      <c r="P12" s="42"/>
      <c r="Q12" s="47"/>
      <c r="R12" s="93">
        <f t="shared" si="2"/>
        <v>0</v>
      </c>
      <c r="S12" s="237">
        <f t="shared" si="4"/>
        <v>0</v>
      </c>
      <c r="T12" s="25"/>
      <c r="U12" s="25"/>
      <c r="V12" s="25"/>
      <c r="W12" s="25"/>
      <c r="X12" s="25"/>
      <c r="Y12" s="25"/>
      <c r="Z12" s="25"/>
      <c r="AA12" s="25"/>
      <c r="AB12" s="64"/>
      <c r="AC12" s="37"/>
    </row>
    <row r="13" spans="1:29" s="37" customFormat="1" ht="11.25" customHeight="1">
      <c r="A13" s="124"/>
      <c r="B13" s="125" t="s">
        <v>11</v>
      </c>
      <c r="C13" s="126"/>
      <c r="D13" s="58">
        <f>SUM(D5:D11)-D12</f>
        <v>78339.669999999984</v>
      </c>
      <c r="E13" s="58">
        <f>SUM(E5:E11)-E12</f>
        <v>10785.09</v>
      </c>
      <c r="F13" s="127">
        <f>SUM(F5:F11)-F12</f>
        <v>15457192</v>
      </c>
      <c r="G13" s="59">
        <f>F13+R13+AC13</f>
        <v>15508827</v>
      </c>
      <c r="H13" s="125" t="s">
        <v>11</v>
      </c>
      <c r="I13" s="126"/>
      <c r="J13" s="58">
        <f>SUM(J5:J11)-J12</f>
        <v>396067.89999999997</v>
      </c>
      <c r="K13" s="58">
        <f>SUM(K5:K11)-K12</f>
        <v>54165.29</v>
      </c>
      <c r="L13" s="127">
        <f>SUM(L5:L11)-L12</f>
        <v>78983826</v>
      </c>
      <c r="M13" s="130">
        <f t="shared" si="3"/>
        <v>94441018</v>
      </c>
      <c r="N13" s="125" t="s">
        <v>11</v>
      </c>
      <c r="O13" s="126"/>
      <c r="P13" s="58">
        <f>SUM(P5:P11)-P12</f>
        <v>0</v>
      </c>
      <c r="Q13" s="58">
        <f>SUM(Q5:Q11)-Q12</f>
        <v>36</v>
      </c>
      <c r="R13" s="127">
        <f>SUM(R5:R11)-R12</f>
        <v>51635</v>
      </c>
      <c r="S13" s="237">
        <f t="shared" si="4"/>
        <v>94492653</v>
      </c>
      <c r="U13" s="116"/>
      <c r="X13" s="113">
        <f>F13+R13</f>
        <v>15508827</v>
      </c>
      <c r="Y13" s="128"/>
      <c r="Z13" s="131"/>
      <c r="AB13" s="65"/>
    </row>
    <row r="14" spans="1:29" ht="14.25" customHeight="1">
      <c r="A14" s="190"/>
      <c r="C14" s="61"/>
      <c r="D14" s="108">
        <f>SUM(D7:D10)</f>
        <v>76739.669999999984</v>
      </c>
      <c r="E14" s="108">
        <f>SUM(E7:E10)</f>
        <v>10564.82</v>
      </c>
      <c r="F14" s="108">
        <f>SUM(F7:F10)</f>
        <v>15141501</v>
      </c>
      <c r="G14" s="63"/>
      <c r="J14" s="154">
        <f>J13+D13+P13</f>
        <v>474407.56999999995</v>
      </c>
      <c r="K14" s="154">
        <f>K13+E13+Q13</f>
        <v>64986.380000000005</v>
      </c>
      <c r="L14" s="133">
        <f>L13+F13+R13</f>
        <v>94492653</v>
      </c>
      <c r="M14" s="122">
        <f>M16-E12</f>
        <v>64950.381673459982</v>
      </c>
      <c r="O14" s="64"/>
      <c r="P14" s="113">
        <f>P13+D13+J13</f>
        <v>474407.56999999995</v>
      </c>
      <c r="Q14" s="113">
        <f>Q13+E13+K13</f>
        <v>64986.380000000005</v>
      </c>
      <c r="R14" s="114">
        <f>R13+F13+L13</f>
        <v>94492653</v>
      </c>
      <c r="X14" s="64"/>
      <c r="Y14" s="64"/>
      <c r="AB14" s="64"/>
      <c r="AC14" s="37"/>
    </row>
    <row r="15" spans="1:29" ht="14.25" customHeight="1">
      <c r="A15" s="190"/>
      <c r="C15" s="61"/>
      <c r="D15" s="108"/>
      <c r="E15" s="108"/>
      <c r="F15" s="108"/>
      <c r="G15" s="63"/>
      <c r="K15" s="122">
        <f>K16-H85</f>
        <v>474407.57</v>
      </c>
      <c r="L15" s="122"/>
      <c r="M15" s="122">
        <f>M16-J85</f>
        <v>64950.381673459982</v>
      </c>
      <c r="O15" s="64"/>
      <c r="P15" s="113"/>
      <c r="Q15" s="113"/>
      <c r="R15" s="114"/>
      <c r="X15" s="64"/>
      <c r="Y15" s="64"/>
      <c r="AB15" s="64"/>
      <c r="AC15" s="37"/>
    </row>
    <row r="16" spans="1:29" ht="18.75" customHeight="1" thickBot="1">
      <c r="A16" s="190"/>
      <c r="C16" s="61"/>
      <c r="D16" s="61"/>
      <c r="E16" s="62"/>
      <c r="F16" s="62"/>
      <c r="G16" s="63"/>
      <c r="I16" s="64"/>
      <c r="J16" s="65"/>
      <c r="K16" s="209">
        <f>SUBTOTAL(9,K19:K103)</f>
        <v>474407.57</v>
      </c>
      <c r="L16" s="210"/>
      <c r="M16" s="209">
        <f>SUBTOTAL(9,M19:M103)</f>
        <v>64950.381673459982</v>
      </c>
      <c r="N16" s="64"/>
      <c r="Q16" s="64"/>
    </row>
    <row r="17" spans="1:29" ht="11.25" customHeight="1">
      <c r="A17" s="190"/>
      <c r="B17" s="66" t="s">
        <v>12</v>
      </c>
      <c r="C17" s="67" t="s">
        <v>13</v>
      </c>
      <c r="D17" s="67" t="s">
        <v>102</v>
      </c>
      <c r="E17" s="68" t="s">
        <v>14</v>
      </c>
      <c r="F17" s="69" t="s">
        <v>0</v>
      </c>
      <c r="G17" s="70" t="s">
        <v>1</v>
      </c>
      <c r="H17" s="627" t="s">
        <v>15</v>
      </c>
      <c r="I17" s="628"/>
      <c r="J17" s="628"/>
      <c r="K17" s="627" t="s">
        <v>16</v>
      </c>
      <c r="L17" s="628"/>
      <c r="M17" s="629"/>
      <c r="N17" s="630" t="s">
        <v>17</v>
      </c>
      <c r="O17" s="631"/>
      <c r="P17" s="632"/>
      <c r="Q17" s="632"/>
      <c r="R17" s="71" t="s">
        <v>103</v>
      </c>
    </row>
    <row r="18" spans="1:29" ht="11.25" customHeight="1">
      <c r="A18" s="190"/>
      <c r="B18" s="72" t="s">
        <v>104</v>
      </c>
      <c r="C18" s="73" t="s">
        <v>105</v>
      </c>
      <c r="D18" s="73" t="s">
        <v>106</v>
      </c>
      <c r="E18" s="74" t="s">
        <v>107</v>
      </c>
      <c r="F18" s="75" t="s">
        <v>108</v>
      </c>
      <c r="G18" s="76" t="s">
        <v>109</v>
      </c>
      <c r="H18" s="77" t="s">
        <v>110</v>
      </c>
      <c r="I18" s="77" t="s">
        <v>111</v>
      </c>
      <c r="J18" s="78" t="s">
        <v>19</v>
      </c>
      <c r="K18" s="78" t="s">
        <v>110</v>
      </c>
      <c r="L18" s="77" t="s">
        <v>111</v>
      </c>
      <c r="M18" s="86" t="s">
        <v>19</v>
      </c>
      <c r="N18" s="87" t="s">
        <v>110</v>
      </c>
      <c r="O18" s="88" t="s">
        <v>19</v>
      </c>
      <c r="P18" s="633" t="s">
        <v>18</v>
      </c>
      <c r="Q18" s="633"/>
      <c r="R18" s="134" t="s">
        <v>103</v>
      </c>
    </row>
    <row r="19" spans="1:29" ht="11.25" customHeight="1">
      <c r="B19" s="165">
        <v>45657</v>
      </c>
      <c r="C19" s="166"/>
      <c r="D19" s="166"/>
      <c r="E19" s="167"/>
      <c r="F19" s="168"/>
      <c r="G19" s="169"/>
      <c r="H19" s="170"/>
      <c r="I19" s="166"/>
      <c r="J19" s="169"/>
      <c r="K19" s="171"/>
      <c r="L19" s="172"/>
      <c r="M19" s="173"/>
      <c r="N19" s="174">
        <v>78313.100000000137</v>
      </c>
      <c r="O19" s="174">
        <v>10785.092378179794</v>
      </c>
      <c r="P19" s="175"/>
      <c r="Q19" s="167"/>
      <c r="R19" s="176"/>
      <c r="S19" s="115">
        <v>10785.091315926813</v>
      </c>
    </row>
    <row r="20" spans="1:29" s="202" customFormat="1" ht="12" customHeight="1">
      <c r="A20" s="80"/>
      <c r="B20" s="81">
        <v>45667</v>
      </c>
      <c r="C20" s="144" t="s">
        <v>155</v>
      </c>
      <c r="D20" s="185"/>
      <c r="E20" s="186">
        <v>1</v>
      </c>
      <c r="F20" s="186" t="s">
        <v>25</v>
      </c>
      <c r="G20" s="82"/>
      <c r="H20" s="187"/>
      <c r="I20" s="180"/>
      <c r="J20" s="187"/>
      <c r="K20" s="146">
        <v>42812.63</v>
      </c>
      <c r="L20" s="79">
        <f>'[2]통장내역(환율표)'!$D$238</f>
        <v>7.2637000065386541</v>
      </c>
      <c r="M20" s="138">
        <f>K20/L20</f>
        <v>5894.0526125061369</v>
      </c>
      <c r="N20" s="153">
        <f t="shared" ref="N20:N83" si="5">N19+H20-K20</f>
        <v>35500.470000000139</v>
      </c>
      <c r="O20" s="153">
        <f t="shared" ref="O20:O83" si="6">O19+J20-M20</f>
        <v>4891.0397656736568</v>
      </c>
      <c r="P20" s="140" t="s">
        <v>138</v>
      </c>
      <c r="Q20" s="92"/>
      <c r="R20" s="92"/>
      <c r="S20" s="129">
        <f>S19-M20</f>
        <v>4891.038703420676</v>
      </c>
      <c r="T20" s="201"/>
      <c r="V20" s="201"/>
      <c r="W20" s="201"/>
      <c r="X20" s="201"/>
      <c r="Y20" s="201"/>
      <c r="Z20" s="201"/>
      <c r="AA20" s="201"/>
      <c r="AB20" s="201"/>
      <c r="AC20" s="201"/>
    </row>
    <row r="21" spans="1:29" s="202" customFormat="1" ht="12" customHeight="1">
      <c r="A21" s="80"/>
      <c r="B21" s="215">
        <v>45670</v>
      </c>
      <c r="C21" s="216" t="s">
        <v>62</v>
      </c>
      <c r="D21" s="217"/>
      <c r="E21" s="218">
        <v>2</v>
      </c>
      <c r="F21" s="218"/>
      <c r="G21" s="219"/>
      <c r="H21" s="220">
        <v>473948.32</v>
      </c>
      <c r="I21" s="221"/>
      <c r="J21" s="220">
        <v>64806</v>
      </c>
      <c r="K21" s="222"/>
      <c r="L21" s="223"/>
      <c r="M21" s="182"/>
      <c r="N21" s="182">
        <f t="shared" si="5"/>
        <v>509448.79000000015</v>
      </c>
      <c r="O21" s="182">
        <f t="shared" si="6"/>
        <v>69697.03976567366</v>
      </c>
      <c r="P21" s="224"/>
      <c r="Q21" s="225"/>
      <c r="R21" s="225"/>
      <c r="S21" s="129"/>
      <c r="T21" s="201"/>
      <c r="V21" s="201"/>
      <c r="W21" s="201"/>
      <c r="X21" s="201"/>
      <c r="Y21" s="201"/>
      <c r="Z21" s="201"/>
      <c r="AA21" s="201"/>
      <c r="AB21" s="201"/>
      <c r="AC21" s="201"/>
    </row>
    <row r="22" spans="1:29" s="202" customFormat="1" ht="12" customHeight="1">
      <c r="A22" s="80"/>
      <c r="B22" s="215">
        <v>45670</v>
      </c>
      <c r="C22" s="216" t="s">
        <v>41</v>
      </c>
      <c r="D22" s="217"/>
      <c r="E22" s="218">
        <v>2</v>
      </c>
      <c r="F22" s="226" t="s">
        <v>25</v>
      </c>
      <c r="G22" s="219"/>
      <c r="H22" s="220"/>
      <c r="I22" s="221"/>
      <c r="J22" s="220"/>
      <c r="K22" s="222"/>
      <c r="L22" s="223"/>
      <c r="M22" s="182">
        <v>51</v>
      </c>
      <c r="N22" s="182">
        <f t="shared" si="5"/>
        <v>509448.79000000015</v>
      </c>
      <c r="O22" s="182">
        <f t="shared" si="6"/>
        <v>69646.03976567366</v>
      </c>
      <c r="P22" s="224"/>
      <c r="Q22" s="225"/>
      <c r="R22" s="225"/>
      <c r="S22" s="129"/>
      <c r="T22" s="201"/>
      <c r="V22" s="201"/>
      <c r="W22" s="201"/>
      <c r="X22" s="201"/>
      <c r="Y22" s="201"/>
      <c r="Z22" s="201"/>
      <c r="AA22" s="201"/>
      <c r="AB22" s="201"/>
      <c r="AC22" s="201"/>
    </row>
    <row r="23" spans="1:29" s="37" customFormat="1" ht="11.25" customHeight="1">
      <c r="A23" s="80"/>
      <c r="B23" s="81">
        <v>45672</v>
      </c>
      <c r="C23" s="144" t="s">
        <v>156</v>
      </c>
      <c r="D23" s="185"/>
      <c r="E23" s="188">
        <v>3</v>
      </c>
      <c r="F23" s="186" t="s">
        <v>25</v>
      </c>
      <c r="G23" s="82"/>
      <c r="H23" s="187"/>
      <c r="I23" s="180"/>
      <c r="J23" s="187"/>
      <c r="K23" s="146">
        <v>140</v>
      </c>
      <c r="L23" s="79">
        <f>'[2]통장내역(환율표)'!$D$238</f>
        <v>7.2637000065386541</v>
      </c>
      <c r="M23" s="138">
        <f t="shared" ref="M23:M29" si="7">K23/L23</f>
        <v>19.273923740514405</v>
      </c>
      <c r="N23" s="153">
        <f t="shared" si="5"/>
        <v>509308.79000000015</v>
      </c>
      <c r="O23" s="153">
        <f t="shared" si="6"/>
        <v>69626.765841933142</v>
      </c>
      <c r="P23" s="140" t="s">
        <v>138</v>
      </c>
      <c r="Q23" s="92"/>
      <c r="R23" s="92"/>
      <c r="S23" s="129">
        <f>S20-M23</f>
        <v>4871.7647796801621</v>
      </c>
      <c r="T23" s="201"/>
      <c r="U23" s="202"/>
      <c r="V23" s="201"/>
      <c r="W23" s="201"/>
      <c r="X23" s="201"/>
      <c r="Y23" s="201"/>
      <c r="Z23" s="201"/>
      <c r="AA23" s="201"/>
      <c r="AB23" s="201"/>
      <c r="AC23" s="201"/>
    </row>
    <row r="24" spans="1:29" s="37" customFormat="1" ht="11.25" customHeight="1">
      <c r="A24" s="80"/>
      <c r="B24" s="81">
        <v>45672</v>
      </c>
      <c r="C24" s="144" t="s">
        <v>135</v>
      </c>
      <c r="D24" s="185"/>
      <c r="E24" s="188">
        <v>4</v>
      </c>
      <c r="F24" s="186" t="s">
        <v>24</v>
      </c>
      <c r="G24" s="82" t="s">
        <v>23</v>
      </c>
      <c r="H24" s="187"/>
      <c r="I24" s="180"/>
      <c r="J24" s="187"/>
      <c r="K24" s="146">
        <v>24455</v>
      </c>
      <c r="L24" s="79">
        <f>'[2]통장내역(환율표)'!$D$238</f>
        <v>7.2637000065386541</v>
      </c>
      <c r="M24" s="138">
        <f t="shared" si="7"/>
        <v>3366.741464816284</v>
      </c>
      <c r="N24" s="153">
        <f t="shared" si="5"/>
        <v>484853.79000000015</v>
      </c>
      <c r="O24" s="153">
        <f t="shared" si="6"/>
        <v>66260.024377116861</v>
      </c>
      <c r="P24" s="140" t="s">
        <v>138</v>
      </c>
      <c r="Q24" s="92"/>
      <c r="R24" s="92"/>
      <c r="S24" s="129">
        <f t="shared" ref="S24:S30" si="8">S23-M24</f>
        <v>1505.0233148638781</v>
      </c>
      <c r="T24" s="201"/>
      <c r="U24" s="202"/>
      <c r="V24" s="201"/>
      <c r="W24" s="201"/>
      <c r="X24" s="201"/>
      <c r="Y24" s="201"/>
      <c r="Z24" s="201"/>
      <c r="AA24" s="201"/>
      <c r="AB24" s="201"/>
      <c r="AC24" s="201"/>
    </row>
    <row r="25" spans="1:29" s="37" customFormat="1" ht="11.25" customHeight="1">
      <c r="A25" s="80"/>
      <c r="B25" s="81">
        <v>45672</v>
      </c>
      <c r="C25" s="144" t="s">
        <v>41</v>
      </c>
      <c r="D25" s="185"/>
      <c r="E25" s="188">
        <v>5</v>
      </c>
      <c r="F25" s="186" t="s">
        <v>25</v>
      </c>
      <c r="G25" s="82"/>
      <c r="H25" s="150"/>
      <c r="I25" s="189"/>
      <c r="J25" s="189"/>
      <c r="K25" s="146">
        <v>7.2</v>
      </c>
      <c r="L25" s="79">
        <f>'[2]통장내역(환율표)'!$D$238</f>
        <v>7.2637000065386541</v>
      </c>
      <c r="M25" s="138">
        <f t="shared" si="7"/>
        <v>0.99123036379788365</v>
      </c>
      <c r="N25" s="153">
        <f t="shared" si="5"/>
        <v>484846.59000000014</v>
      </c>
      <c r="O25" s="153">
        <f t="shared" si="6"/>
        <v>66259.033146753063</v>
      </c>
      <c r="P25" s="140" t="s">
        <v>138</v>
      </c>
      <c r="Q25" s="92"/>
      <c r="R25" s="92"/>
      <c r="S25" s="129">
        <f t="shared" si="8"/>
        <v>1504.0320845000801</v>
      </c>
      <c r="T25" s="201"/>
      <c r="U25" s="202"/>
      <c r="V25" s="201"/>
      <c r="W25" s="201"/>
      <c r="X25" s="201"/>
      <c r="Y25" s="201"/>
      <c r="Z25" s="201"/>
      <c r="AA25" s="201"/>
      <c r="AB25" s="201"/>
      <c r="AC25" s="201"/>
    </row>
    <row r="26" spans="1:29" s="37" customFormat="1" ht="11.25" customHeight="1">
      <c r="A26" s="80"/>
      <c r="B26" s="81">
        <v>45672</v>
      </c>
      <c r="C26" s="144" t="s">
        <v>127</v>
      </c>
      <c r="D26" s="185"/>
      <c r="E26" s="188">
        <v>6</v>
      </c>
      <c r="F26" s="188" t="s">
        <v>32</v>
      </c>
      <c r="G26" s="82" t="s">
        <v>33</v>
      </c>
      <c r="H26" s="150"/>
      <c r="I26" s="149"/>
      <c r="J26" s="149"/>
      <c r="K26" s="146">
        <v>1600</v>
      </c>
      <c r="L26" s="79">
        <f>'[2]통장내역(환율표)'!$D$238</f>
        <v>7.2637000065386541</v>
      </c>
      <c r="M26" s="138">
        <f t="shared" si="7"/>
        <v>220.27341417730747</v>
      </c>
      <c r="N26" s="153">
        <f t="shared" si="5"/>
        <v>483246.59000000014</v>
      </c>
      <c r="O26" s="153">
        <f t="shared" si="6"/>
        <v>66038.759732575752</v>
      </c>
      <c r="P26" s="140" t="s">
        <v>138</v>
      </c>
      <c r="Q26" s="92"/>
      <c r="R26" s="92"/>
      <c r="S26" s="129">
        <f t="shared" si="8"/>
        <v>1283.7586703227726</v>
      </c>
      <c r="T26" s="201"/>
      <c r="U26" s="202"/>
      <c r="V26" s="201"/>
      <c r="W26" s="201"/>
      <c r="X26" s="201"/>
      <c r="Y26" s="201"/>
      <c r="Z26" s="201"/>
      <c r="AA26" s="201"/>
      <c r="AB26" s="201"/>
      <c r="AC26" s="201"/>
    </row>
    <row r="27" spans="1:29" s="37" customFormat="1" ht="11.25" customHeight="1">
      <c r="A27" s="80"/>
      <c r="B27" s="81">
        <v>45672</v>
      </c>
      <c r="C27" s="144" t="s">
        <v>41</v>
      </c>
      <c r="D27" s="185"/>
      <c r="E27" s="188">
        <v>7</v>
      </c>
      <c r="F27" s="188" t="s">
        <v>25</v>
      </c>
      <c r="G27" s="82"/>
      <c r="H27" s="150"/>
      <c r="I27" s="149"/>
      <c r="J27" s="149"/>
      <c r="K27" s="146">
        <v>3.6</v>
      </c>
      <c r="L27" s="79">
        <f>'[2]통장내역(환율표)'!$D$238</f>
        <v>7.2637000065386541</v>
      </c>
      <c r="M27" s="138">
        <f t="shared" si="7"/>
        <v>0.49561518189894183</v>
      </c>
      <c r="N27" s="153">
        <f t="shared" si="5"/>
        <v>483242.99000000017</v>
      </c>
      <c r="O27" s="153">
        <f t="shared" si="6"/>
        <v>66038.264117393846</v>
      </c>
      <c r="P27" s="140" t="s">
        <v>138</v>
      </c>
      <c r="Q27" s="92"/>
      <c r="R27" s="92"/>
      <c r="S27" s="129">
        <f t="shared" si="8"/>
        <v>1283.2630551408736</v>
      </c>
      <c r="T27" s="201"/>
      <c r="U27" s="202"/>
      <c r="V27" s="201"/>
      <c r="W27" s="201"/>
      <c r="X27" s="201"/>
      <c r="Y27" s="201"/>
      <c r="Z27" s="201"/>
      <c r="AA27" s="201"/>
      <c r="AB27" s="201"/>
      <c r="AC27" s="201"/>
    </row>
    <row r="28" spans="1:29" s="37" customFormat="1" ht="11.25" customHeight="1">
      <c r="A28" s="80"/>
      <c r="B28" s="81">
        <v>45674</v>
      </c>
      <c r="C28" s="144" t="s">
        <v>39</v>
      </c>
      <c r="D28" s="185"/>
      <c r="E28" s="188">
        <v>8</v>
      </c>
      <c r="F28" s="188" t="s">
        <v>25</v>
      </c>
      <c r="G28" s="82"/>
      <c r="H28" s="150"/>
      <c r="I28" s="149"/>
      <c r="J28" s="149"/>
      <c r="K28" s="146">
        <v>1010</v>
      </c>
      <c r="L28" s="79">
        <f>'[2]통장내역(환율표)'!$D$238</f>
        <v>7.2637000065386541</v>
      </c>
      <c r="M28" s="138">
        <f t="shared" si="7"/>
        <v>139.04759269942534</v>
      </c>
      <c r="N28" s="153">
        <f t="shared" si="5"/>
        <v>482232.99000000017</v>
      </c>
      <c r="O28" s="153">
        <f t="shared" si="6"/>
        <v>65899.216524694421</v>
      </c>
      <c r="P28" s="140" t="s">
        <v>138</v>
      </c>
      <c r="Q28" s="92"/>
      <c r="R28" s="92"/>
      <c r="S28" s="129">
        <f t="shared" si="8"/>
        <v>1144.2154624414482</v>
      </c>
      <c r="T28" s="201"/>
      <c r="U28" s="202"/>
      <c r="V28" s="201"/>
      <c r="W28" s="201"/>
      <c r="X28" s="201"/>
      <c r="Y28" s="201"/>
      <c r="Z28" s="201"/>
      <c r="AA28" s="201"/>
      <c r="AB28" s="201"/>
      <c r="AC28" s="201"/>
    </row>
    <row r="29" spans="1:29" s="37" customFormat="1" ht="11.25" customHeight="1">
      <c r="A29" s="80"/>
      <c r="B29" s="81">
        <v>45674</v>
      </c>
      <c r="C29" s="144" t="s">
        <v>41</v>
      </c>
      <c r="D29" s="185"/>
      <c r="E29" s="188">
        <v>9</v>
      </c>
      <c r="F29" s="188" t="s">
        <v>25</v>
      </c>
      <c r="G29" s="82"/>
      <c r="H29" s="150"/>
      <c r="I29" s="149"/>
      <c r="J29" s="149"/>
      <c r="K29" s="146">
        <v>3.6</v>
      </c>
      <c r="L29" s="79">
        <f>'[2]통장내역(환율표)'!$D$238</f>
        <v>7.2637000065386541</v>
      </c>
      <c r="M29" s="138">
        <f t="shared" si="7"/>
        <v>0.49561518189894183</v>
      </c>
      <c r="N29" s="153">
        <f t="shared" si="5"/>
        <v>482229.39000000019</v>
      </c>
      <c r="O29" s="153">
        <f t="shared" si="6"/>
        <v>65898.720909512514</v>
      </c>
      <c r="P29" s="140" t="s">
        <v>138</v>
      </c>
      <c r="Q29" s="92"/>
      <c r="R29" s="92"/>
      <c r="S29" s="129">
        <f t="shared" si="8"/>
        <v>1143.7198472595492</v>
      </c>
      <c r="T29" s="201"/>
      <c r="U29" s="202"/>
      <c r="V29" s="201"/>
      <c r="W29" s="201"/>
      <c r="X29" s="201"/>
      <c r="Y29" s="201"/>
      <c r="Z29" s="201"/>
      <c r="AA29" s="201"/>
      <c r="AB29" s="201"/>
      <c r="AC29" s="201"/>
    </row>
    <row r="30" spans="1:29" s="37" customFormat="1" ht="11.25" customHeight="1">
      <c r="A30" s="80"/>
      <c r="B30" s="109">
        <v>45674</v>
      </c>
      <c r="C30" s="156" t="s">
        <v>51</v>
      </c>
      <c r="D30" s="211"/>
      <c r="E30" s="212">
        <v>10</v>
      </c>
      <c r="F30" s="212" t="s">
        <v>24</v>
      </c>
      <c r="G30" s="110" t="s">
        <v>38</v>
      </c>
      <c r="H30" s="213"/>
      <c r="I30" s="214"/>
      <c r="J30" s="214"/>
      <c r="K30" s="157">
        <f>L30*M30</f>
        <v>8307.6378620175765</v>
      </c>
      <c r="L30" s="111">
        <f>'[2]통장내역(환율표)'!$D$238</f>
        <v>7.2637000065386541</v>
      </c>
      <c r="M30" s="138">
        <v>1143.7198472595492</v>
      </c>
      <c r="N30" s="158">
        <f t="shared" si="5"/>
        <v>473921.75213798264</v>
      </c>
      <c r="O30" s="158">
        <f t="shared" si="6"/>
        <v>64755.001062252966</v>
      </c>
      <c r="P30" s="159" t="s">
        <v>138</v>
      </c>
      <c r="Q30" s="160"/>
      <c r="R30" s="160"/>
      <c r="S30" s="129">
        <f t="shared" si="8"/>
        <v>0</v>
      </c>
      <c r="T30" s="201"/>
      <c r="U30" s="202"/>
      <c r="V30" s="201"/>
      <c r="W30" s="201"/>
      <c r="X30" s="201"/>
      <c r="Y30" s="201"/>
      <c r="Z30" s="201"/>
      <c r="AA30" s="201"/>
      <c r="AB30" s="201"/>
      <c r="AC30" s="201"/>
    </row>
    <row r="31" spans="1:29" s="37" customFormat="1" ht="11.25" customHeight="1">
      <c r="A31" s="80"/>
      <c r="B31" s="109">
        <v>45674</v>
      </c>
      <c r="C31" s="156" t="s">
        <v>51</v>
      </c>
      <c r="D31" s="211"/>
      <c r="E31" s="212">
        <v>10</v>
      </c>
      <c r="F31" s="212" t="s">
        <v>24</v>
      </c>
      <c r="G31" s="110" t="s">
        <v>38</v>
      </c>
      <c r="H31" s="213"/>
      <c r="I31" s="214"/>
      <c r="J31" s="214"/>
      <c r="K31" s="157">
        <f>10500-K30</f>
        <v>2192.3621379824235</v>
      </c>
      <c r="L31" s="111">
        <f>'[2]통장내역(환율표)'!$D$246</f>
        <v>7.3190999922785887</v>
      </c>
      <c r="M31" s="182">
        <f t="shared" ref="M31:M94" si="9">K31/L31</f>
        <v>299.53985330099249</v>
      </c>
      <c r="N31" s="158">
        <f t="shared" si="5"/>
        <v>471729.39000000019</v>
      </c>
      <c r="O31" s="158">
        <f t="shared" si="6"/>
        <v>64455.461208951972</v>
      </c>
      <c r="P31" s="159" t="s">
        <v>116</v>
      </c>
      <c r="Q31" s="160"/>
      <c r="R31" s="160"/>
      <c r="S31" s="129">
        <f>64755-M31</f>
        <v>64455.460146699006</v>
      </c>
      <c r="T31" s="201"/>
      <c r="U31" s="202"/>
      <c r="V31" s="201"/>
      <c r="W31" s="201"/>
      <c r="X31" s="201"/>
      <c r="Y31" s="201"/>
      <c r="Z31" s="201"/>
      <c r="AA31" s="201"/>
      <c r="AB31" s="201"/>
      <c r="AC31" s="201"/>
    </row>
    <row r="32" spans="1:29" s="37" customFormat="1" ht="11.25" customHeight="1">
      <c r="A32" s="80"/>
      <c r="B32" s="81">
        <v>45674</v>
      </c>
      <c r="C32" s="144" t="s">
        <v>112</v>
      </c>
      <c r="D32" s="185"/>
      <c r="E32" s="188">
        <v>10</v>
      </c>
      <c r="F32" s="188" t="s">
        <v>25</v>
      </c>
      <c r="G32" s="82"/>
      <c r="H32" s="150"/>
      <c r="I32" s="149"/>
      <c r="J32" s="149"/>
      <c r="K32" s="146">
        <v>6000</v>
      </c>
      <c r="L32" s="79">
        <f>'[2]통장내역(환율표)'!$D$246</f>
        <v>7.3190999922785887</v>
      </c>
      <c r="M32" s="182">
        <f t="shared" si="9"/>
        <v>819.77292376519028</v>
      </c>
      <c r="N32" s="153">
        <f t="shared" si="5"/>
        <v>465729.39000000019</v>
      </c>
      <c r="O32" s="153">
        <f t="shared" si="6"/>
        <v>63635.688285186785</v>
      </c>
      <c r="P32" s="140" t="s">
        <v>116</v>
      </c>
      <c r="Q32" s="92"/>
      <c r="R32" s="92"/>
      <c r="S32" s="129">
        <f>S31-M32</f>
        <v>63635.687222933819</v>
      </c>
      <c r="T32" s="201"/>
      <c r="U32" s="202"/>
      <c r="V32" s="201"/>
      <c r="W32" s="201"/>
      <c r="X32" s="201"/>
      <c r="Y32" s="201"/>
      <c r="Z32" s="201"/>
      <c r="AA32" s="201"/>
      <c r="AB32" s="201"/>
      <c r="AC32" s="201"/>
    </row>
    <row r="33" spans="1:29" s="37" customFormat="1" ht="11.25" customHeight="1">
      <c r="A33" s="80"/>
      <c r="B33" s="81">
        <v>45674</v>
      </c>
      <c r="C33" s="144" t="s">
        <v>113</v>
      </c>
      <c r="D33" s="185"/>
      <c r="E33" s="188">
        <v>10</v>
      </c>
      <c r="F33" s="188" t="s">
        <v>25</v>
      </c>
      <c r="G33" s="82"/>
      <c r="H33" s="150"/>
      <c r="I33" s="149"/>
      <c r="J33" s="149"/>
      <c r="K33" s="146">
        <v>610</v>
      </c>
      <c r="L33" s="79">
        <f>'[2]통장내역(환율표)'!$D$246</f>
        <v>7.3190999922785887</v>
      </c>
      <c r="M33" s="182">
        <f t="shared" si="9"/>
        <v>83.343580582794345</v>
      </c>
      <c r="N33" s="153">
        <f t="shared" si="5"/>
        <v>465119.39000000019</v>
      </c>
      <c r="O33" s="153">
        <f t="shared" si="6"/>
        <v>63552.344704603987</v>
      </c>
      <c r="P33" s="140" t="s">
        <v>116</v>
      </c>
      <c r="Q33" s="92"/>
      <c r="R33" s="92"/>
      <c r="S33" s="129">
        <f t="shared" ref="S33:S96" si="10">S32-M33</f>
        <v>63552.343642351021</v>
      </c>
      <c r="T33" s="201"/>
      <c r="U33" s="202"/>
      <c r="V33" s="201"/>
      <c r="W33" s="201"/>
      <c r="X33" s="201"/>
      <c r="Y33" s="201"/>
      <c r="Z33" s="201"/>
      <c r="AA33" s="201"/>
      <c r="AB33" s="201"/>
      <c r="AC33" s="201"/>
    </row>
    <row r="34" spans="1:29" s="37" customFormat="1" ht="11.25" customHeight="1">
      <c r="A34" s="80"/>
      <c r="B34" s="81">
        <v>45674</v>
      </c>
      <c r="C34" s="144" t="s">
        <v>51</v>
      </c>
      <c r="D34" s="185"/>
      <c r="E34" s="188">
        <v>10</v>
      </c>
      <c r="F34" s="188" t="s">
        <v>24</v>
      </c>
      <c r="G34" s="82" t="s">
        <v>38</v>
      </c>
      <c r="H34" s="150"/>
      <c r="I34" s="149"/>
      <c r="J34" s="149"/>
      <c r="K34" s="146">
        <v>7000</v>
      </c>
      <c r="L34" s="79">
        <f>'[2]통장내역(환율표)'!$D$246</f>
        <v>7.3190999922785887</v>
      </c>
      <c r="M34" s="182">
        <f t="shared" si="9"/>
        <v>956.40174439272198</v>
      </c>
      <c r="N34" s="153">
        <f t="shared" si="5"/>
        <v>458119.39000000019</v>
      </c>
      <c r="O34" s="153">
        <f t="shared" si="6"/>
        <v>62595.942960211265</v>
      </c>
      <c r="P34" s="140" t="s">
        <v>116</v>
      </c>
      <c r="Q34" s="92"/>
      <c r="R34" s="92"/>
      <c r="S34" s="129">
        <f t="shared" si="10"/>
        <v>62595.941897958299</v>
      </c>
      <c r="T34" s="201"/>
      <c r="U34" s="202"/>
      <c r="V34" s="201"/>
      <c r="W34" s="201"/>
      <c r="X34" s="201"/>
      <c r="Y34" s="201"/>
      <c r="Z34" s="201"/>
      <c r="AA34" s="201"/>
      <c r="AB34" s="201"/>
      <c r="AC34" s="201"/>
    </row>
    <row r="35" spans="1:29" s="37" customFormat="1" ht="11.25" customHeight="1">
      <c r="A35" s="80"/>
      <c r="B35" s="81">
        <v>45674</v>
      </c>
      <c r="C35" s="144" t="s">
        <v>112</v>
      </c>
      <c r="D35" s="185"/>
      <c r="E35" s="188">
        <v>10</v>
      </c>
      <c r="F35" s="188" t="s">
        <v>25</v>
      </c>
      <c r="G35" s="82"/>
      <c r="H35" s="150"/>
      <c r="I35" s="149"/>
      <c r="J35" s="149"/>
      <c r="K35" s="146">
        <v>6000</v>
      </c>
      <c r="L35" s="79">
        <f>'[2]통장내역(환율표)'!$D$246</f>
        <v>7.3190999922785887</v>
      </c>
      <c r="M35" s="182">
        <f t="shared" si="9"/>
        <v>819.77292376519028</v>
      </c>
      <c r="N35" s="153">
        <f t="shared" si="5"/>
        <v>452119.39000000019</v>
      </c>
      <c r="O35" s="153">
        <f t="shared" si="6"/>
        <v>61776.170036446078</v>
      </c>
      <c r="P35" s="140" t="s">
        <v>116</v>
      </c>
      <c r="Q35" s="92"/>
      <c r="R35" s="92"/>
      <c r="S35" s="129">
        <f t="shared" si="10"/>
        <v>61776.168974193111</v>
      </c>
      <c r="T35" s="201"/>
      <c r="U35" s="202"/>
      <c r="V35" s="201"/>
      <c r="W35" s="201"/>
      <c r="X35" s="201"/>
      <c r="Y35" s="201"/>
      <c r="Z35" s="201"/>
      <c r="AA35" s="201"/>
      <c r="AB35" s="201"/>
      <c r="AC35" s="201"/>
    </row>
    <row r="36" spans="1:29" s="37" customFormat="1" ht="11.25" customHeight="1">
      <c r="A36" s="80"/>
      <c r="B36" s="81">
        <v>45674</v>
      </c>
      <c r="C36" s="144" t="s">
        <v>113</v>
      </c>
      <c r="D36" s="185"/>
      <c r="E36" s="188">
        <v>10</v>
      </c>
      <c r="F36" s="188" t="s">
        <v>25</v>
      </c>
      <c r="G36" s="82"/>
      <c r="H36" s="150"/>
      <c r="I36" s="149"/>
      <c r="J36" s="149"/>
      <c r="K36" s="146">
        <v>510</v>
      </c>
      <c r="L36" s="79">
        <f>'[2]통장내역(환율표)'!$D$246</f>
        <v>7.3190999922785887</v>
      </c>
      <c r="M36" s="182">
        <f t="shared" si="9"/>
        <v>69.680698520041176</v>
      </c>
      <c r="N36" s="153">
        <f t="shared" si="5"/>
        <v>451609.39000000019</v>
      </c>
      <c r="O36" s="153">
        <f t="shared" si="6"/>
        <v>61706.489337926039</v>
      </c>
      <c r="P36" s="140" t="s">
        <v>116</v>
      </c>
      <c r="Q36" s="92"/>
      <c r="R36" s="92"/>
      <c r="S36" s="129">
        <f t="shared" si="10"/>
        <v>61706.488275673073</v>
      </c>
      <c r="T36" s="201"/>
      <c r="U36" s="202"/>
      <c r="V36" s="201"/>
      <c r="W36" s="201"/>
      <c r="X36" s="201"/>
      <c r="Y36" s="201"/>
      <c r="Z36" s="201"/>
      <c r="AA36" s="201"/>
      <c r="AB36" s="201"/>
      <c r="AC36" s="201"/>
    </row>
    <row r="37" spans="1:29" s="37" customFormat="1" ht="11.25" customHeight="1">
      <c r="A37" s="80"/>
      <c r="B37" s="81">
        <v>45674</v>
      </c>
      <c r="C37" s="144" t="s">
        <v>41</v>
      </c>
      <c r="D37" s="185"/>
      <c r="E37" s="188">
        <v>11</v>
      </c>
      <c r="F37" s="188" t="s">
        <v>25</v>
      </c>
      <c r="G37" s="82"/>
      <c r="H37" s="150"/>
      <c r="I37" s="149"/>
      <c r="J37" s="149"/>
      <c r="K37" s="146">
        <v>7.2</v>
      </c>
      <c r="L37" s="79">
        <f>'[2]통장내역(환율표)'!$D$246</f>
        <v>7.3190999922785887</v>
      </c>
      <c r="M37" s="182">
        <f t="shared" si="9"/>
        <v>0.98372750851822832</v>
      </c>
      <c r="N37" s="153">
        <f t="shared" si="5"/>
        <v>451602.19000000018</v>
      </c>
      <c r="O37" s="153">
        <f t="shared" si="6"/>
        <v>61705.505610417524</v>
      </c>
      <c r="P37" s="140" t="s">
        <v>116</v>
      </c>
      <c r="Q37" s="92"/>
      <c r="R37" s="92"/>
      <c r="S37" s="129">
        <f t="shared" si="10"/>
        <v>61705.504548164557</v>
      </c>
      <c r="T37" s="201"/>
      <c r="U37" s="202"/>
      <c r="V37" s="201"/>
      <c r="W37" s="201"/>
      <c r="X37" s="201"/>
      <c r="Y37" s="201"/>
      <c r="Z37" s="201"/>
      <c r="AA37" s="201"/>
      <c r="AB37" s="201"/>
      <c r="AC37" s="201"/>
    </row>
    <row r="38" spans="1:29" s="37" customFormat="1" ht="11.25" customHeight="1">
      <c r="A38" s="80"/>
      <c r="B38" s="81">
        <v>45674</v>
      </c>
      <c r="C38" s="144" t="s">
        <v>144</v>
      </c>
      <c r="D38" s="185"/>
      <c r="E38" s="188">
        <v>12</v>
      </c>
      <c r="F38" s="188" t="s">
        <v>27</v>
      </c>
      <c r="G38" s="82" t="s">
        <v>30</v>
      </c>
      <c r="H38" s="150"/>
      <c r="I38" s="149"/>
      <c r="J38" s="149"/>
      <c r="K38" s="146">
        <v>417.84</v>
      </c>
      <c r="L38" s="79">
        <f>'[2]통장내역(환율표)'!$D$246</f>
        <v>7.3190999922785887</v>
      </c>
      <c r="M38" s="182">
        <f t="shared" si="9"/>
        <v>57.088986411007845</v>
      </c>
      <c r="N38" s="153">
        <f t="shared" si="5"/>
        <v>451184.35000000015</v>
      </c>
      <c r="O38" s="153">
        <f t="shared" si="6"/>
        <v>61648.416624006517</v>
      </c>
      <c r="P38" s="140" t="s">
        <v>116</v>
      </c>
      <c r="Q38" s="92"/>
      <c r="R38" s="92" t="s">
        <v>36</v>
      </c>
      <c r="S38" s="129">
        <f t="shared" si="10"/>
        <v>61648.415561753551</v>
      </c>
      <c r="T38" s="201"/>
      <c r="U38" s="202"/>
      <c r="V38" s="201"/>
      <c r="W38" s="201"/>
      <c r="X38" s="201"/>
      <c r="Y38" s="201"/>
      <c r="Z38" s="201"/>
      <c r="AA38" s="201"/>
      <c r="AB38" s="201"/>
      <c r="AC38" s="201"/>
    </row>
    <row r="39" spans="1:29" s="37" customFormat="1" ht="11.25" customHeight="1">
      <c r="A39" s="80"/>
      <c r="B39" s="81">
        <v>45674</v>
      </c>
      <c r="C39" s="144" t="s">
        <v>41</v>
      </c>
      <c r="D39" s="185"/>
      <c r="E39" s="188">
        <v>13</v>
      </c>
      <c r="F39" s="188" t="s">
        <v>25</v>
      </c>
      <c r="G39" s="82"/>
      <c r="H39" s="150"/>
      <c r="I39" s="149"/>
      <c r="J39" s="149"/>
      <c r="K39" s="146">
        <v>3.6</v>
      </c>
      <c r="L39" s="79">
        <f>'[2]통장내역(환율표)'!$D$246</f>
        <v>7.3190999922785887</v>
      </c>
      <c r="M39" s="182">
        <f t="shared" si="9"/>
        <v>0.49186375425911416</v>
      </c>
      <c r="N39" s="153">
        <f t="shared" si="5"/>
        <v>451180.75000000017</v>
      </c>
      <c r="O39" s="153">
        <f t="shared" si="6"/>
        <v>61647.924760252259</v>
      </c>
      <c r="P39" s="140" t="s">
        <v>116</v>
      </c>
      <c r="Q39" s="92"/>
      <c r="R39" s="92" t="s">
        <v>36</v>
      </c>
      <c r="S39" s="129">
        <f t="shared" si="10"/>
        <v>61647.923697999293</v>
      </c>
      <c r="T39" s="201"/>
      <c r="U39" s="202"/>
      <c r="V39" s="201"/>
      <c r="W39" s="201"/>
      <c r="X39" s="201"/>
      <c r="Y39" s="201"/>
      <c r="Z39" s="201"/>
      <c r="AA39" s="201"/>
      <c r="AB39" s="201"/>
      <c r="AC39" s="201"/>
    </row>
    <row r="40" spans="1:29" s="37" customFormat="1" ht="11.25" customHeight="1">
      <c r="A40" s="80"/>
      <c r="B40" s="81">
        <v>45674</v>
      </c>
      <c r="C40" s="144" t="s">
        <v>159</v>
      </c>
      <c r="D40" s="185"/>
      <c r="E40" s="188">
        <v>14</v>
      </c>
      <c r="F40" s="188" t="s">
        <v>32</v>
      </c>
      <c r="G40" s="82" t="s">
        <v>33</v>
      </c>
      <c r="H40" s="150"/>
      <c r="I40" s="149"/>
      <c r="J40" s="149"/>
      <c r="K40" s="146">
        <v>2579.69</v>
      </c>
      <c r="L40" s="79">
        <f>'[2]통장내역(환율표)'!$D$246</f>
        <v>7.3190999922785887</v>
      </c>
      <c r="M40" s="182">
        <f t="shared" si="9"/>
        <v>352.46000228463726</v>
      </c>
      <c r="N40" s="153">
        <f t="shared" si="5"/>
        <v>448601.06000000017</v>
      </c>
      <c r="O40" s="153">
        <f t="shared" si="6"/>
        <v>61295.464757967624</v>
      </c>
      <c r="P40" s="140" t="s">
        <v>116</v>
      </c>
      <c r="Q40" s="92"/>
      <c r="R40" s="92" t="s">
        <v>145</v>
      </c>
      <c r="S40" s="129">
        <f t="shared" si="10"/>
        <v>61295.463695714658</v>
      </c>
      <c r="T40" s="201"/>
      <c r="U40" s="202"/>
      <c r="V40" s="201"/>
      <c r="W40" s="201"/>
      <c r="X40" s="201"/>
      <c r="Y40" s="201"/>
      <c r="Z40" s="201"/>
      <c r="AA40" s="201"/>
      <c r="AB40" s="201"/>
      <c r="AC40" s="201"/>
    </row>
    <row r="41" spans="1:29" s="37" customFormat="1" ht="11.25" customHeight="1">
      <c r="A41" s="80"/>
      <c r="B41" s="81">
        <v>45674</v>
      </c>
      <c r="C41" s="144" t="s">
        <v>160</v>
      </c>
      <c r="D41" s="185"/>
      <c r="E41" s="188">
        <v>15</v>
      </c>
      <c r="F41" s="188" t="s">
        <v>32</v>
      </c>
      <c r="G41" s="82" t="s">
        <v>33</v>
      </c>
      <c r="H41" s="150"/>
      <c r="I41" s="149"/>
      <c r="J41" s="149"/>
      <c r="K41" s="146">
        <v>178.26</v>
      </c>
      <c r="L41" s="79">
        <f>'[2]통장내역(환율표)'!$D$246</f>
        <v>7.3190999922785887</v>
      </c>
      <c r="M41" s="182">
        <f t="shared" si="9"/>
        <v>24.355453565063801</v>
      </c>
      <c r="N41" s="153">
        <f t="shared" si="5"/>
        <v>448422.80000000016</v>
      </c>
      <c r="O41" s="153">
        <f t="shared" si="6"/>
        <v>61271.109304402562</v>
      </c>
      <c r="P41" s="140" t="s">
        <v>116</v>
      </c>
      <c r="Q41" s="92"/>
      <c r="R41" s="92" t="s">
        <v>145</v>
      </c>
      <c r="S41" s="129">
        <f t="shared" si="10"/>
        <v>61271.108242149596</v>
      </c>
      <c r="T41" s="201"/>
      <c r="U41" s="202"/>
      <c r="V41" s="201"/>
      <c r="W41" s="201"/>
      <c r="X41" s="201"/>
      <c r="Y41" s="201"/>
      <c r="Z41" s="201"/>
      <c r="AA41" s="201"/>
      <c r="AB41" s="201"/>
      <c r="AC41" s="201"/>
    </row>
    <row r="42" spans="1:29" s="37" customFormat="1" ht="11.25" customHeight="1">
      <c r="A42" s="80"/>
      <c r="B42" s="81">
        <v>45674</v>
      </c>
      <c r="C42" s="144" t="s">
        <v>161</v>
      </c>
      <c r="D42" s="185"/>
      <c r="E42" s="145">
        <v>16</v>
      </c>
      <c r="F42" s="82" t="s">
        <v>25</v>
      </c>
      <c r="G42" s="82"/>
      <c r="H42" s="150"/>
      <c r="I42" s="149"/>
      <c r="J42" s="149"/>
      <c r="K42" s="146">
        <v>141.69999999999999</v>
      </c>
      <c r="L42" s="79">
        <f>'[2]통장내역(환율표)'!$D$246</f>
        <v>7.3190999922785887</v>
      </c>
      <c r="M42" s="182">
        <f t="shared" si="9"/>
        <v>19.36030388292124</v>
      </c>
      <c r="N42" s="153">
        <f t="shared" si="5"/>
        <v>448281.10000000015</v>
      </c>
      <c r="O42" s="153">
        <f t="shared" si="6"/>
        <v>61251.749000519638</v>
      </c>
      <c r="P42" s="140" t="s">
        <v>116</v>
      </c>
      <c r="Q42" s="92"/>
      <c r="R42" s="92" t="s">
        <v>145</v>
      </c>
      <c r="S42" s="129">
        <f t="shared" si="10"/>
        <v>61251.747938266672</v>
      </c>
      <c r="T42" s="201"/>
      <c r="U42" s="202"/>
      <c r="V42" s="201"/>
      <c r="W42" s="201"/>
      <c r="X42" s="201"/>
      <c r="Y42" s="201"/>
      <c r="Z42" s="201"/>
      <c r="AA42" s="201"/>
      <c r="AB42" s="201"/>
      <c r="AC42" s="201"/>
    </row>
    <row r="43" spans="1:29" s="37" customFormat="1" ht="11.25" customHeight="1">
      <c r="A43" s="80"/>
      <c r="B43" s="81">
        <v>45674</v>
      </c>
      <c r="C43" s="144" t="s">
        <v>8</v>
      </c>
      <c r="D43" s="185"/>
      <c r="E43" s="145">
        <v>17</v>
      </c>
      <c r="F43" s="82" t="s">
        <v>27</v>
      </c>
      <c r="G43" s="82" t="s">
        <v>30</v>
      </c>
      <c r="H43" s="150"/>
      <c r="I43" s="149"/>
      <c r="J43" s="149"/>
      <c r="K43" s="146">
        <v>98.8</v>
      </c>
      <c r="L43" s="79">
        <f>'[2]통장내역(환율표)'!$D$246</f>
        <v>7.3190999922785887</v>
      </c>
      <c r="M43" s="182">
        <f t="shared" si="9"/>
        <v>13.498927478000132</v>
      </c>
      <c r="N43" s="153">
        <f t="shared" si="5"/>
        <v>448182.30000000016</v>
      </c>
      <c r="O43" s="153">
        <f t="shared" si="6"/>
        <v>61238.250073041636</v>
      </c>
      <c r="P43" s="140" t="s">
        <v>116</v>
      </c>
      <c r="Q43" s="92"/>
      <c r="R43" s="92" t="s">
        <v>145</v>
      </c>
      <c r="S43" s="129">
        <f t="shared" si="10"/>
        <v>61238.24901078867</v>
      </c>
      <c r="T43" s="201"/>
      <c r="U43" s="202"/>
      <c r="V43" s="201"/>
      <c r="W43" s="201"/>
      <c r="X43" s="201"/>
      <c r="Y43" s="201"/>
      <c r="Z43" s="201"/>
      <c r="AA43" s="201"/>
      <c r="AB43" s="201"/>
      <c r="AC43" s="201"/>
    </row>
    <row r="44" spans="1:29" s="37" customFormat="1" ht="11.25" customHeight="1">
      <c r="A44" s="80"/>
      <c r="B44" s="81">
        <v>45674</v>
      </c>
      <c r="C44" s="144" t="s">
        <v>41</v>
      </c>
      <c r="D44" s="185"/>
      <c r="E44" s="145">
        <v>18</v>
      </c>
      <c r="F44" s="82" t="s">
        <v>25</v>
      </c>
      <c r="G44" s="82"/>
      <c r="H44" s="150"/>
      <c r="I44" s="149"/>
      <c r="J44" s="149"/>
      <c r="K44" s="146">
        <v>3.6</v>
      </c>
      <c r="L44" s="79">
        <f>'[2]통장내역(환율표)'!$D$246</f>
        <v>7.3190999922785887</v>
      </c>
      <c r="M44" s="182">
        <f t="shared" si="9"/>
        <v>0.49186375425911416</v>
      </c>
      <c r="N44" s="153">
        <f t="shared" si="5"/>
        <v>448178.70000000019</v>
      </c>
      <c r="O44" s="153">
        <f t="shared" si="6"/>
        <v>61237.758209287378</v>
      </c>
      <c r="P44" s="140" t="s">
        <v>116</v>
      </c>
      <c r="Q44" s="92"/>
      <c r="R44" s="92" t="s">
        <v>145</v>
      </c>
      <c r="S44" s="129">
        <f t="shared" si="10"/>
        <v>61237.757147034412</v>
      </c>
      <c r="T44" s="201"/>
      <c r="U44" s="202"/>
      <c r="V44" s="201"/>
      <c r="W44" s="201"/>
      <c r="X44" s="201"/>
      <c r="Y44" s="201"/>
      <c r="Z44" s="201"/>
      <c r="AA44" s="201"/>
      <c r="AB44" s="201"/>
      <c r="AC44" s="201"/>
    </row>
    <row r="45" spans="1:29" s="37" customFormat="1" ht="11.25" customHeight="1">
      <c r="A45" s="80"/>
      <c r="B45" s="81">
        <v>45674</v>
      </c>
      <c r="C45" s="144" t="s">
        <v>8</v>
      </c>
      <c r="D45" s="185"/>
      <c r="E45" s="145">
        <v>19</v>
      </c>
      <c r="F45" s="82" t="s">
        <v>27</v>
      </c>
      <c r="G45" s="82" t="s">
        <v>30</v>
      </c>
      <c r="H45" s="150"/>
      <c r="I45" s="149"/>
      <c r="J45" s="149"/>
      <c r="K45" s="146">
        <v>300</v>
      </c>
      <c r="L45" s="79">
        <f>'[2]통장내역(환율표)'!$D$246</f>
        <v>7.3190999922785887</v>
      </c>
      <c r="M45" s="182">
        <f t="shared" si="9"/>
        <v>40.988646188259516</v>
      </c>
      <c r="N45" s="153">
        <f t="shared" si="5"/>
        <v>447878.70000000019</v>
      </c>
      <c r="O45" s="153">
        <f t="shared" si="6"/>
        <v>61196.769563099122</v>
      </c>
      <c r="P45" s="140" t="s">
        <v>116</v>
      </c>
      <c r="Q45" s="92"/>
      <c r="R45" s="92" t="s">
        <v>146</v>
      </c>
      <c r="S45" s="129">
        <f t="shared" si="10"/>
        <v>61196.768500846156</v>
      </c>
      <c r="T45" s="201"/>
      <c r="U45" s="202"/>
      <c r="V45" s="201"/>
      <c r="W45" s="201"/>
      <c r="X45" s="201"/>
      <c r="Y45" s="201"/>
      <c r="Z45" s="201"/>
      <c r="AA45" s="201"/>
      <c r="AB45" s="201"/>
      <c r="AC45" s="201"/>
    </row>
    <row r="46" spans="1:29" s="37" customFormat="1" ht="11.25" customHeight="1">
      <c r="A46" s="80"/>
      <c r="B46" s="81">
        <v>45674</v>
      </c>
      <c r="C46" s="144" t="s">
        <v>141</v>
      </c>
      <c r="D46" s="185"/>
      <c r="E46" s="82">
        <v>20</v>
      </c>
      <c r="F46" s="82" t="s">
        <v>32</v>
      </c>
      <c r="G46" s="82" t="s">
        <v>33</v>
      </c>
      <c r="H46" s="82"/>
      <c r="I46" s="82"/>
      <c r="J46" s="82"/>
      <c r="K46" s="146">
        <v>133.68</v>
      </c>
      <c r="L46" s="79">
        <f>'[2]통장내역(환율표)'!$D$246</f>
        <v>7.3190999922785887</v>
      </c>
      <c r="M46" s="182">
        <f t="shared" si="9"/>
        <v>18.264540741488439</v>
      </c>
      <c r="N46" s="153">
        <f t="shared" si="5"/>
        <v>447745.02000000019</v>
      </c>
      <c r="O46" s="153">
        <f t="shared" si="6"/>
        <v>61178.505022357633</v>
      </c>
      <c r="P46" s="140" t="s">
        <v>116</v>
      </c>
      <c r="Q46" s="92"/>
      <c r="R46" s="92" t="s">
        <v>146</v>
      </c>
      <c r="S46" s="129">
        <f t="shared" si="10"/>
        <v>61178.503960104666</v>
      </c>
      <c r="T46" s="201"/>
      <c r="U46" s="202"/>
      <c r="V46" s="201"/>
      <c r="W46" s="201"/>
      <c r="X46" s="201"/>
      <c r="Y46" s="201"/>
      <c r="Z46" s="201"/>
      <c r="AA46" s="201"/>
      <c r="AB46" s="201"/>
      <c r="AC46" s="201"/>
    </row>
    <row r="47" spans="1:29" s="37" customFormat="1" ht="11.25" customHeight="1">
      <c r="A47" s="80"/>
      <c r="B47" s="81">
        <v>45674</v>
      </c>
      <c r="C47" s="144" t="s">
        <v>161</v>
      </c>
      <c r="D47" s="185"/>
      <c r="E47" s="82">
        <v>21</v>
      </c>
      <c r="F47" s="82" t="s">
        <v>25</v>
      </c>
      <c r="G47" s="82"/>
      <c r="H47" s="82"/>
      <c r="I47" s="82"/>
      <c r="J47" s="82"/>
      <c r="K47" s="146">
        <v>436.9</v>
      </c>
      <c r="L47" s="79">
        <f>'[2]통장내역(환율표)'!$D$246</f>
        <v>7.3190999922785887</v>
      </c>
      <c r="M47" s="182">
        <f t="shared" si="9"/>
        <v>59.693131732168602</v>
      </c>
      <c r="N47" s="153">
        <f t="shared" si="5"/>
        <v>447308.12000000017</v>
      </c>
      <c r="O47" s="153">
        <f t="shared" si="6"/>
        <v>61118.811890625468</v>
      </c>
      <c r="P47" s="140" t="s">
        <v>116</v>
      </c>
      <c r="Q47" s="92"/>
      <c r="R47" s="92" t="s">
        <v>146</v>
      </c>
      <c r="S47" s="129">
        <f t="shared" si="10"/>
        <v>61118.810828372501</v>
      </c>
      <c r="T47" s="201"/>
      <c r="U47" s="202"/>
      <c r="V47" s="201"/>
      <c r="W47" s="201"/>
      <c r="X47" s="201"/>
      <c r="Y47" s="201"/>
      <c r="Z47" s="201"/>
      <c r="AA47" s="201"/>
      <c r="AB47" s="201"/>
      <c r="AC47" s="201"/>
    </row>
    <row r="48" spans="1:29" s="37" customFormat="1" ht="11.25" customHeight="1">
      <c r="A48" s="80"/>
      <c r="B48" s="81">
        <v>45674</v>
      </c>
      <c r="C48" s="144" t="s">
        <v>142</v>
      </c>
      <c r="D48" s="185"/>
      <c r="E48" s="82">
        <v>22</v>
      </c>
      <c r="F48" s="82" t="s">
        <v>25</v>
      </c>
      <c r="G48" s="82"/>
      <c r="H48" s="82"/>
      <c r="I48" s="82"/>
      <c r="J48" s="82"/>
      <c r="K48" s="146">
        <v>265.7</v>
      </c>
      <c r="L48" s="79">
        <f>'[2]통장내역(환율표)'!$D$246</f>
        <v>7.3190999922785887</v>
      </c>
      <c r="M48" s="182">
        <f t="shared" si="9"/>
        <v>36.30227764073517</v>
      </c>
      <c r="N48" s="153">
        <f t="shared" si="5"/>
        <v>447042.42000000016</v>
      </c>
      <c r="O48" s="153">
        <f t="shared" si="6"/>
        <v>61082.50961298473</v>
      </c>
      <c r="P48" s="140" t="s">
        <v>116</v>
      </c>
      <c r="Q48" s="92"/>
      <c r="R48" s="92" t="s">
        <v>146</v>
      </c>
      <c r="S48" s="129">
        <f t="shared" si="10"/>
        <v>61082.508550731764</v>
      </c>
      <c r="T48" s="201"/>
      <c r="U48" s="202"/>
      <c r="V48" s="201"/>
      <c r="W48" s="201"/>
      <c r="X48" s="201"/>
      <c r="Y48" s="201"/>
      <c r="Z48" s="201"/>
      <c r="AA48" s="201"/>
      <c r="AB48" s="201"/>
      <c r="AC48" s="201"/>
    </row>
    <row r="49" spans="1:29" s="37" customFormat="1" ht="11.25" customHeight="1">
      <c r="A49" s="80"/>
      <c r="B49" s="81">
        <v>45674</v>
      </c>
      <c r="C49" s="144" t="s">
        <v>41</v>
      </c>
      <c r="D49" s="185"/>
      <c r="E49" s="82">
        <v>23</v>
      </c>
      <c r="F49" s="82" t="s">
        <v>25</v>
      </c>
      <c r="G49" s="82"/>
      <c r="H49" s="82"/>
      <c r="I49" s="82"/>
      <c r="J49" s="82"/>
      <c r="K49" s="146">
        <v>3.6</v>
      </c>
      <c r="L49" s="79">
        <f>'[2]통장내역(환율표)'!$D$246</f>
        <v>7.3190999922785887</v>
      </c>
      <c r="M49" s="182">
        <f t="shared" si="9"/>
        <v>0.49186375425911416</v>
      </c>
      <c r="N49" s="153">
        <f t="shared" si="5"/>
        <v>447038.82000000018</v>
      </c>
      <c r="O49" s="153">
        <f t="shared" si="6"/>
        <v>61082.017749230472</v>
      </c>
      <c r="P49" s="140" t="s">
        <v>116</v>
      </c>
      <c r="Q49" s="92"/>
      <c r="R49" s="92" t="s">
        <v>146</v>
      </c>
      <c r="S49" s="129">
        <f t="shared" si="10"/>
        <v>61082.016686977506</v>
      </c>
      <c r="T49" s="201"/>
      <c r="U49" s="202"/>
      <c r="V49" s="201"/>
      <c r="W49" s="201"/>
      <c r="X49" s="201"/>
      <c r="Y49" s="201"/>
      <c r="Z49" s="201"/>
      <c r="AA49" s="201"/>
      <c r="AB49" s="201"/>
      <c r="AC49" s="201"/>
    </row>
    <row r="50" spans="1:29" s="37" customFormat="1" ht="11.25" customHeight="1">
      <c r="A50" s="80"/>
      <c r="B50" s="81">
        <v>45674</v>
      </c>
      <c r="C50" s="178" t="s">
        <v>143</v>
      </c>
      <c r="D50" s="185"/>
      <c r="E50" s="82">
        <v>24</v>
      </c>
      <c r="F50" s="82" t="s">
        <v>32</v>
      </c>
      <c r="G50" s="82" t="s">
        <v>33</v>
      </c>
      <c r="H50" s="82"/>
      <c r="I50" s="82"/>
      <c r="J50" s="82"/>
      <c r="K50" s="146">
        <v>175.6</v>
      </c>
      <c r="L50" s="79">
        <f>'[2]통장내역(환율표)'!$D$246</f>
        <v>7.3190999922785887</v>
      </c>
      <c r="M50" s="182">
        <f t="shared" si="9"/>
        <v>23.992020902194568</v>
      </c>
      <c r="N50" s="153">
        <f t="shared" si="5"/>
        <v>446863.2200000002</v>
      </c>
      <c r="O50" s="153">
        <f t="shared" si="6"/>
        <v>61058.025728328277</v>
      </c>
      <c r="P50" s="140" t="s">
        <v>116</v>
      </c>
      <c r="Q50" s="92"/>
      <c r="R50" s="92" t="s">
        <v>147</v>
      </c>
      <c r="S50" s="129">
        <f t="shared" si="10"/>
        <v>61058.024666075311</v>
      </c>
      <c r="T50" s="201"/>
      <c r="U50" s="202"/>
      <c r="V50" s="201"/>
      <c r="W50" s="201"/>
      <c r="X50" s="201"/>
      <c r="Y50" s="201"/>
      <c r="Z50" s="201"/>
      <c r="AA50" s="201"/>
      <c r="AB50" s="201"/>
      <c r="AC50" s="201"/>
    </row>
    <row r="51" spans="1:29" s="37" customFormat="1" ht="11.25" customHeight="1">
      <c r="A51" s="80"/>
      <c r="B51" s="81">
        <v>45674</v>
      </c>
      <c r="C51" s="178" t="s">
        <v>8</v>
      </c>
      <c r="D51" s="185"/>
      <c r="E51" s="82">
        <v>25</v>
      </c>
      <c r="F51" s="82" t="s">
        <v>27</v>
      </c>
      <c r="G51" s="82" t="s">
        <v>30</v>
      </c>
      <c r="H51" s="82"/>
      <c r="I51" s="82"/>
      <c r="J51" s="82"/>
      <c r="K51" s="146">
        <v>299.2</v>
      </c>
      <c r="L51" s="79">
        <f>'[2]통장내역(환율표)'!$D$246</f>
        <v>7.3190999922785887</v>
      </c>
      <c r="M51" s="182">
        <f t="shared" si="9"/>
        <v>40.879343131757487</v>
      </c>
      <c r="N51" s="153">
        <f t="shared" si="5"/>
        <v>446564.02000000019</v>
      </c>
      <c r="O51" s="153">
        <f t="shared" si="6"/>
        <v>61017.146385196516</v>
      </c>
      <c r="P51" s="140" t="s">
        <v>116</v>
      </c>
      <c r="Q51" s="92"/>
      <c r="R51" s="92" t="s">
        <v>147</v>
      </c>
      <c r="S51" s="129">
        <f t="shared" si="10"/>
        <v>61017.14532294355</v>
      </c>
      <c r="T51" s="201"/>
      <c r="U51" s="202"/>
      <c r="V51" s="201"/>
      <c r="W51" s="201"/>
      <c r="X51" s="201"/>
      <c r="Y51" s="201"/>
      <c r="Z51" s="201"/>
      <c r="AA51" s="201"/>
      <c r="AB51" s="201"/>
      <c r="AC51" s="201"/>
    </row>
    <row r="52" spans="1:29" ht="11.25" customHeight="1">
      <c r="B52" s="81">
        <v>45674</v>
      </c>
      <c r="C52" s="178" t="s">
        <v>161</v>
      </c>
      <c r="D52" s="185"/>
      <c r="E52" s="145">
        <v>26</v>
      </c>
      <c r="F52" s="82" t="s">
        <v>25</v>
      </c>
      <c r="G52" s="82"/>
      <c r="H52" s="82"/>
      <c r="I52" s="82"/>
      <c r="J52" s="82"/>
      <c r="K52" s="146">
        <v>36</v>
      </c>
      <c r="L52" s="79">
        <f>'[2]통장내역(환율표)'!$D$246</f>
        <v>7.3190999922785887</v>
      </c>
      <c r="M52" s="182">
        <f t="shared" si="9"/>
        <v>4.9186375425911413</v>
      </c>
      <c r="N52" s="153">
        <f t="shared" si="5"/>
        <v>446528.02000000019</v>
      </c>
      <c r="O52" s="153">
        <f t="shared" si="6"/>
        <v>61012.227747653924</v>
      </c>
      <c r="P52" s="140" t="s">
        <v>116</v>
      </c>
      <c r="Q52" s="92"/>
      <c r="R52" s="92" t="s">
        <v>147</v>
      </c>
      <c r="S52" s="129">
        <f t="shared" si="10"/>
        <v>61012.226685400958</v>
      </c>
    </row>
    <row r="53" spans="1:29" ht="11.25" customHeight="1">
      <c r="B53" s="81">
        <v>45674</v>
      </c>
      <c r="C53" s="178" t="s">
        <v>2</v>
      </c>
      <c r="D53" s="185"/>
      <c r="E53" s="145">
        <v>27</v>
      </c>
      <c r="F53" s="82" t="s">
        <v>28</v>
      </c>
      <c r="G53" s="82" t="s">
        <v>31</v>
      </c>
      <c r="H53" s="82"/>
      <c r="I53" s="82"/>
      <c r="J53" s="82"/>
      <c r="K53" s="146">
        <v>16527.080000000002</v>
      </c>
      <c r="L53" s="79">
        <f>'[2]통장내역(환율표)'!$D$246</f>
        <v>7.3190999922785887</v>
      </c>
      <c r="M53" s="182">
        <f t="shared" si="9"/>
        <v>2258.0754488168668</v>
      </c>
      <c r="N53" s="153">
        <f t="shared" si="5"/>
        <v>430000.94000000018</v>
      </c>
      <c r="O53" s="153">
        <f t="shared" si="6"/>
        <v>58754.152298837056</v>
      </c>
      <c r="P53" s="140" t="s">
        <v>116</v>
      </c>
      <c r="Q53" s="92"/>
      <c r="R53" s="92" t="s">
        <v>147</v>
      </c>
      <c r="S53" s="129">
        <f t="shared" si="10"/>
        <v>58754.15123658409</v>
      </c>
    </row>
    <row r="54" spans="1:29" ht="11.25" customHeight="1">
      <c r="B54" s="81">
        <v>45674</v>
      </c>
      <c r="C54" s="178" t="s">
        <v>140</v>
      </c>
      <c r="D54" s="185"/>
      <c r="E54" s="145">
        <v>28</v>
      </c>
      <c r="F54" s="82" t="s">
        <v>25</v>
      </c>
      <c r="G54" s="181"/>
      <c r="H54" s="181"/>
      <c r="I54" s="181"/>
      <c r="J54" s="181"/>
      <c r="K54" s="146">
        <v>5746.98</v>
      </c>
      <c r="L54" s="79">
        <f>'[2]통장내역(환율표)'!$D$246</f>
        <v>7.3190999922785887</v>
      </c>
      <c r="M54" s="182">
        <f t="shared" si="9"/>
        <v>785.20309957001211</v>
      </c>
      <c r="N54" s="153">
        <f t="shared" si="5"/>
        <v>424253.9600000002</v>
      </c>
      <c r="O54" s="153">
        <f t="shared" si="6"/>
        <v>57968.949199267045</v>
      </c>
      <c r="P54" s="140" t="s">
        <v>116</v>
      </c>
      <c r="Q54" s="92"/>
      <c r="R54" s="92" t="s">
        <v>151</v>
      </c>
      <c r="S54" s="129">
        <f t="shared" si="10"/>
        <v>57968.948137014078</v>
      </c>
    </row>
    <row r="55" spans="1:29" ht="11.25" customHeight="1">
      <c r="B55" s="81">
        <v>45674</v>
      </c>
      <c r="C55" s="144" t="s">
        <v>41</v>
      </c>
      <c r="D55" s="185"/>
      <c r="E55" s="145">
        <v>29</v>
      </c>
      <c r="F55" s="82" t="s">
        <v>25</v>
      </c>
      <c r="G55" s="181"/>
      <c r="H55" s="181"/>
      <c r="I55" s="181"/>
      <c r="J55" s="181"/>
      <c r="K55" s="146">
        <v>7.2</v>
      </c>
      <c r="L55" s="79">
        <f>'[2]통장내역(환율표)'!$D$246</f>
        <v>7.3190999922785887</v>
      </c>
      <c r="M55" s="182">
        <f t="shared" si="9"/>
        <v>0.98372750851822832</v>
      </c>
      <c r="N55" s="153">
        <f t="shared" si="5"/>
        <v>424246.76000000018</v>
      </c>
      <c r="O55" s="153">
        <f t="shared" si="6"/>
        <v>57967.965471758529</v>
      </c>
      <c r="P55" s="140" t="s">
        <v>116</v>
      </c>
      <c r="Q55" s="92"/>
      <c r="R55" s="92" t="s">
        <v>147</v>
      </c>
      <c r="S55" s="129">
        <f t="shared" si="10"/>
        <v>57967.964409505563</v>
      </c>
    </row>
    <row r="56" spans="1:29" ht="11.25" customHeight="1">
      <c r="B56" s="81">
        <v>45674</v>
      </c>
      <c r="C56" s="178" t="s">
        <v>162</v>
      </c>
      <c r="D56" s="185"/>
      <c r="E56" s="145">
        <v>30</v>
      </c>
      <c r="F56" s="82" t="s">
        <v>32</v>
      </c>
      <c r="G56" s="181" t="s">
        <v>33</v>
      </c>
      <c r="H56" s="181"/>
      <c r="I56" s="181"/>
      <c r="J56" s="181"/>
      <c r="K56" s="146">
        <v>2151</v>
      </c>
      <c r="L56" s="79">
        <f>'[2]통장내역(환율표)'!$D$246</f>
        <v>7.3190999922785887</v>
      </c>
      <c r="M56" s="182">
        <f t="shared" si="9"/>
        <v>293.88859316982069</v>
      </c>
      <c r="N56" s="153">
        <f t="shared" si="5"/>
        <v>422095.76000000018</v>
      </c>
      <c r="O56" s="153">
        <f t="shared" si="6"/>
        <v>57674.076878588705</v>
      </c>
      <c r="P56" s="140" t="s">
        <v>116</v>
      </c>
      <c r="Q56" s="92"/>
      <c r="R56" s="92" t="s">
        <v>148</v>
      </c>
      <c r="S56" s="129">
        <f t="shared" si="10"/>
        <v>57674.075816335739</v>
      </c>
    </row>
    <row r="57" spans="1:29" ht="11.25" customHeight="1">
      <c r="B57" s="81">
        <v>45674</v>
      </c>
      <c r="C57" s="178" t="s">
        <v>163</v>
      </c>
      <c r="D57" s="185"/>
      <c r="E57" s="181">
        <v>31</v>
      </c>
      <c r="F57" s="181" t="s">
        <v>32</v>
      </c>
      <c r="G57" s="181" t="s">
        <v>33</v>
      </c>
      <c r="H57" s="181"/>
      <c r="I57" s="181"/>
      <c r="J57" s="181"/>
      <c r="K57" s="146">
        <v>177</v>
      </c>
      <c r="L57" s="79">
        <f>'[2]통장내역(환율표)'!$D$246</f>
        <v>7.3190999922785887</v>
      </c>
      <c r="M57" s="182">
        <f t="shared" si="9"/>
        <v>24.183301251073111</v>
      </c>
      <c r="N57" s="153">
        <f t="shared" si="5"/>
        <v>421918.76000000018</v>
      </c>
      <c r="O57" s="153">
        <f t="shared" si="6"/>
        <v>57649.893577337629</v>
      </c>
      <c r="P57" s="140" t="s">
        <v>116</v>
      </c>
      <c r="Q57" s="92"/>
      <c r="R57" s="92" t="s">
        <v>148</v>
      </c>
      <c r="S57" s="129">
        <f t="shared" si="10"/>
        <v>57649.892515084663</v>
      </c>
    </row>
    <row r="58" spans="1:29" ht="11.25" customHeight="1">
      <c r="B58" s="81">
        <v>45674</v>
      </c>
      <c r="C58" s="178" t="s">
        <v>164</v>
      </c>
      <c r="D58" s="185"/>
      <c r="E58" s="145">
        <v>32</v>
      </c>
      <c r="F58" s="181" t="s">
        <v>32</v>
      </c>
      <c r="G58" s="181" t="s">
        <v>33</v>
      </c>
      <c r="H58" s="181"/>
      <c r="I58" s="181"/>
      <c r="J58" s="181"/>
      <c r="K58" s="146">
        <v>308</v>
      </c>
      <c r="L58" s="79">
        <f>'[2]통장내역(환율표)'!$D$246</f>
        <v>7.3190999922785887</v>
      </c>
      <c r="M58" s="182">
        <f t="shared" si="9"/>
        <v>42.081676753279766</v>
      </c>
      <c r="N58" s="153">
        <f t="shared" si="5"/>
        <v>421610.76000000018</v>
      </c>
      <c r="O58" s="153">
        <f t="shared" si="6"/>
        <v>57607.811900584347</v>
      </c>
      <c r="P58" s="140" t="s">
        <v>116</v>
      </c>
      <c r="Q58" s="92"/>
      <c r="R58" s="92" t="s">
        <v>148</v>
      </c>
      <c r="S58" s="129">
        <f t="shared" si="10"/>
        <v>57607.810838331381</v>
      </c>
    </row>
    <row r="59" spans="1:29" ht="11.25" customHeight="1">
      <c r="B59" s="81">
        <v>45674</v>
      </c>
      <c r="C59" s="144" t="s">
        <v>41</v>
      </c>
      <c r="D59" s="185"/>
      <c r="E59" s="145">
        <v>33</v>
      </c>
      <c r="F59" s="181" t="s">
        <v>25</v>
      </c>
      <c r="G59" s="181"/>
      <c r="H59" s="181"/>
      <c r="I59" s="181"/>
      <c r="J59" s="181"/>
      <c r="K59" s="146">
        <v>3.6</v>
      </c>
      <c r="L59" s="79">
        <f>'[2]통장내역(환율표)'!$D$246</f>
        <v>7.3190999922785887</v>
      </c>
      <c r="M59" s="182">
        <f t="shared" si="9"/>
        <v>0.49186375425911416</v>
      </c>
      <c r="N59" s="153">
        <f t="shared" si="5"/>
        <v>421607.16000000021</v>
      </c>
      <c r="O59" s="153">
        <f t="shared" si="6"/>
        <v>57607.32003683009</v>
      </c>
      <c r="P59" s="140" t="s">
        <v>116</v>
      </c>
      <c r="Q59" s="92"/>
      <c r="R59" s="92" t="s">
        <v>148</v>
      </c>
      <c r="S59" s="129">
        <f t="shared" si="10"/>
        <v>57607.318974577123</v>
      </c>
    </row>
    <row r="60" spans="1:29" ht="11.25" customHeight="1">
      <c r="B60" s="81">
        <v>45674</v>
      </c>
      <c r="C60" s="178" t="s">
        <v>162</v>
      </c>
      <c r="D60" s="185"/>
      <c r="E60" s="145">
        <v>34</v>
      </c>
      <c r="F60" s="181" t="s">
        <v>32</v>
      </c>
      <c r="G60" s="181" t="s">
        <v>33</v>
      </c>
      <c r="H60" s="181"/>
      <c r="I60" s="181"/>
      <c r="J60" s="181"/>
      <c r="K60" s="146">
        <v>1050</v>
      </c>
      <c r="L60" s="79">
        <f>'[2]통장내역(환율표)'!$D$246</f>
        <v>7.3190999922785887</v>
      </c>
      <c r="M60" s="182">
        <f t="shared" si="9"/>
        <v>143.46026165890828</v>
      </c>
      <c r="N60" s="153">
        <f t="shared" si="5"/>
        <v>420557.16000000021</v>
      </c>
      <c r="O60" s="153">
        <f t="shared" si="6"/>
        <v>57463.859775171179</v>
      </c>
      <c r="P60" s="140" t="s">
        <v>116</v>
      </c>
      <c r="Q60" s="92"/>
      <c r="R60" s="92" t="s">
        <v>149</v>
      </c>
      <c r="S60" s="129">
        <f t="shared" si="10"/>
        <v>57463.858712918212</v>
      </c>
    </row>
    <row r="61" spans="1:29" ht="11.25" customHeight="1">
      <c r="B61" s="81">
        <v>45674</v>
      </c>
      <c r="C61" s="178" t="s">
        <v>164</v>
      </c>
      <c r="D61" s="185"/>
      <c r="E61" s="145">
        <v>35</v>
      </c>
      <c r="F61" s="181" t="s">
        <v>32</v>
      </c>
      <c r="G61" s="181" t="s">
        <v>33</v>
      </c>
      <c r="H61" s="181"/>
      <c r="I61" s="181"/>
      <c r="J61" s="181"/>
      <c r="K61" s="146">
        <v>212</v>
      </c>
      <c r="L61" s="79">
        <f>'[2]통장내역(환율표)'!$D$246</f>
        <v>7.3190999922785887</v>
      </c>
      <c r="M61" s="182">
        <f t="shared" si="9"/>
        <v>28.965309973036721</v>
      </c>
      <c r="N61" s="153">
        <f t="shared" si="5"/>
        <v>420345.16000000021</v>
      </c>
      <c r="O61" s="153">
        <f t="shared" si="6"/>
        <v>57434.894465198144</v>
      </c>
      <c r="P61" s="140" t="s">
        <v>116</v>
      </c>
      <c r="Q61" s="92"/>
      <c r="R61" s="92" t="s">
        <v>149</v>
      </c>
      <c r="S61" s="129">
        <f t="shared" si="10"/>
        <v>57434.893402945178</v>
      </c>
    </row>
    <row r="62" spans="1:29" ht="11.25" customHeight="1">
      <c r="B62" s="81">
        <v>45674</v>
      </c>
      <c r="C62" s="178" t="s">
        <v>163</v>
      </c>
      <c r="D62" s="185"/>
      <c r="E62" s="181">
        <v>36</v>
      </c>
      <c r="F62" s="181" t="s">
        <v>32</v>
      </c>
      <c r="G62" s="181" t="s">
        <v>33</v>
      </c>
      <c r="H62" s="181"/>
      <c r="I62" s="181"/>
      <c r="J62" s="181"/>
      <c r="K62" s="146">
        <v>103</v>
      </c>
      <c r="L62" s="79">
        <f>'[2]통장내역(환율표)'!$D$246</f>
        <v>7.3190999922785887</v>
      </c>
      <c r="M62" s="182">
        <f t="shared" si="9"/>
        <v>14.072768524635766</v>
      </c>
      <c r="N62" s="153">
        <f t="shared" si="5"/>
        <v>420242.16000000021</v>
      </c>
      <c r="O62" s="153">
        <f t="shared" si="6"/>
        <v>57420.821696673505</v>
      </c>
      <c r="P62" s="140" t="s">
        <v>116</v>
      </c>
      <c r="Q62" s="92"/>
      <c r="R62" s="92" t="s">
        <v>149</v>
      </c>
      <c r="S62" s="129">
        <f t="shared" si="10"/>
        <v>57420.820634420539</v>
      </c>
    </row>
    <row r="63" spans="1:29" ht="11.25" customHeight="1">
      <c r="B63" s="81">
        <v>45674</v>
      </c>
      <c r="C63" s="144" t="s">
        <v>41</v>
      </c>
      <c r="D63" s="185"/>
      <c r="E63" s="145">
        <v>37</v>
      </c>
      <c r="F63" s="181" t="s">
        <v>25</v>
      </c>
      <c r="G63" s="181"/>
      <c r="H63" s="181"/>
      <c r="I63" s="181"/>
      <c r="J63" s="181"/>
      <c r="K63" s="146">
        <v>3.6</v>
      </c>
      <c r="L63" s="79">
        <f>'[2]통장내역(환율표)'!$D$246</f>
        <v>7.3190999922785887</v>
      </c>
      <c r="M63" s="182">
        <f t="shared" si="9"/>
        <v>0.49186375425911416</v>
      </c>
      <c r="N63" s="153">
        <f t="shared" si="5"/>
        <v>420238.56000000023</v>
      </c>
      <c r="O63" s="153">
        <f t="shared" si="6"/>
        <v>57420.329832919248</v>
      </c>
      <c r="P63" s="140" t="s">
        <v>116</v>
      </c>
      <c r="Q63" s="92"/>
      <c r="R63" s="92" t="s">
        <v>149</v>
      </c>
      <c r="S63" s="129">
        <f t="shared" si="10"/>
        <v>57420.328770666281</v>
      </c>
    </row>
    <row r="64" spans="1:29" ht="11.25" customHeight="1">
      <c r="B64" s="81">
        <v>45677</v>
      </c>
      <c r="C64" s="178" t="s">
        <v>159</v>
      </c>
      <c r="D64" s="185"/>
      <c r="E64" s="145">
        <v>38</v>
      </c>
      <c r="F64" s="181" t="s">
        <v>32</v>
      </c>
      <c r="G64" s="181" t="s">
        <v>33</v>
      </c>
      <c r="H64" s="181"/>
      <c r="I64" s="181"/>
      <c r="J64" s="181"/>
      <c r="K64" s="146">
        <v>5580.13</v>
      </c>
      <c r="L64" s="79">
        <f>'[2]통장내역(환율표)'!$D$246</f>
        <v>7.3190999922785887</v>
      </c>
      <c r="M64" s="182">
        <f t="shared" si="9"/>
        <v>762.40658084830852</v>
      </c>
      <c r="N64" s="153">
        <f t="shared" si="5"/>
        <v>414658.43000000023</v>
      </c>
      <c r="O64" s="153">
        <f t="shared" si="6"/>
        <v>56657.923252070941</v>
      </c>
      <c r="P64" s="140" t="s">
        <v>116</v>
      </c>
      <c r="Q64" s="92"/>
      <c r="R64" s="92" t="s">
        <v>37</v>
      </c>
      <c r="S64" s="129">
        <f t="shared" si="10"/>
        <v>56657.922189817975</v>
      </c>
    </row>
    <row r="65" spans="2:19" ht="11.25" customHeight="1">
      <c r="B65" s="81">
        <v>45677</v>
      </c>
      <c r="C65" s="178" t="s">
        <v>2</v>
      </c>
      <c r="D65" s="185"/>
      <c r="E65" s="145">
        <v>39</v>
      </c>
      <c r="F65" s="181" t="s">
        <v>28</v>
      </c>
      <c r="G65" s="181" t="s">
        <v>31</v>
      </c>
      <c r="H65" s="181"/>
      <c r="I65" s="181"/>
      <c r="J65" s="181"/>
      <c r="K65" s="146">
        <v>13597</v>
      </c>
      <c r="L65" s="79">
        <f>'[2]통장내역(환율표)'!$D$246</f>
        <v>7.3190999922785887</v>
      </c>
      <c r="M65" s="182">
        <f t="shared" si="9"/>
        <v>1857.7420740725486</v>
      </c>
      <c r="N65" s="153">
        <f t="shared" si="5"/>
        <v>401061.43000000023</v>
      </c>
      <c r="O65" s="153">
        <f t="shared" si="6"/>
        <v>54800.181177998391</v>
      </c>
      <c r="P65" s="140" t="s">
        <v>116</v>
      </c>
      <c r="Q65" s="92"/>
      <c r="R65" s="92" t="s">
        <v>37</v>
      </c>
      <c r="S65" s="129">
        <f t="shared" si="10"/>
        <v>54800.180115745425</v>
      </c>
    </row>
    <row r="66" spans="2:19" ht="11.25" customHeight="1">
      <c r="B66" s="81">
        <v>45677</v>
      </c>
      <c r="C66" s="178" t="s">
        <v>8</v>
      </c>
      <c r="D66" s="185"/>
      <c r="E66" s="145">
        <v>40</v>
      </c>
      <c r="F66" s="181" t="s">
        <v>27</v>
      </c>
      <c r="G66" s="181" t="s">
        <v>30</v>
      </c>
      <c r="H66" s="181"/>
      <c r="I66" s="181"/>
      <c r="J66" s="181"/>
      <c r="K66" s="146">
        <v>297</v>
      </c>
      <c r="L66" s="79">
        <f>'[2]통장내역(환율표)'!$D$246</f>
        <v>7.3190999922785887</v>
      </c>
      <c r="M66" s="182">
        <f t="shared" si="9"/>
        <v>40.578759726376916</v>
      </c>
      <c r="N66" s="153">
        <f t="shared" si="5"/>
        <v>400764.43000000023</v>
      </c>
      <c r="O66" s="153">
        <f t="shared" si="6"/>
        <v>54759.602418272014</v>
      </c>
      <c r="P66" s="140" t="s">
        <v>116</v>
      </c>
      <c r="Q66" s="92"/>
      <c r="R66" s="92" t="s">
        <v>37</v>
      </c>
      <c r="S66" s="129">
        <f t="shared" si="10"/>
        <v>54759.601356019048</v>
      </c>
    </row>
    <row r="67" spans="2:19" ht="11.25" customHeight="1">
      <c r="B67" s="81">
        <v>45677</v>
      </c>
      <c r="C67" s="178" t="s">
        <v>41</v>
      </c>
      <c r="D67" s="185"/>
      <c r="E67" s="82">
        <v>41</v>
      </c>
      <c r="F67" s="82" t="s">
        <v>25</v>
      </c>
      <c r="G67" s="82"/>
      <c r="H67" s="82"/>
      <c r="I67" s="82"/>
      <c r="J67" s="82"/>
      <c r="K67" s="146">
        <v>7.2</v>
      </c>
      <c r="L67" s="79">
        <f>'[2]통장내역(환율표)'!$D$246</f>
        <v>7.3190999922785887</v>
      </c>
      <c r="M67" s="182">
        <f t="shared" si="9"/>
        <v>0.98372750851822832</v>
      </c>
      <c r="N67" s="153">
        <f t="shared" si="5"/>
        <v>400757.23000000021</v>
      </c>
      <c r="O67" s="153">
        <f t="shared" si="6"/>
        <v>54758.618690763498</v>
      </c>
      <c r="P67" s="140" t="s">
        <v>116</v>
      </c>
      <c r="Q67" s="92"/>
      <c r="R67" s="92" t="s">
        <v>37</v>
      </c>
      <c r="S67" s="129">
        <f t="shared" si="10"/>
        <v>54758.617628510532</v>
      </c>
    </row>
    <row r="68" spans="2:19" ht="11.25" customHeight="1">
      <c r="B68" s="81">
        <v>45677</v>
      </c>
      <c r="C68" s="178" t="s">
        <v>159</v>
      </c>
      <c r="D68" s="185"/>
      <c r="E68" s="145">
        <v>42</v>
      </c>
      <c r="F68" s="82" t="s">
        <v>32</v>
      </c>
      <c r="G68" s="82" t="s">
        <v>33</v>
      </c>
      <c r="H68" s="82"/>
      <c r="I68" s="82"/>
      <c r="J68" s="82"/>
      <c r="K68" s="146">
        <v>10595.86</v>
      </c>
      <c r="L68" s="79">
        <f>'[2]통장내역(환율표)'!$D$246</f>
        <v>7.3190999922785887</v>
      </c>
      <c r="M68" s="182">
        <f t="shared" si="9"/>
        <v>1447.6998553344381</v>
      </c>
      <c r="N68" s="153">
        <f t="shared" si="5"/>
        <v>390161.37000000023</v>
      </c>
      <c r="O68" s="153">
        <f t="shared" si="6"/>
        <v>53310.91883542906</v>
      </c>
      <c r="P68" s="140" t="s">
        <v>116</v>
      </c>
      <c r="Q68" s="92"/>
      <c r="R68" s="92" t="s">
        <v>150</v>
      </c>
      <c r="S68" s="129">
        <f t="shared" si="10"/>
        <v>53310.917773176094</v>
      </c>
    </row>
    <row r="69" spans="2:19" ht="11.25" customHeight="1">
      <c r="B69" s="81">
        <v>45677</v>
      </c>
      <c r="C69" s="178" t="s">
        <v>160</v>
      </c>
      <c r="D69" s="185"/>
      <c r="E69" s="145">
        <v>43</v>
      </c>
      <c r="F69" s="82" t="s">
        <v>32</v>
      </c>
      <c r="G69" s="82" t="s">
        <v>33</v>
      </c>
      <c r="H69" s="82"/>
      <c r="I69" s="82"/>
      <c r="J69" s="82"/>
      <c r="K69" s="146">
        <v>163.86</v>
      </c>
      <c r="L69" s="79">
        <f>'[2]통장내역(환율표)'!$D$246</f>
        <v>7.3190999922785887</v>
      </c>
      <c r="M69" s="182">
        <f t="shared" si="9"/>
        <v>22.387998548027348</v>
      </c>
      <c r="N69" s="153">
        <f t="shared" si="5"/>
        <v>389997.51000000024</v>
      </c>
      <c r="O69" s="153">
        <f t="shared" si="6"/>
        <v>53288.530836881029</v>
      </c>
      <c r="P69" s="140" t="s">
        <v>116</v>
      </c>
      <c r="Q69" s="92"/>
      <c r="R69" s="92" t="s">
        <v>150</v>
      </c>
      <c r="S69" s="129">
        <f t="shared" si="10"/>
        <v>53288.529774628063</v>
      </c>
    </row>
    <row r="70" spans="2:19" ht="11.25" customHeight="1">
      <c r="B70" s="81">
        <v>45677</v>
      </c>
      <c r="C70" s="178" t="s">
        <v>165</v>
      </c>
      <c r="D70" s="185"/>
      <c r="E70" s="82">
        <v>44</v>
      </c>
      <c r="F70" s="82" t="s">
        <v>25</v>
      </c>
      <c r="G70" s="82"/>
      <c r="H70" s="82"/>
      <c r="I70" s="82"/>
      <c r="J70" s="82"/>
      <c r="K70" s="146">
        <v>59</v>
      </c>
      <c r="L70" s="79">
        <f>'[2]통장내역(환율표)'!$D$246</f>
        <v>7.3190999922785887</v>
      </c>
      <c r="M70" s="182">
        <f t="shared" si="9"/>
        <v>8.0611004170243703</v>
      </c>
      <c r="N70" s="153">
        <f t="shared" si="5"/>
        <v>389938.51000000024</v>
      </c>
      <c r="O70" s="153">
        <f t="shared" si="6"/>
        <v>53280.469736464001</v>
      </c>
      <c r="P70" s="140" t="s">
        <v>116</v>
      </c>
      <c r="Q70" s="92"/>
      <c r="R70" s="92" t="s">
        <v>150</v>
      </c>
      <c r="S70" s="129">
        <f t="shared" si="10"/>
        <v>53280.468674211035</v>
      </c>
    </row>
    <row r="71" spans="2:19" ht="11.25" customHeight="1">
      <c r="B71" s="81">
        <v>45677</v>
      </c>
      <c r="C71" s="178" t="s">
        <v>41</v>
      </c>
      <c r="D71" s="185"/>
      <c r="E71" s="145">
        <v>45</v>
      </c>
      <c r="F71" s="82" t="s">
        <v>25</v>
      </c>
      <c r="G71" s="82"/>
      <c r="H71" s="82"/>
      <c r="I71" s="82"/>
      <c r="J71" s="82"/>
      <c r="K71" s="146">
        <v>7.2</v>
      </c>
      <c r="L71" s="79">
        <f>'[2]통장내역(환율표)'!$D$246</f>
        <v>7.3190999922785887</v>
      </c>
      <c r="M71" s="182">
        <f t="shared" si="9"/>
        <v>0.98372750851822832</v>
      </c>
      <c r="N71" s="153">
        <f t="shared" si="5"/>
        <v>389931.31000000023</v>
      </c>
      <c r="O71" s="153">
        <f t="shared" si="6"/>
        <v>53279.486008955486</v>
      </c>
      <c r="P71" s="140" t="s">
        <v>116</v>
      </c>
      <c r="Q71" s="92"/>
      <c r="R71" s="92" t="s">
        <v>150</v>
      </c>
      <c r="S71" s="129">
        <f t="shared" si="10"/>
        <v>53279.48494670252</v>
      </c>
    </row>
    <row r="72" spans="2:19" ht="11.25" customHeight="1">
      <c r="B72" s="81">
        <v>45679</v>
      </c>
      <c r="C72" s="178" t="s">
        <v>167</v>
      </c>
      <c r="D72" s="183"/>
      <c r="E72" s="145">
        <v>46</v>
      </c>
      <c r="F72" s="82" t="s">
        <v>25</v>
      </c>
      <c r="G72" s="82"/>
      <c r="H72" s="82"/>
      <c r="I72" s="82"/>
      <c r="J72" s="82"/>
      <c r="K72" s="146">
        <v>15000</v>
      </c>
      <c r="L72" s="79">
        <f>'[2]통장내역(환율표)'!$D$246</f>
        <v>7.3190999922785887</v>
      </c>
      <c r="M72" s="182">
        <f t="shared" si="9"/>
        <v>2049.4323094129754</v>
      </c>
      <c r="N72" s="153">
        <f t="shared" si="5"/>
        <v>374931.31000000023</v>
      </c>
      <c r="O72" s="153">
        <f t="shared" si="6"/>
        <v>51230.053699542514</v>
      </c>
      <c r="P72" s="140" t="s">
        <v>116</v>
      </c>
      <c r="Q72" s="92"/>
      <c r="R72" s="92"/>
      <c r="S72" s="129">
        <f t="shared" si="10"/>
        <v>51230.052637289547</v>
      </c>
    </row>
    <row r="73" spans="2:19" ht="11.25" customHeight="1">
      <c r="B73" s="81">
        <v>45679</v>
      </c>
      <c r="C73" s="144" t="s">
        <v>41</v>
      </c>
      <c r="D73" s="183"/>
      <c r="E73" s="145">
        <v>47</v>
      </c>
      <c r="F73" s="82" t="s">
        <v>25</v>
      </c>
      <c r="G73" s="82"/>
      <c r="H73" s="82"/>
      <c r="I73" s="82"/>
      <c r="J73" s="82"/>
      <c r="K73" s="146">
        <v>7.2</v>
      </c>
      <c r="L73" s="79">
        <f>'[2]통장내역(환율표)'!$D$246</f>
        <v>7.3190999922785887</v>
      </c>
      <c r="M73" s="182">
        <f t="shared" si="9"/>
        <v>0.98372750851822832</v>
      </c>
      <c r="N73" s="153">
        <f t="shared" si="5"/>
        <v>374924.11000000022</v>
      </c>
      <c r="O73" s="153">
        <f t="shared" si="6"/>
        <v>51229.069972033998</v>
      </c>
      <c r="P73" s="140" t="s">
        <v>116</v>
      </c>
      <c r="Q73" s="92"/>
      <c r="R73" s="92"/>
      <c r="S73" s="129">
        <f t="shared" si="10"/>
        <v>51229.068909781032</v>
      </c>
    </row>
    <row r="74" spans="2:19" ht="11.25" customHeight="1">
      <c r="B74" s="81">
        <v>45680</v>
      </c>
      <c r="C74" s="178" t="s">
        <v>69</v>
      </c>
      <c r="D74" s="183"/>
      <c r="E74" s="145">
        <v>48</v>
      </c>
      <c r="F74" s="82" t="s">
        <v>25</v>
      </c>
      <c r="G74" s="82"/>
      <c r="H74" s="82"/>
      <c r="I74" s="82"/>
      <c r="J74" s="82"/>
      <c r="K74" s="146">
        <v>16000</v>
      </c>
      <c r="L74" s="79">
        <f>'[2]통장내역(환율표)'!$D$246</f>
        <v>7.3190999922785887</v>
      </c>
      <c r="M74" s="182">
        <f t="shared" si="9"/>
        <v>2186.0611300405071</v>
      </c>
      <c r="N74" s="153">
        <f t="shared" si="5"/>
        <v>358924.11000000022</v>
      </c>
      <c r="O74" s="153">
        <f t="shared" si="6"/>
        <v>49043.008841993491</v>
      </c>
      <c r="P74" s="140" t="s">
        <v>116</v>
      </c>
      <c r="Q74" s="92"/>
      <c r="R74" s="92" t="s">
        <v>37</v>
      </c>
      <c r="S74" s="129">
        <f t="shared" si="10"/>
        <v>49043.007779740525</v>
      </c>
    </row>
    <row r="75" spans="2:19" ht="11.25" customHeight="1">
      <c r="B75" s="81">
        <v>45680</v>
      </c>
      <c r="C75" s="178" t="s">
        <v>75</v>
      </c>
      <c r="D75" s="183"/>
      <c r="E75" s="145">
        <v>48</v>
      </c>
      <c r="F75" s="82" t="s">
        <v>25</v>
      </c>
      <c r="G75" s="82"/>
      <c r="H75" s="82"/>
      <c r="I75" s="82"/>
      <c r="J75" s="82"/>
      <c r="K75" s="146">
        <v>24000</v>
      </c>
      <c r="L75" s="79">
        <f>'[2]통장내역(환율표)'!$D$246</f>
        <v>7.3190999922785887</v>
      </c>
      <c r="M75" s="182">
        <f t="shared" si="9"/>
        <v>3279.0916950607611</v>
      </c>
      <c r="N75" s="153">
        <f t="shared" si="5"/>
        <v>334924.11000000022</v>
      </c>
      <c r="O75" s="153">
        <f t="shared" si="6"/>
        <v>45763.917146932727</v>
      </c>
      <c r="P75" s="140" t="s">
        <v>116</v>
      </c>
      <c r="Q75" s="92"/>
      <c r="R75" s="92" t="s">
        <v>37</v>
      </c>
      <c r="S75" s="129">
        <f t="shared" si="10"/>
        <v>45763.91608467976</v>
      </c>
    </row>
    <row r="76" spans="2:19" ht="11.25" customHeight="1">
      <c r="B76" s="81">
        <v>45680</v>
      </c>
      <c r="C76" s="178" t="s">
        <v>70</v>
      </c>
      <c r="D76" s="148"/>
      <c r="E76" s="145">
        <v>48</v>
      </c>
      <c r="F76" s="82" t="s">
        <v>25</v>
      </c>
      <c r="G76" s="82"/>
      <c r="H76" s="82"/>
      <c r="I76" s="82"/>
      <c r="J76" s="82"/>
      <c r="K76" s="146">
        <v>5305.19</v>
      </c>
      <c r="L76" s="79">
        <f>'[2]통장내역(환율표)'!$D$246</f>
        <v>7.3190999922785887</v>
      </c>
      <c r="M76" s="182">
        <f t="shared" si="9"/>
        <v>724.84185290497487</v>
      </c>
      <c r="N76" s="153">
        <f t="shared" si="5"/>
        <v>329618.92000000022</v>
      </c>
      <c r="O76" s="153">
        <f t="shared" si="6"/>
        <v>45039.075294027753</v>
      </c>
      <c r="P76" s="140" t="s">
        <v>116</v>
      </c>
      <c r="Q76" s="92"/>
      <c r="R76" s="92" t="s">
        <v>37</v>
      </c>
      <c r="S76" s="129">
        <f t="shared" si="10"/>
        <v>45039.074231774786</v>
      </c>
    </row>
    <row r="77" spans="2:19" ht="11.25" customHeight="1">
      <c r="B77" s="81">
        <v>45680</v>
      </c>
      <c r="C77" s="178" t="s">
        <v>71</v>
      </c>
      <c r="D77" s="148"/>
      <c r="E77" s="145">
        <v>48</v>
      </c>
      <c r="F77" s="82" t="s">
        <v>25</v>
      </c>
      <c r="G77" s="82"/>
      <c r="H77" s="82"/>
      <c r="I77" s="82"/>
      <c r="J77" s="82"/>
      <c r="K77" s="146">
        <v>1001.04</v>
      </c>
      <c r="L77" s="79">
        <f>'[2]통장내역(환율표)'!$D$246</f>
        <v>7.3190999922785887</v>
      </c>
      <c r="M77" s="182">
        <f t="shared" si="9"/>
        <v>136.77091460098433</v>
      </c>
      <c r="N77" s="153">
        <f t="shared" si="5"/>
        <v>328617.88000000024</v>
      </c>
      <c r="O77" s="153">
        <f t="shared" si="6"/>
        <v>44902.304379426765</v>
      </c>
      <c r="P77" s="140" t="s">
        <v>116</v>
      </c>
      <c r="Q77" s="92"/>
      <c r="R77" s="92" t="s">
        <v>37</v>
      </c>
      <c r="S77" s="129">
        <f t="shared" si="10"/>
        <v>44902.303317173799</v>
      </c>
    </row>
    <row r="78" spans="2:19" ht="11.25" customHeight="1">
      <c r="B78" s="81">
        <v>45680</v>
      </c>
      <c r="C78" s="178" t="s">
        <v>73</v>
      </c>
      <c r="D78" s="148"/>
      <c r="E78" s="145">
        <v>48</v>
      </c>
      <c r="F78" s="82" t="s">
        <v>25</v>
      </c>
      <c r="G78" s="82"/>
      <c r="H78" s="82"/>
      <c r="I78" s="82"/>
      <c r="J78" s="82"/>
      <c r="K78" s="146">
        <v>300</v>
      </c>
      <c r="L78" s="79">
        <f>'[2]통장내역(환율표)'!$D$246</f>
        <v>7.3190999922785887</v>
      </c>
      <c r="M78" s="182">
        <f t="shared" si="9"/>
        <v>40.988646188259516</v>
      </c>
      <c r="N78" s="153">
        <f t="shared" si="5"/>
        <v>328317.88000000024</v>
      </c>
      <c r="O78" s="153">
        <f t="shared" si="6"/>
        <v>44861.315733238509</v>
      </c>
      <c r="P78" s="140" t="s">
        <v>116</v>
      </c>
      <c r="Q78" s="92"/>
      <c r="R78" s="92" t="s">
        <v>37</v>
      </c>
      <c r="S78" s="129">
        <f t="shared" si="10"/>
        <v>44861.314670985543</v>
      </c>
    </row>
    <row r="79" spans="2:19" ht="11.25" customHeight="1">
      <c r="B79" s="81">
        <v>45680</v>
      </c>
      <c r="C79" s="178" t="s">
        <v>69</v>
      </c>
      <c r="D79" s="148"/>
      <c r="E79" s="145">
        <v>48</v>
      </c>
      <c r="F79" s="82" t="s">
        <v>25</v>
      </c>
      <c r="G79" s="82"/>
      <c r="H79" s="82"/>
      <c r="I79" s="82"/>
      <c r="J79" s="82"/>
      <c r="K79" s="146">
        <v>16000</v>
      </c>
      <c r="L79" s="79">
        <f>'[2]통장내역(환율표)'!$D$246</f>
        <v>7.3190999922785887</v>
      </c>
      <c r="M79" s="182">
        <f t="shared" si="9"/>
        <v>2186.0611300405071</v>
      </c>
      <c r="N79" s="153">
        <f t="shared" si="5"/>
        <v>312317.88000000024</v>
      </c>
      <c r="O79" s="153">
        <f t="shared" si="6"/>
        <v>42675.254603198002</v>
      </c>
      <c r="P79" s="140" t="s">
        <v>116</v>
      </c>
      <c r="Q79" s="92"/>
      <c r="R79" s="92" t="s">
        <v>36</v>
      </c>
      <c r="S79" s="129">
        <f t="shared" si="10"/>
        <v>42675.253540945036</v>
      </c>
    </row>
    <row r="80" spans="2:19" ht="11.25" customHeight="1">
      <c r="B80" s="81">
        <v>45680</v>
      </c>
      <c r="C80" s="178" t="s">
        <v>75</v>
      </c>
      <c r="D80" s="148"/>
      <c r="E80" s="145">
        <v>48</v>
      </c>
      <c r="F80" s="82" t="s">
        <v>25</v>
      </c>
      <c r="G80" s="82"/>
      <c r="H80" s="82"/>
      <c r="I80" s="82"/>
      <c r="J80" s="82"/>
      <c r="K80" s="146">
        <v>24000</v>
      </c>
      <c r="L80" s="79">
        <f>'[2]통장내역(환율표)'!$D$246</f>
        <v>7.3190999922785887</v>
      </c>
      <c r="M80" s="182">
        <f t="shared" si="9"/>
        <v>3279.0916950607611</v>
      </c>
      <c r="N80" s="153">
        <f t="shared" si="5"/>
        <v>288317.88000000024</v>
      </c>
      <c r="O80" s="153">
        <f t="shared" si="6"/>
        <v>39396.162908137238</v>
      </c>
      <c r="P80" s="140" t="s">
        <v>116</v>
      </c>
      <c r="Q80" s="92"/>
      <c r="R80" s="92" t="s">
        <v>36</v>
      </c>
      <c r="S80" s="129">
        <f t="shared" si="10"/>
        <v>39396.161845884271</v>
      </c>
    </row>
    <row r="81" spans="2:19" ht="11.25" customHeight="1">
      <c r="B81" s="81">
        <v>45680</v>
      </c>
      <c r="C81" s="178" t="s">
        <v>70</v>
      </c>
      <c r="D81" s="148"/>
      <c r="E81" s="145">
        <v>48</v>
      </c>
      <c r="F81" s="82" t="s">
        <v>25</v>
      </c>
      <c r="G81" s="82"/>
      <c r="H81" s="82"/>
      <c r="I81" s="82"/>
      <c r="J81" s="82"/>
      <c r="K81" s="146">
        <v>8726.19</v>
      </c>
      <c r="L81" s="79">
        <f>'[2]통장내역(환율표)'!$D$246</f>
        <v>7.3190999922785887</v>
      </c>
      <c r="M81" s="182">
        <f t="shared" si="9"/>
        <v>1192.249048271761</v>
      </c>
      <c r="N81" s="153">
        <f t="shared" si="5"/>
        <v>279591.69000000024</v>
      </c>
      <c r="O81" s="153">
        <f t="shared" si="6"/>
        <v>38203.913859865475</v>
      </c>
      <c r="P81" s="140" t="s">
        <v>116</v>
      </c>
      <c r="Q81" s="92"/>
      <c r="R81" s="92" t="s">
        <v>36</v>
      </c>
      <c r="S81" s="129">
        <f t="shared" si="10"/>
        <v>38203.912797612509</v>
      </c>
    </row>
    <row r="82" spans="2:19" ht="11.25" customHeight="1">
      <c r="B82" s="81">
        <v>45680</v>
      </c>
      <c r="C82" s="178" t="s">
        <v>71</v>
      </c>
      <c r="D82" s="148"/>
      <c r="E82" s="145">
        <v>48</v>
      </c>
      <c r="F82" s="82" t="s">
        <v>25</v>
      </c>
      <c r="G82" s="82"/>
      <c r="H82" s="82"/>
      <c r="I82" s="82"/>
      <c r="J82" s="82"/>
      <c r="K82" s="146">
        <v>950.1</v>
      </c>
      <c r="L82" s="79">
        <f>'[2]통장내역(환율표)'!$D$246</f>
        <v>7.3190999922785887</v>
      </c>
      <c r="M82" s="182">
        <f t="shared" si="9"/>
        <v>129.81104247821787</v>
      </c>
      <c r="N82" s="153">
        <f t="shared" si="5"/>
        <v>278641.59000000026</v>
      </c>
      <c r="O82" s="153">
        <f t="shared" si="6"/>
        <v>38074.102817387255</v>
      </c>
      <c r="P82" s="140" t="s">
        <v>116</v>
      </c>
      <c r="Q82" s="92"/>
      <c r="R82" s="92" t="s">
        <v>36</v>
      </c>
      <c r="S82" s="129">
        <f t="shared" si="10"/>
        <v>38074.101755134288</v>
      </c>
    </row>
    <row r="83" spans="2:19" ht="11.25" customHeight="1">
      <c r="B83" s="81">
        <v>45680</v>
      </c>
      <c r="C83" s="178" t="s">
        <v>73</v>
      </c>
      <c r="D83" s="148"/>
      <c r="E83" s="145">
        <v>48</v>
      </c>
      <c r="F83" s="82" t="s">
        <v>25</v>
      </c>
      <c r="G83" s="82"/>
      <c r="H83" s="82"/>
      <c r="I83" s="82"/>
      <c r="J83" s="82"/>
      <c r="K83" s="146">
        <v>300</v>
      </c>
      <c r="L83" s="79">
        <f>'[2]통장내역(환율표)'!$D$246</f>
        <v>7.3190999922785887</v>
      </c>
      <c r="M83" s="182">
        <f t="shared" si="9"/>
        <v>40.988646188259516</v>
      </c>
      <c r="N83" s="153">
        <f t="shared" si="5"/>
        <v>278341.59000000026</v>
      </c>
      <c r="O83" s="153">
        <f t="shared" si="6"/>
        <v>38033.114171198999</v>
      </c>
      <c r="P83" s="140" t="s">
        <v>116</v>
      </c>
      <c r="Q83" s="92"/>
      <c r="R83" s="92" t="s">
        <v>36</v>
      </c>
      <c r="S83" s="129">
        <f t="shared" si="10"/>
        <v>38033.113108946032</v>
      </c>
    </row>
    <row r="84" spans="2:19" ht="11.25" customHeight="1">
      <c r="B84" s="81">
        <v>45680</v>
      </c>
      <c r="C84" s="178" t="s">
        <v>72</v>
      </c>
      <c r="D84" s="148"/>
      <c r="E84" s="145">
        <v>48</v>
      </c>
      <c r="F84" s="82" t="s">
        <v>25</v>
      </c>
      <c r="G84" s="82"/>
      <c r="H84" s="82"/>
      <c r="I84" s="82"/>
      <c r="J84" s="82"/>
      <c r="K84" s="146">
        <v>25750</v>
      </c>
      <c r="L84" s="79">
        <f>'[2]통장내역(환율표)'!$D$246</f>
        <v>7.3190999922785887</v>
      </c>
      <c r="M84" s="182">
        <f t="shared" si="9"/>
        <v>3518.1921311589413</v>
      </c>
      <c r="N84" s="153">
        <f t="shared" ref="N84:N105" si="11">N83+H84-K84</f>
        <v>252591.59000000026</v>
      </c>
      <c r="O84" s="153">
        <f t="shared" ref="O84:O105" si="12">O83+J84-M84</f>
        <v>34514.922040040059</v>
      </c>
      <c r="P84" s="140" t="s">
        <v>116</v>
      </c>
      <c r="Q84" s="92"/>
      <c r="R84" s="92" t="s">
        <v>78</v>
      </c>
      <c r="S84" s="129">
        <f t="shared" si="10"/>
        <v>34514.920977787093</v>
      </c>
    </row>
    <row r="85" spans="2:19" ht="11.25" customHeight="1">
      <c r="B85" s="81">
        <v>45680</v>
      </c>
      <c r="C85" s="178" t="s">
        <v>114</v>
      </c>
      <c r="D85" s="148"/>
      <c r="E85" s="145">
        <v>48</v>
      </c>
      <c r="F85" s="82" t="s">
        <v>25</v>
      </c>
      <c r="G85" s="82"/>
      <c r="H85" s="146"/>
      <c r="I85" s="79"/>
      <c r="J85" s="162"/>
      <c r="K85" s="142">
        <v>66500</v>
      </c>
      <c r="L85" s="79">
        <f>'[2]통장내역(환율표)'!$D$246</f>
        <v>7.3190999922785887</v>
      </c>
      <c r="M85" s="182">
        <f t="shared" si="9"/>
        <v>9085.8165717308584</v>
      </c>
      <c r="N85" s="153">
        <f t="shared" si="11"/>
        <v>186091.59000000026</v>
      </c>
      <c r="O85" s="153">
        <f t="shared" si="12"/>
        <v>25429.105468309201</v>
      </c>
      <c r="P85" s="140" t="s">
        <v>116</v>
      </c>
      <c r="Q85" s="92"/>
      <c r="R85" s="92" t="s">
        <v>78</v>
      </c>
      <c r="S85" s="129">
        <f t="shared" si="10"/>
        <v>25429.104406056234</v>
      </c>
    </row>
    <row r="86" spans="2:19" ht="11.25" customHeight="1">
      <c r="B86" s="81">
        <v>45680</v>
      </c>
      <c r="C86" s="178" t="s">
        <v>76</v>
      </c>
      <c r="D86" s="148"/>
      <c r="E86" s="145">
        <v>48</v>
      </c>
      <c r="F86" s="82" t="s">
        <v>25</v>
      </c>
      <c r="G86" s="82"/>
      <c r="H86" s="82"/>
      <c r="I86" s="82"/>
      <c r="J86" s="82"/>
      <c r="K86" s="146">
        <v>7431.44</v>
      </c>
      <c r="L86" s="79">
        <f>'[2]통장내역(환율표)'!$D$246</f>
        <v>7.3190999922785887</v>
      </c>
      <c r="M86" s="182">
        <f t="shared" si="9"/>
        <v>1015.3488827642642</v>
      </c>
      <c r="N86" s="153">
        <f t="shared" si="11"/>
        <v>178660.15000000026</v>
      </c>
      <c r="O86" s="153">
        <f t="shared" si="12"/>
        <v>24413.756585544936</v>
      </c>
      <c r="P86" s="140" t="s">
        <v>116</v>
      </c>
      <c r="Q86" s="92"/>
      <c r="R86" s="92" t="s">
        <v>78</v>
      </c>
      <c r="S86" s="129">
        <f t="shared" si="10"/>
        <v>24413.755523291969</v>
      </c>
    </row>
    <row r="87" spans="2:19" ht="11.25" customHeight="1">
      <c r="B87" s="81">
        <v>45680</v>
      </c>
      <c r="C87" s="178" t="s">
        <v>73</v>
      </c>
      <c r="D87" s="148"/>
      <c r="E87" s="145">
        <v>48</v>
      </c>
      <c r="F87" s="82" t="s">
        <v>25</v>
      </c>
      <c r="G87" s="82"/>
      <c r="H87" s="82"/>
      <c r="I87" s="82"/>
      <c r="J87" s="82"/>
      <c r="K87" s="146">
        <v>300</v>
      </c>
      <c r="L87" s="79">
        <f>'[2]통장내역(환율표)'!$D$246</f>
        <v>7.3190999922785887</v>
      </c>
      <c r="M87" s="182">
        <f t="shared" si="9"/>
        <v>40.988646188259516</v>
      </c>
      <c r="N87" s="153">
        <f t="shared" si="11"/>
        <v>178360.15000000026</v>
      </c>
      <c r="O87" s="153">
        <f t="shared" si="12"/>
        <v>24372.767939356676</v>
      </c>
      <c r="P87" s="140" t="s">
        <v>116</v>
      </c>
      <c r="Q87" s="92"/>
      <c r="R87" s="92" t="s">
        <v>78</v>
      </c>
      <c r="S87" s="129">
        <f t="shared" si="10"/>
        <v>24372.76687710371</v>
      </c>
    </row>
    <row r="88" spans="2:19" ht="11.25" customHeight="1">
      <c r="B88" s="81">
        <v>45680</v>
      </c>
      <c r="C88" s="178" t="s">
        <v>77</v>
      </c>
      <c r="D88" s="148"/>
      <c r="E88" s="145">
        <v>48</v>
      </c>
      <c r="F88" s="82" t="s">
        <v>25</v>
      </c>
      <c r="G88" s="82"/>
      <c r="H88" s="82"/>
      <c r="I88" s="82"/>
      <c r="J88" s="82"/>
      <c r="K88" s="146">
        <v>200</v>
      </c>
      <c r="L88" s="79">
        <f>'[2]통장내역(환율표)'!$D$246</f>
        <v>7.3190999922785887</v>
      </c>
      <c r="M88" s="182">
        <f t="shared" si="9"/>
        <v>27.325764125506343</v>
      </c>
      <c r="N88" s="153">
        <f t="shared" si="11"/>
        <v>178160.15000000026</v>
      </c>
      <c r="O88" s="153">
        <f t="shared" si="12"/>
        <v>24345.442175231168</v>
      </c>
      <c r="P88" s="140" t="s">
        <v>116</v>
      </c>
      <c r="Q88" s="92"/>
      <c r="R88" s="92" t="s">
        <v>78</v>
      </c>
      <c r="S88" s="129">
        <f t="shared" si="10"/>
        <v>24345.441112978202</v>
      </c>
    </row>
    <row r="89" spans="2:19" ht="11.25" customHeight="1">
      <c r="B89" s="81">
        <v>45680</v>
      </c>
      <c r="C89" s="178" t="s">
        <v>72</v>
      </c>
      <c r="D89" s="148"/>
      <c r="E89" s="145">
        <v>48</v>
      </c>
      <c r="F89" s="82" t="s">
        <v>25</v>
      </c>
      <c r="G89" s="82"/>
      <c r="H89" s="82"/>
      <c r="I89" s="82"/>
      <c r="J89" s="82"/>
      <c r="K89" s="146">
        <v>13390</v>
      </c>
      <c r="L89" s="79">
        <f>'[2]통장내역(환율표)'!$D$246</f>
        <v>7.3190999922785887</v>
      </c>
      <c r="M89" s="182">
        <f t="shared" si="9"/>
        <v>1829.4599082026496</v>
      </c>
      <c r="N89" s="153">
        <f t="shared" si="11"/>
        <v>164770.15000000026</v>
      </c>
      <c r="O89" s="153">
        <f t="shared" si="12"/>
        <v>22515.982267028518</v>
      </c>
      <c r="P89" s="140" t="s">
        <v>116</v>
      </c>
      <c r="Q89" s="92"/>
      <c r="R89" s="92" t="s">
        <v>157</v>
      </c>
      <c r="S89" s="129">
        <f t="shared" si="10"/>
        <v>22515.981204775551</v>
      </c>
    </row>
    <row r="90" spans="2:19" ht="11.25" customHeight="1">
      <c r="B90" s="81">
        <v>45680</v>
      </c>
      <c r="C90" s="178" t="s">
        <v>114</v>
      </c>
      <c r="D90" s="148"/>
      <c r="E90" s="145">
        <v>48</v>
      </c>
      <c r="F90" s="82" t="s">
        <v>25</v>
      </c>
      <c r="G90" s="82"/>
      <c r="H90" s="82"/>
      <c r="I90" s="82"/>
      <c r="J90" s="82"/>
      <c r="K90" s="146">
        <v>6500</v>
      </c>
      <c r="L90" s="79">
        <f>'[2]통장내역(환율표)'!$D$246</f>
        <v>7.3190999922785887</v>
      </c>
      <c r="M90" s="182">
        <f t="shared" si="9"/>
        <v>888.08733407895613</v>
      </c>
      <c r="N90" s="153">
        <f t="shared" si="11"/>
        <v>158270.15000000026</v>
      </c>
      <c r="O90" s="153">
        <f t="shared" si="12"/>
        <v>21627.894932949563</v>
      </c>
      <c r="P90" s="140" t="s">
        <v>116</v>
      </c>
      <c r="Q90" s="92"/>
      <c r="R90" s="92" t="s">
        <v>157</v>
      </c>
      <c r="S90" s="129">
        <f t="shared" si="10"/>
        <v>21627.893870696596</v>
      </c>
    </row>
    <row r="91" spans="2:19" ht="11.25" customHeight="1">
      <c r="B91" s="81">
        <v>45680</v>
      </c>
      <c r="C91" s="178" t="s">
        <v>76</v>
      </c>
      <c r="D91" s="148"/>
      <c r="E91" s="145">
        <v>48</v>
      </c>
      <c r="F91" s="82" t="s">
        <v>25</v>
      </c>
      <c r="G91" s="82"/>
      <c r="H91" s="82"/>
      <c r="I91" s="82"/>
      <c r="J91" s="82"/>
      <c r="K91" s="146">
        <v>3281.57</v>
      </c>
      <c r="L91" s="79">
        <f>'[2]통장내역(환율표)'!$D$246</f>
        <v>7.3190999922785887</v>
      </c>
      <c r="M91" s="182">
        <f t="shared" si="9"/>
        <v>448.35703890668924</v>
      </c>
      <c r="N91" s="153">
        <f t="shared" si="11"/>
        <v>154988.58000000025</v>
      </c>
      <c r="O91" s="153">
        <f t="shared" si="12"/>
        <v>21179.537894042875</v>
      </c>
      <c r="P91" s="140" t="s">
        <v>116</v>
      </c>
      <c r="Q91" s="92"/>
      <c r="R91" s="92" t="s">
        <v>157</v>
      </c>
      <c r="S91" s="129">
        <f t="shared" si="10"/>
        <v>21179.536831789908</v>
      </c>
    </row>
    <row r="92" spans="2:19" ht="11.25" customHeight="1">
      <c r="B92" s="81">
        <v>45680</v>
      </c>
      <c r="C92" s="178" t="s">
        <v>73</v>
      </c>
      <c r="D92" s="148"/>
      <c r="E92" s="145">
        <v>48</v>
      </c>
      <c r="F92" s="82" t="s">
        <v>25</v>
      </c>
      <c r="G92" s="82"/>
      <c r="H92" s="82"/>
      <c r="I92" s="82"/>
      <c r="J92" s="82"/>
      <c r="K92" s="146">
        <v>300</v>
      </c>
      <c r="L92" s="79">
        <f>'[2]통장내역(환율표)'!$D$246</f>
        <v>7.3190999922785887</v>
      </c>
      <c r="M92" s="182">
        <f t="shared" si="9"/>
        <v>40.988646188259516</v>
      </c>
      <c r="N92" s="153">
        <f t="shared" si="11"/>
        <v>154688.58000000025</v>
      </c>
      <c r="O92" s="153">
        <f t="shared" si="12"/>
        <v>21138.549247854615</v>
      </c>
      <c r="P92" s="140" t="s">
        <v>116</v>
      </c>
      <c r="Q92" s="92"/>
      <c r="R92" s="92" t="s">
        <v>157</v>
      </c>
      <c r="S92" s="129">
        <f t="shared" si="10"/>
        <v>21138.548185601649</v>
      </c>
    </row>
    <row r="93" spans="2:19" ht="11.25" customHeight="1">
      <c r="B93" s="81">
        <v>45680</v>
      </c>
      <c r="C93" s="178" t="s">
        <v>77</v>
      </c>
      <c r="D93" s="148"/>
      <c r="E93" s="145">
        <v>48</v>
      </c>
      <c r="F93" s="82" t="s">
        <v>25</v>
      </c>
      <c r="G93" s="82"/>
      <c r="H93" s="82"/>
      <c r="I93" s="82"/>
      <c r="J93" s="82"/>
      <c r="K93" s="146">
        <v>200</v>
      </c>
      <c r="L93" s="79">
        <f>'[2]통장내역(환율표)'!$D$246</f>
        <v>7.3190999922785887</v>
      </c>
      <c r="M93" s="182">
        <f t="shared" si="9"/>
        <v>27.325764125506343</v>
      </c>
      <c r="N93" s="153">
        <f t="shared" si="11"/>
        <v>154488.58000000025</v>
      </c>
      <c r="O93" s="153">
        <f t="shared" si="12"/>
        <v>21111.223483729107</v>
      </c>
      <c r="P93" s="140" t="s">
        <v>116</v>
      </c>
      <c r="Q93" s="92"/>
      <c r="R93" s="92" t="s">
        <v>157</v>
      </c>
      <c r="S93" s="129">
        <f t="shared" si="10"/>
        <v>21111.222421476141</v>
      </c>
    </row>
    <row r="94" spans="2:19" ht="11.25" customHeight="1">
      <c r="B94" s="81">
        <v>45680</v>
      </c>
      <c r="C94" s="178" t="s">
        <v>72</v>
      </c>
      <c r="D94" s="148"/>
      <c r="E94" s="145">
        <v>48</v>
      </c>
      <c r="F94" s="82" t="s">
        <v>25</v>
      </c>
      <c r="G94" s="82"/>
      <c r="H94" s="82"/>
      <c r="I94" s="82"/>
      <c r="J94" s="82"/>
      <c r="K94" s="146">
        <v>25750</v>
      </c>
      <c r="L94" s="79">
        <f>'[2]통장내역(환율표)'!$D$246</f>
        <v>7.3190999922785887</v>
      </c>
      <c r="M94" s="182">
        <f t="shared" si="9"/>
        <v>3518.1921311589413</v>
      </c>
      <c r="N94" s="153">
        <f t="shared" si="11"/>
        <v>128738.58000000025</v>
      </c>
      <c r="O94" s="153">
        <f t="shared" si="12"/>
        <v>17593.031352570164</v>
      </c>
      <c r="P94" s="140" t="s">
        <v>116</v>
      </c>
      <c r="Q94" s="92"/>
      <c r="R94" s="92" t="s">
        <v>74</v>
      </c>
      <c r="S94" s="129">
        <f t="shared" si="10"/>
        <v>17593.030290317198</v>
      </c>
    </row>
    <row r="95" spans="2:19" ht="11.25" customHeight="1">
      <c r="B95" s="81">
        <v>45680</v>
      </c>
      <c r="C95" s="178" t="s">
        <v>114</v>
      </c>
      <c r="D95" s="148"/>
      <c r="E95" s="145">
        <v>48</v>
      </c>
      <c r="F95" s="82" t="s">
        <v>25</v>
      </c>
      <c r="G95" s="82"/>
      <c r="H95" s="82"/>
      <c r="I95" s="82"/>
      <c r="J95" s="82"/>
      <c r="K95" s="146">
        <v>12500</v>
      </c>
      <c r="L95" s="79">
        <f>'[2]통장내역(환율표)'!$D$246</f>
        <v>7.3190999922785887</v>
      </c>
      <c r="M95" s="182">
        <f t="shared" ref="M95:M103" si="13">K95/L95</f>
        <v>1707.8602578441464</v>
      </c>
      <c r="N95" s="153">
        <f t="shared" si="11"/>
        <v>116238.58000000025</v>
      </c>
      <c r="O95" s="153">
        <f t="shared" si="12"/>
        <v>15885.171094726018</v>
      </c>
      <c r="P95" s="140" t="s">
        <v>116</v>
      </c>
      <c r="Q95" s="92"/>
      <c r="R95" s="92" t="s">
        <v>74</v>
      </c>
      <c r="S95" s="129">
        <f t="shared" si="10"/>
        <v>15885.170032473052</v>
      </c>
    </row>
    <row r="96" spans="2:19" ht="11.25" customHeight="1">
      <c r="B96" s="81">
        <v>45680</v>
      </c>
      <c r="C96" s="178" t="s">
        <v>76</v>
      </c>
      <c r="D96" s="148"/>
      <c r="E96" s="145">
        <v>48</v>
      </c>
      <c r="F96" s="82" t="s">
        <v>25</v>
      </c>
      <c r="G96" s="82"/>
      <c r="H96" s="82"/>
      <c r="I96" s="82"/>
      <c r="J96" s="82"/>
      <c r="K96" s="146">
        <v>7431.44</v>
      </c>
      <c r="L96" s="79">
        <f>'[2]통장내역(환율표)'!$D$246</f>
        <v>7.3190999922785887</v>
      </c>
      <c r="M96" s="182">
        <f t="shared" si="13"/>
        <v>1015.3488827642642</v>
      </c>
      <c r="N96" s="153">
        <f t="shared" si="11"/>
        <v>108807.14000000025</v>
      </c>
      <c r="O96" s="153">
        <f t="shared" si="12"/>
        <v>14869.822211961753</v>
      </c>
      <c r="P96" s="140" t="s">
        <v>116</v>
      </c>
      <c r="Q96" s="92"/>
      <c r="R96" s="92" t="s">
        <v>74</v>
      </c>
      <c r="S96" s="129">
        <f t="shared" si="10"/>
        <v>14869.821149708787</v>
      </c>
    </row>
    <row r="97" spans="2:19" ht="11.25" customHeight="1">
      <c r="B97" s="81">
        <v>45680</v>
      </c>
      <c r="C97" s="178" t="s">
        <v>73</v>
      </c>
      <c r="D97" s="148"/>
      <c r="E97" s="145">
        <v>48</v>
      </c>
      <c r="F97" s="82" t="s">
        <v>25</v>
      </c>
      <c r="G97" s="82"/>
      <c r="H97" s="82"/>
      <c r="I97" s="82"/>
      <c r="J97" s="82"/>
      <c r="K97" s="146">
        <v>300</v>
      </c>
      <c r="L97" s="79">
        <f>'[2]통장내역(환율표)'!$D$246</f>
        <v>7.3190999922785887</v>
      </c>
      <c r="M97" s="182">
        <f t="shared" si="13"/>
        <v>40.988646188259516</v>
      </c>
      <c r="N97" s="153">
        <f t="shared" si="11"/>
        <v>108507.14000000025</v>
      </c>
      <c r="O97" s="153">
        <f t="shared" si="12"/>
        <v>14828.833565773493</v>
      </c>
      <c r="P97" s="140" t="s">
        <v>116</v>
      </c>
      <c r="Q97" s="92"/>
      <c r="R97" s="92" t="s">
        <v>74</v>
      </c>
      <c r="S97" s="129">
        <f t="shared" ref="S97:S103" si="14">S96-M97</f>
        <v>14828.832503520527</v>
      </c>
    </row>
    <row r="98" spans="2:19" ht="11.25" customHeight="1">
      <c r="B98" s="81">
        <v>45680</v>
      </c>
      <c r="C98" s="178" t="s">
        <v>72</v>
      </c>
      <c r="D98" s="148"/>
      <c r="E98" s="145">
        <v>48</v>
      </c>
      <c r="F98" s="82" t="s">
        <v>25</v>
      </c>
      <c r="G98" s="82"/>
      <c r="H98" s="82"/>
      <c r="I98" s="82"/>
      <c r="J98" s="82"/>
      <c r="K98" s="146">
        <v>21300</v>
      </c>
      <c r="L98" s="79">
        <f>'[2]통장내역(환율표)'!$D$246</f>
        <v>7.3190999922785887</v>
      </c>
      <c r="M98" s="182">
        <f t="shared" si="13"/>
        <v>2910.1938793664253</v>
      </c>
      <c r="N98" s="153">
        <f t="shared" si="11"/>
        <v>87207.140000000247</v>
      </c>
      <c r="O98" s="153">
        <f t="shared" si="12"/>
        <v>11918.639686407068</v>
      </c>
      <c r="P98" s="140" t="s">
        <v>116</v>
      </c>
      <c r="Q98" s="92"/>
      <c r="R98" s="92" t="s">
        <v>152</v>
      </c>
      <c r="S98" s="129">
        <f t="shared" si="14"/>
        <v>11918.638624154102</v>
      </c>
    </row>
    <row r="99" spans="2:19" ht="11.25" customHeight="1">
      <c r="B99" s="81">
        <v>45680</v>
      </c>
      <c r="C99" s="178" t="s">
        <v>114</v>
      </c>
      <c r="D99" s="148"/>
      <c r="E99" s="145">
        <v>48</v>
      </c>
      <c r="F99" s="82" t="s">
        <v>25</v>
      </c>
      <c r="G99" s="82"/>
      <c r="H99" s="82"/>
      <c r="I99" s="82"/>
      <c r="J99" s="82"/>
      <c r="K99" s="146">
        <v>2500</v>
      </c>
      <c r="L99" s="79">
        <f>'[2]통장내역(환율표)'!$D$246</f>
        <v>7.3190999922785887</v>
      </c>
      <c r="M99" s="182">
        <f t="shared" si="13"/>
        <v>341.57205156882929</v>
      </c>
      <c r="N99" s="153">
        <f t="shared" si="11"/>
        <v>84707.140000000247</v>
      </c>
      <c r="O99" s="153">
        <f t="shared" si="12"/>
        <v>11577.067634838239</v>
      </c>
      <c r="P99" s="140" t="s">
        <v>116</v>
      </c>
      <c r="Q99" s="92"/>
      <c r="R99" s="92" t="s">
        <v>152</v>
      </c>
      <c r="S99" s="129">
        <f t="shared" si="14"/>
        <v>11577.066572585272</v>
      </c>
    </row>
    <row r="100" spans="2:19" ht="11.25" customHeight="1">
      <c r="B100" s="81">
        <v>45680</v>
      </c>
      <c r="C100" s="178" t="s">
        <v>76</v>
      </c>
      <c r="D100" s="148"/>
      <c r="E100" s="145">
        <v>48</v>
      </c>
      <c r="F100" s="82" t="s">
        <v>25</v>
      </c>
      <c r="G100" s="82"/>
      <c r="H100" s="82"/>
      <c r="I100" s="82"/>
      <c r="J100" s="82"/>
      <c r="K100" s="146">
        <v>5941.29</v>
      </c>
      <c r="L100" s="79">
        <f>'[2]통장내역(환율표)'!$D$246</f>
        <v>7.3190999922785887</v>
      </c>
      <c r="M100" s="182">
        <f t="shared" si="13"/>
        <v>811.75144570614782</v>
      </c>
      <c r="N100" s="153">
        <f t="shared" si="11"/>
        <v>78765.850000000253</v>
      </c>
      <c r="O100" s="153">
        <f t="shared" si="12"/>
        <v>10765.316189132091</v>
      </c>
      <c r="P100" s="140" t="s">
        <v>116</v>
      </c>
      <c r="Q100" s="92"/>
      <c r="R100" s="92" t="s">
        <v>152</v>
      </c>
      <c r="S100" s="129">
        <f t="shared" si="14"/>
        <v>10765.315126879124</v>
      </c>
    </row>
    <row r="101" spans="2:19" ht="11.25" customHeight="1">
      <c r="B101" s="81">
        <v>45680</v>
      </c>
      <c r="C101" s="178" t="s">
        <v>73</v>
      </c>
      <c r="D101" s="148"/>
      <c r="E101" s="145">
        <v>48</v>
      </c>
      <c r="F101" s="82" t="s">
        <v>25</v>
      </c>
      <c r="G101" s="82"/>
      <c r="H101" s="82"/>
      <c r="I101" s="82"/>
      <c r="J101" s="82"/>
      <c r="K101" s="146">
        <v>300</v>
      </c>
      <c r="L101" s="79">
        <f>'[2]통장내역(환율표)'!$D$246</f>
        <v>7.3190999922785887</v>
      </c>
      <c r="M101" s="182">
        <f t="shared" si="13"/>
        <v>40.988646188259516</v>
      </c>
      <c r="N101" s="153">
        <f t="shared" si="11"/>
        <v>78465.850000000253</v>
      </c>
      <c r="O101" s="153">
        <f t="shared" si="12"/>
        <v>10724.327542943831</v>
      </c>
      <c r="P101" s="140" t="s">
        <v>116</v>
      </c>
      <c r="Q101" s="92"/>
      <c r="R101" s="92" t="s">
        <v>152</v>
      </c>
      <c r="S101" s="129">
        <f t="shared" si="14"/>
        <v>10724.326480690865</v>
      </c>
    </row>
    <row r="102" spans="2:19" ht="11.25" customHeight="1">
      <c r="B102" s="81">
        <v>45680</v>
      </c>
      <c r="C102" s="178" t="s">
        <v>77</v>
      </c>
      <c r="D102" s="148"/>
      <c r="E102" s="145">
        <v>48</v>
      </c>
      <c r="F102" s="82" t="s">
        <v>25</v>
      </c>
      <c r="G102" s="82"/>
      <c r="H102" s="82"/>
      <c r="I102" s="82"/>
      <c r="J102" s="82"/>
      <c r="K102" s="146">
        <v>600</v>
      </c>
      <c r="L102" s="79">
        <f>'[2]통장내역(환율표)'!$D$246</f>
        <v>7.3190999922785887</v>
      </c>
      <c r="M102" s="182">
        <f t="shared" si="13"/>
        <v>81.977292376519031</v>
      </c>
      <c r="N102" s="153">
        <f t="shared" si="11"/>
        <v>77865.850000000253</v>
      </c>
      <c r="O102" s="153">
        <f t="shared" si="12"/>
        <v>10642.350250567311</v>
      </c>
      <c r="P102" s="140" t="s">
        <v>116</v>
      </c>
      <c r="Q102" s="92"/>
      <c r="R102" s="92" t="s">
        <v>152</v>
      </c>
      <c r="S102" s="129">
        <f t="shared" si="14"/>
        <v>10642.349188314345</v>
      </c>
    </row>
    <row r="103" spans="2:19" ht="11.25" customHeight="1">
      <c r="B103" s="81">
        <v>45680</v>
      </c>
      <c r="C103" s="144" t="s">
        <v>41</v>
      </c>
      <c r="D103" s="148"/>
      <c r="E103" s="145">
        <v>49</v>
      </c>
      <c r="F103" s="82" t="s">
        <v>25</v>
      </c>
      <c r="G103" s="82"/>
      <c r="H103" s="82"/>
      <c r="I103" s="82"/>
      <c r="J103" s="82"/>
      <c r="K103" s="146">
        <v>12</v>
      </c>
      <c r="L103" s="79">
        <f>'[2]통장내역(환율표)'!$D$246</f>
        <v>7.3190999922785887</v>
      </c>
      <c r="M103" s="182">
        <f t="shared" si="13"/>
        <v>1.6395458475303806</v>
      </c>
      <c r="N103" s="153">
        <f t="shared" si="11"/>
        <v>77853.850000000253</v>
      </c>
      <c r="O103" s="153">
        <f t="shared" si="12"/>
        <v>10640.710704719781</v>
      </c>
      <c r="P103" s="140" t="s">
        <v>116</v>
      </c>
      <c r="Q103" s="92"/>
      <c r="R103" s="92"/>
      <c r="S103" s="129">
        <f t="shared" si="14"/>
        <v>10640.709642466814</v>
      </c>
    </row>
    <row r="104" spans="2:19" ht="11.25" customHeight="1">
      <c r="B104" s="227">
        <v>45682</v>
      </c>
      <c r="C104" s="228" t="s">
        <v>63</v>
      </c>
      <c r="D104" s="229"/>
      <c r="E104" s="230">
        <v>50</v>
      </c>
      <c r="F104" s="231" t="s">
        <v>25</v>
      </c>
      <c r="G104" s="231"/>
      <c r="H104" s="231">
        <v>56133.42</v>
      </c>
      <c r="I104" s="231"/>
      <c r="J104" s="238">
        <v>7802</v>
      </c>
      <c r="K104" s="232"/>
      <c r="L104" s="233"/>
      <c r="M104" s="234"/>
      <c r="N104" s="234">
        <f t="shared" si="11"/>
        <v>133987.27000000025</v>
      </c>
      <c r="O104" s="234">
        <f t="shared" si="12"/>
        <v>18442.710704719779</v>
      </c>
      <c r="P104" s="235" t="s">
        <v>166</v>
      </c>
      <c r="Q104" s="236"/>
      <c r="R104" s="236"/>
      <c r="S104" s="129"/>
    </row>
    <row r="105" spans="2:19" ht="11.25" customHeight="1">
      <c r="B105" s="227">
        <v>45682</v>
      </c>
      <c r="C105" s="228" t="s">
        <v>63</v>
      </c>
      <c r="D105" s="229"/>
      <c r="E105" s="230">
        <v>50</v>
      </c>
      <c r="F105" s="231" t="s">
        <v>25</v>
      </c>
      <c r="G105" s="231"/>
      <c r="H105" s="231"/>
      <c r="I105" s="231"/>
      <c r="J105" s="231"/>
      <c r="K105" s="232"/>
      <c r="L105" s="233"/>
      <c r="M105" s="234">
        <v>36</v>
      </c>
      <c r="N105" s="234">
        <f t="shared" si="11"/>
        <v>133987.27000000025</v>
      </c>
      <c r="O105" s="234">
        <f t="shared" si="12"/>
        <v>18406.710704719779</v>
      </c>
      <c r="P105" s="235" t="s">
        <v>166</v>
      </c>
      <c r="Q105" s="236"/>
      <c r="R105" s="236"/>
      <c r="S105" s="129"/>
    </row>
  </sheetData>
  <autoFilter ref="B18:R105" xr:uid="{00000000-0009-0000-0000-000001000000}">
    <filterColumn colId="14" showButton="0"/>
    <sortState xmlns:xlrd2="http://schemas.microsoft.com/office/spreadsheetml/2017/richdata2" ref="B20:R21">
      <sortCondition sortBy="cellColor" ref="M18:M20" dxfId="7"/>
    </sortState>
  </autoFilter>
  <mergeCells count="5">
    <mergeCell ref="H17:J17"/>
    <mergeCell ref="K17:M17"/>
    <mergeCell ref="N17:O17"/>
    <mergeCell ref="P17:Q17"/>
    <mergeCell ref="P18:Q18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FC7C-2793-4454-B1D6-E1650947FDFB}">
  <sheetPr>
    <tabColor rgb="FFFFC000"/>
  </sheetPr>
  <dimension ref="A1:AC97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25" customWidth="1"/>
    <col min="4" max="4" width="9.75" style="25" customWidth="1"/>
    <col min="5" max="5" width="12.125" style="25" customWidth="1"/>
    <col min="6" max="6" width="11.125" style="25" customWidth="1"/>
    <col min="7" max="7" width="9.875" style="37" customWidth="1"/>
    <col min="8" max="8" width="9.75" style="25" customWidth="1"/>
    <col min="9" max="9" width="9.875" style="25" customWidth="1"/>
    <col min="10" max="10" width="10.5" style="37" customWidth="1"/>
    <col min="11" max="11" width="11" style="37" customWidth="1"/>
    <col min="12" max="12" width="11.125" style="25" customWidth="1"/>
    <col min="13" max="13" width="9.75" style="25" customWidth="1"/>
    <col min="14" max="14" width="12.375" style="25" customWidth="1"/>
    <col min="15" max="15" width="9.875" style="25" customWidth="1"/>
    <col min="16" max="16" width="10.75" style="25" customWidth="1"/>
    <col min="17" max="17" width="9.625" style="25" customWidth="1"/>
    <col min="18" max="18" width="31.5" style="37" customWidth="1"/>
    <col min="19" max="19" width="10.5" style="39" bestFit="1" customWidth="1"/>
    <col min="20" max="20" width="9" style="25"/>
    <col min="21" max="21" width="9" style="83"/>
    <col min="22" max="16384" width="9" style="25"/>
  </cols>
  <sheetData>
    <row r="1" spans="1:29" ht="4.5" customHeight="1">
      <c r="A1" s="14"/>
      <c r="B1" s="15"/>
      <c r="C1" s="16"/>
      <c r="D1" s="16"/>
      <c r="E1" s="17"/>
      <c r="F1" s="17"/>
      <c r="G1" s="18"/>
      <c r="H1" s="17"/>
      <c r="I1" s="17"/>
      <c r="J1" s="19"/>
      <c r="K1" s="19"/>
      <c r="L1" s="20"/>
      <c r="M1" s="21"/>
      <c r="N1" s="21"/>
      <c r="O1" s="16"/>
      <c r="P1" s="22"/>
      <c r="Q1" s="22"/>
      <c r="R1" s="23"/>
      <c r="S1" s="24"/>
    </row>
    <row r="2" spans="1:29" ht="15" customHeight="1">
      <c r="B2" s="254" t="s">
        <v>178</v>
      </c>
      <c r="C2" s="61"/>
      <c r="D2" s="61"/>
      <c r="F2" s="205"/>
      <c r="G2" s="37" t="s">
        <v>89</v>
      </c>
      <c r="H2" s="206" t="s">
        <v>154</v>
      </c>
      <c r="I2" s="64"/>
      <c r="J2" s="64"/>
      <c r="K2" s="65"/>
      <c r="L2" s="64"/>
      <c r="M2" s="64"/>
      <c r="N2" s="112"/>
      <c r="O2" s="207"/>
      <c r="Q2" s="208"/>
    </row>
    <row r="3" spans="1:29" s="31" customFormat="1" ht="11.25" customHeight="1">
      <c r="A3" s="26"/>
      <c r="B3" s="27" t="s">
        <v>153</v>
      </c>
      <c r="C3" s="28"/>
      <c r="D3" s="28"/>
      <c r="E3" s="28"/>
      <c r="F3" s="184">
        <v>1458.2</v>
      </c>
      <c r="G3" s="30"/>
      <c r="H3" s="27" t="s">
        <v>168</v>
      </c>
      <c r="I3" s="28"/>
      <c r="K3" s="29"/>
      <c r="L3" s="184">
        <v>1434.3</v>
      </c>
      <c r="N3" s="27" t="s">
        <v>177</v>
      </c>
      <c r="O3" s="28"/>
      <c r="Q3" s="29"/>
      <c r="R3" s="184">
        <v>1447.4</v>
      </c>
      <c r="T3" s="27"/>
      <c r="U3" s="28"/>
      <c r="V3" s="29"/>
      <c r="W3" s="29"/>
      <c r="X3" s="107">
        <v>1327.2</v>
      </c>
    </row>
    <row r="4" spans="1:29" ht="11.25" customHeight="1">
      <c r="A4" s="14"/>
      <c r="B4" s="32" t="s">
        <v>0</v>
      </c>
      <c r="C4" s="33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32" t="s">
        <v>0</v>
      </c>
      <c r="O4" s="33" t="s">
        <v>1</v>
      </c>
      <c r="P4" s="34" t="s">
        <v>90</v>
      </c>
      <c r="Q4" s="38" t="s">
        <v>91</v>
      </c>
      <c r="R4" s="36" t="s">
        <v>92</v>
      </c>
      <c r="U4" s="25"/>
    </row>
    <row r="5" spans="1:29" ht="11.25" customHeight="1">
      <c r="A5" s="39">
        <v>51131050</v>
      </c>
      <c r="B5" s="40" t="s">
        <v>93</v>
      </c>
      <c r="C5" s="41" t="s">
        <v>3</v>
      </c>
      <c r="D5" s="47">
        <v>13162.8</v>
      </c>
      <c r="E5" s="43">
        <v>1798.42</v>
      </c>
      <c r="F5" s="44">
        <f>ROUND(E5*$F$3,0)</f>
        <v>2622456</v>
      </c>
      <c r="G5" s="45"/>
      <c r="H5" s="46" t="s">
        <v>2</v>
      </c>
      <c r="I5" s="46" t="s">
        <v>3</v>
      </c>
      <c r="J5" s="103">
        <v>3415.36</v>
      </c>
      <c r="K5" s="103">
        <v>472.51</v>
      </c>
      <c r="L5" s="93">
        <f>ROUND(K5*$L$3,0)</f>
        <v>677721</v>
      </c>
      <c r="M5" s="130">
        <f>L5+F5</f>
        <v>3300177</v>
      </c>
      <c r="N5" s="46" t="s">
        <v>2</v>
      </c>
      <c r="O5" s="46" t="s">
        <v>3</v>
      </c>
      <c r="P5" s="103"/>
      <c r="Q5" s="103"/>
      <c r="R5" s="93">
        <f t="shared" ref="R5:R12" si="0">ROUND(Q5*$R$3,0)</f>
        <v>0</v>
      </c>
      <c r="S5" s="237">
        <f>F5+L5+R5</f>
        <v>3300177</v>
      </c>
      <c r="U5" s="25"/>
    </row>
    <row r="6" spans="1:29" ht="11.25" customHeight="1">
      <c r="A6" s="39">
        <v>51061030</v>
      </c>
      <c r="B6" s="40" t="s">
        <v>94</v>
      </c>
      <c r="C6" s="41" t="s">
        <v>95</v>
      </c>
      <c r="D6" s="47">
        <v>7210.07</v>
      </c>
      <c r="E6" s="47">
        <v>985.1</v>
      </c>
      <c r="F6" s="44">
        <f t="shared" ref="F6:F12" si="1">ROUND(E6*$F$3,0)</f>
        <v>1436473</v>
      </c>
      <c r="G6" s="48"/>
      <c r="H6" s="46" t="s">
        <v>4</v>
      </c>
      <c r="I6" s="46" t="s">
        <v>5</v>
      </c>
      <c r="J6" s="103">
        <v>7124.78</v>
      </c>
      <c r="K6" s="103">
        <v>985.71</v>
      </c>
      <c r="L6" s="93">
        <f t="shared" ref="L6:L12" si="2">ROUND(K6*$L$3,0)</f>
        <v>1413804</v>
      </c>
      <c r="M6" s="130">
        <f t="shared" ref="M6:M13" si="3">L6+F6</f>
        <v>2850277</v>
      </c>
      <c r="N6" s="46" t="s">
        <v>4</v>
      </c>
      <c r="O6" s="46" t="s">
        <v>5</v>
      </c>
      <c r="P6" s="103"/>
      <c r="Q6" s="103"/>
      <c r="R6" s="93">
        <f t="shared" si="0"/>
        <v>0</v>
      </c>
      <c r="S6" s="237">
        <f t="shared" ref="S6:S12" si="4">F6+L6+R6</f>
        <v>2850277</v>
      </c>
      <c r="U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24224</v>
      </c>
      <c r="E7" s="47">
        <v>3309.7</v>
      </c>
      <c r="F7" s="44">
        <f t="shared" si="1"/>
        <v>4826205</v>
      </c>
      <c r="G7" s="49"/>
      <c r="H7" s="46" t="s">
        <v>6</v>
      </c>
      <c r="I7" s="46" t="s">
        <v>96</v>
      </c>
      <c r="J7" s="104"/>
      <c r="K7" s="104"/>
      <c r="L7" s="93">
        <f t="shared" si="2"/>
        <v>0</v>
      </c>
      <c r="M7" s="130">
        <f t="shared" si="3"/>
        <v>4826205</v>
      </c>
      <c r="N7" s="46" t="s">
        <v>6</v>
      </c>
      <c r="O7" s="46" t="s">
        <v>96</v>
      </c>
      <c r="P7" s="104"/>
      <c r="Q7" s="104"/>
      <c r="R7" s="93">
        <f t="shared" si="0"/>
        <v>0</v>
      </c>
      <c r="S7" s="237">
        <f t="shared" si="4"/>
        <v>4826205</v>
      </c>
      <c r="U7" s="25"/>
    </row>
    <row r="8" spans="1:29" ht="15" customHeight="1">
      <c r="A8" s="39">
        <v>51201030</v>
      </c>
      <c r="B8" s="40" t="s">
        <v>97</v>
      </c>
      <c r="C8" s="41" t="s">
        <v>7</v>
      </c>
      <c r="D8" s="47">
        <v>17500</v>
      </c>
      <c r="E8" s="47">
        <v>2391</v>
      </c>
      <c r="F8" s="44">
        <f t="shared" si="1"/>
        <v>3486556</v>
      </c>
      <c r="G8" s="49"/>
      <c r="H8" s="46" t="s">
        <v>6</v>
      </c>
      <c r="I8" s="41" t="s">
        <v>7</v>
      </c>
      <c r="J8" s="104"/>
      <c r="K8" s="104"/>
      <c r="L8" s="93">
        <f t="shared" si="2"/>
        <v>0</v>
      </c>
      <c r="M8" s="130">
        <f t="shared" si="3"/>
        <v>3486556</v>
      </c>
      <c r="N8" s="46" t="s">
        <v>6</v>
      </c>
      <c r="O8" s="260" t="s">
        <v>7</v>
      </c>
      <c r="P8" s="104"/>
      <c r="Q8" s="104"/>
      <c r="R8" s="261">
        <f t="shared" si="0"/>
        <v>0</v>
      </c>
      <c r="S8" s="237">
        <f t="shared" si="4"/>
        <v>3486556</v>
      </c>
      <c r="U8" s="25"/>
    </row>
    <row r="9" spans="1:29" ht="11.25" customHeight="1">
      <c r="A9" s="39">
        <v>51071700</v>
      </c>
      <c r="B9" s="40" t="s">
        <v>8</v>
      </c>
      <c r="C9" s="41" t="s">
        <v>9</v>
      </c>
      <c r="D9" s="47">
        <v>1155.8000000000002</v>
      </c>
      <c r="E9" s="47">
        <v>157.91999999999999</v>
      </c>
      <c r="F9" s="44">
        <f t="shared" si="1"/>
        <v>230279</v>
      </c>
      <c r="G9" s="50"/>
      <c r="H9" s="46" t="s">
        <v>8</v>
      </c>
      <c r="I9" s="41" t="s">
        <v>9</v>
      </c>
      <c r="J9" s="103">
        <v>93.06</v>
      </c>
      <c r="K9" s="103">
        <v>12.87</v>
      </c>
      <c r="L9" s="93">
        <f t="shared" si="2"/>
        <v>18459</v>
      </c>
      <c r="M9" s="130">
        <f t="shared" si="3"/>
        <v>248738</v>
      </c>
      <c r="N9" s="46" t="s">
        <v>8</v>
      </c>
      <c r="O9" s="260" t="s">
        <v>9</v>
      </c>
      <c r="P9" s="103"/>
      <c r="Q9" s="103"/>
      <c r="R9" s="261">
        <f t="shared" si="0"/>
        <v>0</v>
      </c>
      <c r="S9" s="237">
        <f t="shared" si="4"/>
        <v>248738</v>
      </c>
      <c r="U9" s="25"/>
    </row>
    <row r="10" spans="1:29" ht="11.25" customHeight="1">
      <c r="A10" s="39">
        <v>51321010</v>
      </c>
      <c r="B10" s="40" t="s">
        <v>10</v>
      </c>
      <c r="C10" s="41"/>
      <c r="D10" s="47">
        <v>14627.750000000002</v>
      </c>
      <c r="E10" s="47">
        <v>1998.57</v>
      </c>
      <c r="F10" s="44">
        <f t="shared" si="1"/>
        <v>2914315</v>
      </c>
      <c r="G10" s="51"/>
      <c r="H10" s="46" t="s">
        <v>10</v>
      </c>
      <c r="I10" s="46"/>
      <c r="J10" s="103">
        <v>45500.22</v>
      </c>
      <c r="K10" s="103">
        <v>6294.91</v>
      </c>
      <c r="L10" s="93">
        <f t="shared" si="2"/>
        <v>9028789</v>
      </c>
      <c r="M10" s="130">
        <f t="shared" si="3"/>
        <v>11943104</v>
      </c>
      <c r="N10" s="46" t="s">
        <v>10</v>
      </c>
      <c r="O10" s="262"/>
      <c r="P10" s="103">
        <v>167290.76</v>
      </c>
      <c r="Q10" s="103">
        <v>22984.82</v>
      </c>
      <c r="R10" s="261">
        <f t="shared" si="0"/>
        <v>33268228</v>
      </c>
      <c r="S10" s="237">
        <f t="shared" si="4"/>
        <v>45211332</v>
      </c>
      <c r="U10" s="25"/>
      <c r="AB10" s="64"/>
      <c r="AC10" s="37"/>
    </row>
    <row r="11" spans="1:29" ht="11.25" customHeight="1">
      <c r="A11" s="39">
        <v>51031020</v>
      </c>
      <c r="B11" s="52" t="s">
        <v>98</v>
      </c>
      <c r="C11" s="52" t="s">
        <v>99</v>
      </c>
      <c r="D11" s="52"/>
      <c r="E11" s="53"/>
      <c r="F11" s="54">
        <f t="shared" si="1"/>
        <v>0</v>
      </c>
      <c r="G11" s="55">
        <f>G13/G12</f>
        <v>1450.1752261687823</v>
      </c>
      <c r="H11" s="52" t="s">
        <v>98</v>
      </c>
      <c r="I11" s="52" t="s">
        <v>130</v>
      </c>
      <c r="J11" s="56"/>
      <c r="K11" s="120"/>
      <c r="L11" s="119">
        <f t="shared" si="2"/>
        <v>0</v>
      </c>
      <c r="M11" s="130">
        <f t="shared" si="3"/>
        <v>0</v>
      </c>
      <c r="N11" s="52" t="s">
        <v>98</v>
      </c>
      <c r="O11" s="263" t="s">
        <v>130</v>
      </c>
      <c r="P11" s="264">
        <v>56779</v>
      </c>
      <c r="Q11" s="264">
        <v>7783.81</v>
      </c>
      <c r="R11" s="265">
        <f t="shared" si="0"/>
        <v>11266287</v>
      </c>
      <c r="S11" s="237">
        <f t="shared" si="4"/>
        <v>11266287</v>
      </c>
      <c r="U11" s="25"/>
      <c r="AB11" s="64"/>
      <c r="AC11" s="37"/>
    </row>
    <row r="12" spans="1:29" ht="11.25" customHeight="1">
      <c r="A12" s="39">
        <v>52981010</v>
      </c>
      <c r="B12" s="46" t="s">
        <v>100</v>
      </c>
      <c r="C12" s="46" t="s">
        <v>101</v>
      </c>
      <c r="D12" s="151"/>
      <c r="E12" s="47"/>
      <c r="F12" s="44">
        <f t="shared" si="1"/>
        <v>0</v>
      </c>
      <c r="G12" s="57">
        <f>E13+Q13+AB13</f>
        <v>41409.339999999997</v>
      </c>
      <c r="H12" s="46" t="s">
        <v>100</v>
      </c>
      <c r="I12" s="46" t="s">
        <v>101</v>
      </c>
      <c r="J12" s="42"/>
      <c r="K12" s="47"/>
      <c r="L12" s="93">
        <f t="shared" si="2"/>
        <v>0</v>
      </c>
      <c r="M12" s="130">
        <f t="shared" si="3"/>
        <v>0</v>
      </c>
      <c r="N12" s="46" t="s">
        <v>100</v>
      </c>
      <c r="O12" s="262" t="s">
        <v>101</v>
      </c>
      <c r="P12" s="266"/>
      <c r="Q12" s="103"/>
      <c r="R12" s="261">
        <f t="shared" si="0"/>
        <v>0</v>
      </c>
      <c r="S12" s="237">
        <f t="shared" si="4"/>
        <v>0</v>
      </c>
      <c r="U12" s="25"/>
      <c r="AB12" s="64"/>
      <c r="AC12" s="37"/>
    </row>
    <row r="13" spans="1:29" s="37" customFormat="1" ht="11.25" customHeight="1">
      <c r="A13" s="124"/>
      <c r="B13" s="125" t="s">
        <v>11</v>
      </c>
      <c r="C13" s="126"/>
      <c r="D13" s="58">
        <f>SUM(D5:D11)-D12</f>
        <v>77880.42</v>
      </c>
      <c r="E13" s="58">
        <f>SUM(E5:E11)-E12</f>
        <v>10640.71</v>
      </c>
      <c r="F13" s="127">
        <f>SUM(F5:F11)-F12</f>
        <v>15516284</v>
      </c>
      <c r="G13" s="59">
        <f>F13+R13+AC13</f>
        <v>60050799</v>
      </c>
      <c r="H13" s="125" t="s">
        <v>11</v>
      </c>
      <c r="I13" s="126"/>
      <c r="J13" s="58">
        <f>SUM(J5:J11)-J12</f>
        <v>56133.42</v>
      </c>
      <c r="K13" s="58">
        <f>SUM(K5:K11)-K12</f>
        <v>7766</v>
      </c>
      <c r="L13" s="127">
        <f>SUM(L5:L11)-L12</f>
        <v>11138773</v>
      </c>
      <c r="M13" s="130">
        <f t="shared" si="3"/>
        <v>26655057</v>
      </c>
      <c r="N13" s="125" t="s">
        <v>11</v>
      </c>
      <c r="O13" s="126"/>
      <c r="P13" s="58">
        <f>SUM(P5:P11)-P12</f>
        <v>224069.76000000001</v>
      </c>
      <c r="Q13" s="58">
        <f>SUM(Q5:Q11)-Q12</f>
        <v>30768.63</v>
      </c>
      <c r="R13" s="127">
        <f>SUM(R5:R11)-R12</f>
        <v>44534515</v>
      </c>
      <c r="S13" s="237">
        <f>F13+L13+R13</f>
        <v>71189572</v>
      </c>
      <c r="U13" s="116"/>
      <c r="X13" s="113">
        <f>F13+R13</f>
        <v>60050799</v>
      </c>
      <c r="Y13" s="128"/>
      <c r="Z13" s="131"/>
      <c r="AB13" s="65"/>
    </row>
    <row r="14" spans="1:29" ht="14.25" customHeight="1">
      <c r="A14" s="14"/>
      <c r="C14" s="61"/>
      <c r="D14" s="108">
        <f>SUM(D7:D10)</f>
        <v>57507.55</v>
      </c>
      <c r="E14" s="108">
        <f>SUM(E7:E10)</f>
        <v>7857.19</v>
      </c>
      <c r="F14" s="108">
        <f>SUM(F7:F10)</f>
        <v>11457355</v>
      </c>
      <c r="G14" s="63"/>
      <c r="J14" s="154">
        <f>J13+D13+P13</f>
        <v>358083.6</v>
      </c>
      <c r="K14" s="154">
        <f>K13+E13+Q13</f>
        <v>49175.34</v>
      </c>
      <c r="L14" s="133">
        <f>L13+F13+R13</f>
        <v>71189572</v>
      </c>
      <c r="M14" s="122" t="e">
        <f>M16-E12</f>
        <v>#REF!</v>
      </c>
      <c r="O14" s="64"/>
      <c r="P14" s="113">
        <f>P13+D13+J13</f>
        <v>358083.6</v>
      </c>
      <c r="Q14" s="113">
        <f>Q13+E13+K13</f>
        <v>49175.34</v>
      </c>
      <c r="R14" s="114">
        <f>R13+F13+L13</f>
        <v>71189572</v>
      </c>
      <c r="X14" s="64"/>
      <c r="Y14" s="64"/>
      <c r="AB14" s="64"/>
      <c r="AC14" s="37"/>
    </row>
    <row r="15" spans="1:29" ht="14.25" customHeight="1">
      <c r="A15" s="14"/>
      <c r="C15" s="61"/>
      <c r="D15" s="108"/>
      <c r="E15" s="108"/>
      <c r="F15" s="108"/>
      <c r="G15" s="63"/>
      <c r="K15" s="122" t="e">
        <f>K16-H95</f>
        <v>#REF!</v>
      </c>
      <c r="L15" s="122"/>
      <c r="M15" s="122" t="e">
        <f>M16-J95</f>
        <v>#REF!</v>
      </c>
      <c r="O15" s="64"/>
      <c r="P15" s="113"/>
      <c r="Q15" s="113"/>
      <c r="R15" s="114"/>
      <c r="X15" s="64"/>
      <c r="Y15" s="64"/>
      <c r="AB15" s="64"/>
      <c r="AC15" s="37"/>
    </row>
    <row r="16" spans="1:29" ht="18.75" customHeight="1">
      <c r="A16" s="14"/>
      <c r="C16" s="61"/>
      <c r="D16" s="61"/>
      <c r="E16" s="62"/>
      <c r="F16" s="62"/>
      <c r="G16" s="63"/>
      <c r="I16" s="64"/>
      <c r="J16" s="65"/>
      <c r="K16" s="209" t="e">
        <f>SUBTOTAL(9,K19:K97)</f>
        <v>#REF!</v>
      </c>
      <c r="L16" s="210"/>
      <c r="M16" s="209" t="e">
        <f>SUBTOTAL(9,M19:M97)</f>
        <v>#REF!</v>
      </c>
      <c r="N16" s="64"/>
      <c r="Q16" s="64"/>
    </row>
    <row r="17" spans="1:29" ht="11.25" customHeight="1">
      <c r="A17" s="14"/>
      <c r="B17" s="239" t="s">
        <v>12</v>
      </c>
      <c r="C17" s="240" t="s">
        <v>13</v>
      </c>
      <c r="D17" s="240" t="s">
        <v>102</v>
      </c>
      <c r="E17" s="241" t="s">
        <v>14</v>
      </c>
      <c r="F17" s="240" t="s">
        <v>0</v>
      </c>
      <c r="G17" s="242" t="s">
        <v>1</v>
      </c>
      <c r="H17" s="634" t="s">
        <v>15</v>
      </c>
      <c r="I17" s="634"/>
      <c r="J17" s="634"/>
      <c r="K17" s="634" t="s">
        <v>16</v>
      </c>
      <c r="L17" s="634"/>
      <c r="M17" s="635"/>
      <c r="N17" s="636" t="s">
        <v>17</v>
      </c>
      <c r="O17" s="636"/>
      <c r="P17" s="637"/>
      <c r="Q17" s="637"/>
      <c r="R17" s="242" t="s">
        <v>103</v>
      </c>
    </row>
    <row r="18" spans="1:29" ht="11.25" customHeight="1">
      <c r="A18" s="14"/>
      <c r="B18" s="243" t="s">
        <v>104</v>
      </c>
      <c r="C18" s="244" t="s">
        <v>105</v>
      </c>
      <c r="D18" s="244" t="s">
        <v>106</v>
      </c>
      <c r="E18" s="245" t="s">
        <v>107</v>
      </c>
      <c r="F18" s="244" t="s">
        <v>108</v>
      </c>
      <c r="G18" s="246" t="s">
        <v>109</v>
      </c>
      <c r="H18" s="247" t="s">
        <v>110</v>
      </c>
      <c r="I18" s="247" t="s">
        <v>111</v>
      </c>
      <c r="J18" s="248" t="s">
        <v>19</v>
      </c>
      <c r="K18" s="248" t="s">
        <v>110</v>
      </c>
      <c r="L18" s="247" t="s">
        <v>111</v>
      </c>
      <c r="M18" s="247" t="s">
        <v>19</v>
      </c>
      <c r="N18" s="249" t="s">
        <v>110</v>
      </c>
      <c r="O18" s="249" t="s">
        <v>19</v>
      </c>
      <c r="P18" s="638" t="s">
        <v>18</v>
      </c>
      <c r="Q18" s="638"/>
      <c r="R18" s="246" t="s">
        <v>103</v>
      </c>
    </row>
    <row r="19" spans="1:29" ht="11.25" customHeight="1">
      <c r="B19" s="94">
        <v>45688</v>
      </c>
      <c r="C19" s="95"/>
      <c r="D19" s="95"/>
      <c r="E19" s="96"/>
      <c r="F19" s="121"/>
      <c r="G19" s="97"/>
      <c r="H19" s="98"/>
      <c r="I19" s="95"/>
      <c r="J19" s="97"/>
      <c r="K19" s="100"/>
      <c r="L19" s="99"/>
      <c r="M19" s="135"/>
      <c r="N19" s="136">
        <v>133987.27000000025</v>
      </c>
      <c r="O19" s="136">
        <v>18406.710704719779</v>
      </c>
      <c r="P19" s="137"/>
      <c r="Q19" s="96"/>
      <c r="R19" s="101"/>
      <c r="S19" s="115">
        <v>10640.709642466814</v>
      </c>
    </row>
    <row r="20" spans="1:29" s="83" customFormat="1" ht="12" customHeight="1">
      <c r="A20" s="80"/>
      <c r="B20" s="255">
        <v>45699</v>
      </c>
      <c r="C20" s="250" t="s">
        <v>62</v>
      </c>
      <c r="D20" s="250"/>
      <c r="E20" s="251">
        <v>1</v>
      </c>
      <c r="F20" s="251"/>
      <c r="G20" s="219"/>
      <c r="H20" s="220">
        <v>324926.21000000002</v>
      </c>
      <c r="I20" s="221"/>
      <c r="J20" s="220">
        <v>44595</v>
      </c>
      <c r="K20" s="222"/>
      <c r="L20" s="223"/>
      <c r="M20" s="182"/>
      <c r="N20" s="182">
        <f>N19+H20-K20</f>
        <v>458913.48000000027</v>
      </c>
      <c r="O20" s="182">
        <f>O19+J20-M20</f>
        <v>63001.710704719779</v>
      </c>
      <c r="P20" s="224"/>
      <c r="Q20" s="225"/>
      <c r="R20" s="225"/>
      <c r="S20" s="129">
        <f>S19-M20</f>
        <v>10640.709642466814</v>
      </c>
      <c r="T20" s="25"/>
      <c r="V20" s="25"/>
      <c r="W20" s="25"/>
      <c r="X20" s="25"/>
      <c r="Y20" s="25"/>
      <c r="Z20" s="25"/>
      <c r="AA20" s="25"/>
      <c r="AB20" s="25"/>
      <c r="AC20" s="25"/>
    </row>
    <row r="21" spans="1:29" s="83" customFormat="1" ht="12" customHeight="1">
      <c r="A21" s="80"/>
      <c r="B21" s="215"/>
      <c r="C21" s="216" t="s">
        <v>41</v>
      </c>
      <c r="D21" s="250"/>
      <c r="E21" s="252"/>
      <c r="F21" s="252" t="s">
        <v>25</v>
      </c>
      <c r="G21" s="219"/>
      <c r="H21" s="220"/>
      <c r="I21" s="221"/>
      <c r="J21" s="220"/>
      <c r="K21" s="222"/>
      <c r="L21" s="223"/>
      <c r="M21" s="155">
        <v>51</v>
      </c>
      <c r="N21" s="182">
        <f t="shared" ref="N21:N84" si="5">N20+H21-K21</f>
        <v>458913.48000000027</v>
      </c>
      <c r="O21" s="182">
        <f t="shared" ref="O21:O84" si="6">O20+J21-M21</f>
        <v>62950.710704719779</v>
      </c>
      <c r="P21" s="224" t="s">
        <v>120</v>
      </c>
      <c r="Q21" s="225"/>
      <c r="R21" s="225"/>
      <c r="S21" s="129"/>
      <c r="T21" s="25"/>
      <c r="V21" s="25"/>
      <c r="W21" s="25"/>
      <c r="X21" s="25"/>
      <c r="Y21" s="25"/>
      <c r="Z21" s="25"/>
      <c r="AA21" s="25"/>
      <c r="AB21" s="25"/>
      <c r="AC21" s="25"/>
    </row>
    <row r="22" spans="1:29" s="83" customFormat="1" ht="12" customHeight="1">
      <c r="A22" s="80"/>
      <c r="B22" s="256">
        <v>45702</v>
      </c>
      <c r="C22" s="144" t="s">
        <v>135</v>
      </c>
      <c r="D22" s="149"/>
      <c r="E22" s="145">
        <v>2</v>
      </c>
      <c r="F22" s="253" t="s">
        <v>24</v>
      </c>
      <c r="G22" s="82" t="s">
        <v>117</v>
      </c>
      <c r="H22" s="187"/>
      <c r="I22" s="180"/>
      <c r="J22" s="187"/>
      <c r="K22" s="146">
        <v>24224</v>
      </c>
      <c r="L22" s="79" t="e">
        <f>#REF!</f>
        <v>#REF!</v>
      </c>
      <c r="M22" s="139" t="e">
        <f>K22/L22</f>
        <v>#REF!</v>
      </c>
      <c r="N22" s="153">
        <f t="shared" si="5"/>
        <v>434689.48000000027</v>
      </c>
      <c r="O22" s="153" t="e">
        <f t="shared" si="6"/>
        <v>#REF!</v>
      </c>
      <c r="P22" s="140" t="s">
        <v>116</v>
      </c>
      <c r="Q22" s="92"/>
      <c r="R22" s="92"/>
      <c r="S22" s="129" t="e">
        <f>S20-M22</f>
        <v>#REF!</v>
      </c>
      <c r="T22" s="25"/>
      <c r="V22" s="25"/>
      <c r="W22" s="25"/>
      <c r="X22" s="25"/>
      <c r="Y22" s="25"/>
      <c r="Z22" s="25"/>
      <c r="AA22" s="25"/>
      <c r="AB22" s="25"/>
      <c r="AC22" s="25"/>
    </row>
    <row r="23" spans="1:29" s="83" customFormat="1" ht="12" customHeight="1">
      <c r="A23" s="80"/>
      <c r="B23" s="256">
        <v>45702</v>
      </c>
      <c r="C23" s="144" t="s">
        <v>41</v>
      </c>
      <c r="D23" s="149"/>
      <c r="E23" s="145">
        <v>3</v>
      </c>
      <c r="F23" s="253" t="s">
        <v>25</v>
      </c>
      <c r="G23" s="82"/>
      <c r="H23" s="187"/>
      <c r="I23" s="180"/>
      <c r="J23" s="187"/>
      <c r="K23" s="146">
        <v>7.2</v>
      </c>
      <c r="L23" s="79" t="e">
        <f>#REF!</f>
        <v>#REF!</v>
      </c>
      <c r="M23" s="139" t="e">
        <f>K23/L23</f>
        <v>#REF!</v>
      </c>
      <c r="N23" s="153">
        <f t="shared" si="5"/>
        <v>434682.28000000026</v>
      </c>
      <c r="O23" s="153" t="e">
        <f t="shared" si="6"/>
        <v>#REF!</v>
      </c>
      <c r="P23" s="140" t="s">
        <v>116</v>
      </c>
      <c r="Q23" s="92"/>
      <c r="R23" s="92"/>
      <c r="S23" s="129" t="e">
        <f>S22-M23</f>
        <v>#REF!</v>
      </c>
      <c r="T23" s="25"/>
      <c r="V23" s="25"/>
      <c r="W23" s="25"/>
      <c r="X23" s="25"/>
      <c r="Y23" s="25"/>
      <c r="Z23" s="25"/>
      <c r="AA23" s="25"/>
      <c r="AB23" s="25"/>
      <c r="AC23" s="25"/>
    </row>
    <row r="24" spans="1:29" s="37" customFormat="1" ht="11.25" customHeight="1">
      <c r="A24" s="80"/>
      <c r="B24" s="256">
        <v>45702</v>
      </c>
      <c r="C24" s="144" t="s">
        <v>127</v>
      </c>
      <c r="D24" s="149"/>
      <c r="E24" s="145">
        <v>4</v>
      </c>
      <c r="F24" s="253" t="s">
        <v>32</v>
      </c>
      <c r="G24" s="82" t="s">
        <v>33</v>
      </c>
      <c r="H24" s="187"/>
      <c r="I24" s="180"/>
      <c r="J24" s="187"/>
      <c r="K24" s="146">
        <v>1600</v>
      </c>
      <c r="L24" s="79" t="e">
        <f>#REF!</f>
        <v>#REF!</v>
      </c>
      <c r="M24" s="139" t="e">
        <f>K24/L24</f>
        <v>#REF!</v>
      </c>
      <c r="N24" s="153">
        <f t="shared" si="5"/>
        <v>433082.28000000026</v>
      </c>
      <c r="O24" s="153" t="e">
        <f t="shared" si="6"/>
        <v>#REF!</v>
      </c>
      <c r="P24" s="140" t="s">
        <v>116</v>
      </c>
      <c r="Q24" s="92"/>
      <c r="R24" s="92"/>
      <c r="S24" s="129" t="e">
        <f t="shared" ref="S24:S43" si="7">S23-M24</f>
        <v>#REF!</v>
      </c>
      <c r="T24" s="25"/>
      <c r="U24" s="83"/>
      <c r="V24" s="25"/>
      <c r="W24" s="25"/>
      <c r="X24" s="25"/>
      <c r="Y24" s="25"/>
      <c r="Z24" s="25"/>
      <c r="AA24" s="25"/>
      <c r="AB24" s="25"/>
      <c r="AC24" s="25"/>
    </row>
    <row r="25" spans="1:29" s="37" customFormat="1" ht="11.25" customHeight="1">
      <c r="A25" s="80"/>
      <c r="B25" s="256">
        <v>45702</v>
      </c>
      <c r="C25" s="144" t="s">
        <v>41</v>
      </c>
      <c r="D25" s="149"/>
      <c r="E25" s="145">
        <v>5</v>
      </c>
      <c r="F25" s="253" t="s">
        <v>25</v>
      </c>
      <c r="G25" s="82"/>
      <c r="H25" s="187"/>
      <c r="I25" s="180"/>
      <c r="J25" s="187"/>
      <c r="K25" s="146">
        <v>3.6</v>
      </c>
      <c r="L25" s="79" t="e">
        <f>#REF!</f>
        <v>#REF!</v>
      </c>
      <c r="M25" s="139" t="e">
        <f>K25/L25</f>
        <v>#REF!</v>
      </c>
      <c r="N25" s="153">
        <f t="shared" si="5"/>
        <v>433078.68000000028</v>
      </c>
      <c r="O25" s="153" t="e">
        <f t="shared" si="6"/>
        <v>#REF!</v>
      </c>
      <c r="P25" s="140" t="s">
        <v>116</v>
      </c>
      <c r="Q25" s="92"/>
      <c r="R25" s="92"/>
      <c r="S25" s="129" t="e">
        <f t="shared" si="7"/>
        <v>#REF!</v>
      </c>
      <c r="T25" s="25"/>
      <c r="U25" s="83"/>
      <c r="V25" s="25"/>
      <c r="W25" s="25"/>
      <c r="X25" s="25"/>
      <c r="Y25" s="25"/>
      <c r="Z25" s="25"/>
      <c r="AA25" s="25"/>
      <c r="AB25" s="25"/>
      <c r="AC25" s="25"/>
    </row>
    <row r="26" spans="1:29" s="37" customFormat="1" ht="11.25" customHeight="1">
      <c r="A26" s="80"/>
      <c r="B26" s="256">
        <v>45708</v>
      </c>
      <c r="C26" s="144" t="s">
        <v>39</v>
      </c>
      <c r="D26" s="149"/>
      <c r="E26" s="145">
        <v>6</v>
      </c>
      <c r="F26" s="253" t="s">
        <v>25</v>
      </c>
      <c r="G26" s="82"/>
      <c r="H26" s="187"/>
      <c r="I26" s="180"/>
      <c r="J26" s="187"/>
      <c r="K26" s="146">
        <v>1010</v>
      </c>
      <c r="L26" s="79" t="e">
        <f>#REF!</f>
        <v>#REF!</v>
      </c>
      <c r="M26" s="139" t="e">
        <f t="shared" ref="M26:M32" si="8">K26/L26</f>
        <v>#REF!</v>
      </c>
      <c r="N26" s="153">
        <f t="shared" si="5"/>
        <v>432068.68000000028</v>
      </c>
      <c r="O26" s="153" t="e">
        <f t="shared" si="6"/>
        <v>#REF!</v>
      </c>
      <c r="P26" s="140" t="s">
        <v>116</v>
      </c>
      <c r="Q26" s="92"/>
      <c r="R26" s="92"/>
      <c r="S26" s="129" t="e">
        <f t="shared" si="7"/>
        <v>#REF!</v>
      </c>
      <c r="T26" s="25"/>
      <c r="U26" s="83"/>
      <c r="V26" s="25"/>
      <c r="W26" s="25"/>
      <c r="X26" s="25"/>
      <c r="Y26" s="25"/>
      <c r="Z26" s="25"/>
      <c r="AA26" s="25"/>
      <c r="AB26" s="25"/>
      <c r="AC26" s="25"/>
    </row>
    <row r="27" spans="1:29" s="37" customFormat="1" ht="11.25" customHeight="1">
      <c r="A27" s="80"/>
      <c r="B27" s="256">
        <v>45708</v>
      </c>
      <c r="C27" s="144" t="s">
        <v>41</v>
      </c>
      <c r="D27" s="149"/>
      <c r="E27" s="145">
        <v>7</v>
      </c>
      <c r="F27" s="253" t="s">
        <v>25</v>
      </c>
      <c r="G27" s="82"/>
      <c r="H27" s="187"/>
      <c r="I27" s="180"/>
      <c r="J27" s="187"/>
      <c r="K27" s="146">
        <v>3.6</v>
      </c>
      <c r="L27" s="79" t="e">
        <f>#REF!</f>
        <v>#REF!</v>
      </c>
      <c r="M27" s="139" t="e">
        <f t="shared" si="8"/>
        <v>#REF!</v>
      </c>
      <c r="N27" s="153">
        <f t="shared" si="5"/>
        <v>432065.08000000031</v>
      </c>
      <c r="O27" s="153" t="e">
        <f t="shared" si="6"/>
        <v>#REF!</v>
      </c>
      <c r="P27" s="140" t="s">
        <v>116</v>
      </c>
      <c r="Q27" s="92"/>
      <c r="R27" s="92"/>
      <c r="S27" s="129" t="e">
        <f t="shared" si="7"/>
        <v>#REF!</v>
      </c>
      <c r="T27" s="25"/>
      <c r="U27" s="83"/>
      <c r="V27" s="25"/>
      <c r="W27" s="25"/>
      <c r="X27" s="25"/>
      <c r="Y27" s="25"/>
      <c r="Z27" s="25"/>
      <c r="AA27" s="25"/>
      <c r="AB27" s="25"/>
      <c r="AC27" s="25"/>
    </row>
    <row r="28" spans="1:29" s="37" customFormat="1" ht="11.25" customHeight="1">
      <c r="A28" s="80"/>
      <c r="B28" s="256">
        <v>45708</v>
      </c>
      <c r="C28" s="144" t="s">
        <v>51</v>
      </c>
      <c r="D28" s="149"/>
      <c r="E28" s="149">
        <v>8</v>
      </c>
      <c r="F28" s="253" t="s">
        <v>24</v>
      </c>
      <c r="G28" s="82" t="s">
        <v>38</v>
      </c>
      <c r="H28" s="150"/>
      <c r="I28" s="189"/>
      <c r="J28" s="189"/>
      <c r="K28" s="146">
        <v>10500</v>
      </c>
      <c r="L28" s="79" t="e">
        <f>#REF!</f>
        <v>#REF!</v>
      </c>
      <c r="M28" s="139" t="e">
        <f t="shared" si="8"/>
        <v>#REF!</v>
      </c>
      <c r="N28" s="153">
        <f t="shared" si="5"/>
        <v>421565.08000000031</v>
      </c>
      <c r="O28" s="153" t="e">
        <f t="shared" si="6"/>
        <v>#REF!</v>
      </c>
      <c r="P28" s="140" t="s">
        <v>116</v>
      </c>
      <c r="Q28" s="92"/>
      <c r="R28" s="92"/>
      <c r="S28" s="129" t="e">
        <f t="shared" si="7"/>
        <v>#REF!</v>
      </c>
      <c r="T28" s="25"/>
      <c r="U28" s="83"/>
      <c r="V28" s="25"/>
      <c r="W28" s="25"/>
      <c r="X28" s="25"/>
      <c r="Y28" s="25"/>
      <c r="Z28" s="25"/>
      <c r="AA28" s="25"/>
      <c r="AB28" s="25"/>
      <c r="AC28" s="25"/>
    </row>
    <row r="29" spans="1:29" s="37" customFormat="1" ht="11.25" customHeight="1">
      <c r="A29" s="80"/>
      <c r="B29" s="256">
        <v>45708</v>
      </c>
      <c r="C29" s="144" t="s">
        <v>112</v>
      </c>
      <c r="D29" s="149"/>
      <c r="E29" s="149">
        <v>8</v>
      </c>
      <c r="F29" s="253" t="s">
        <v>25</v>
      </c>
      <c r="G29" s="82"/>
      <c r="H29" s="150"/>
      <c r="I29" s="189"/>
      <c r="J29" s="189"/>
      <c r="K29" s="146">
        <v>6000</v>
      </c>
      <c r="L29" s="79" t="e">
        <f>#REF!</f>
        <v>#REF!</v>
      </c>
      <c r="M29" s="139" t="e">
        <f t="shared" si="8"/>
        <v>#REF!</v>
      </c>
      <c r="N29" s="153">
        <f t="shared" si="5"/>
        <v>415565.08000000031</v>
      </c>
      <c r="O29" s="153" t="e">
        <f t="shared" si="6"/>
        <v>#REF!</v>
      </c>
      <c r="P29" s="140" t="s">
        <v>116</v>
      </c>
      <c r="Q29" s="92"/>
      <c r="R29" s="92"/>
      <c r="S29" s="129" t="e">
        <f t="shared" si="7"/>
        <v>#REF!</v>
      </c>
      <c r="T29" s="25"/>
      <c r="U29" s="83"/>
      <c r="V29" s="25"/>
      <c r="W29" s="25"/>
      <c r="X29" s="25"/>
      <c r="Y29" s="25"/>
      <c r="Z29" s="25"/>
      <c r="AA29" s="25"/>
      <c r="AB29" s="25"/>
      <c r="AC29" s="25"/>
    </row>
    <row r="30" spans="1:29" s="37" customFormat="1" ht="11.25" customHeight="1">
      <c r="A30" s="80"/>
      <c r="B30" s="256">
        <v>45708</v>
      </c>
      <c r="C30" s="144" t="s">
        <v>113</v>
      </c>
      <c r="D30" s="149"/>
      <c r="E30" s="149">
        <v>8</v>
      </c>
      <c r="F30" s="253" t="s">
        <v>25</v>
      </c>
      <c r="G30" s="82"/>
      <c r="H30" s="150"/>
      <c r="I30" s="189"/>
      <c r="J30" s="189"/>
      <c r="K30" s="146">
        <v>680</v>
      </c>
      <c r="L30" s="79" t="e">
        <f>#REF!</f>
        <v>#REF!</v>
      </c>
      <c r="M30" s="139" t="e">
        <f t="shared" si="8"/>
        <v>#REF!</v>
      </c>
      <c r="N30" s="153">
        <f t="shared" si="5"/>
        <v>414885.08000000031</v>
      </c>
      <c r="O30" s="153" t="e">
        <f t="shared" si="6"/>
        <v>#REF!</v>
      </c>
      <c r="P30" s="140" t="s">
        <v>116</v>
      </c>
      <c r="Q30" s="92"/>
      <c r="R30" s="92"/>
      <c r="S30" s="129" t="e">
        <f t="shared" si="7"/>
        <v>#REF!</v>
      </c>
      <c r="T30" s="25"/>
      <c r="U30" s="83"/>
      <c r="V30" s="25"/>
      <c r="W30" s="25"/>
      <c r="X30" s="25"/>
      <c r="Y30" s="25"/>
      <c r="Z30" s="25"/>
      <c r="AA30" s="25"/>
      <c r="AB30" s="25"/>
      <c r="AC30" s="25"/>
    </row>
    <row r="31" spans="1:29" s="37" customFormat="1" ht="11.25" customHeight="1">
      <c r="A31" s="80"/>
      <c r="B31" s="256">
        <v>45708</v>
      </c>
      <c r="C31" s="144" t="s">
        <v>51</v>
      </c>
      <c r="D31" s="149"/>
      <c r="E31" s="149">
        <v>8</v>
      </c>
      <c r="F31" s="253" t="s">
        <v>24</v>
      </c>
      <c r="G31" s="82" t="s">
        <v>38</v>
      </c>
      <c r="H31" s="150"/>
      <c r="I31" s="189"/>
      <c r="J31" s="189"/>
      <c r="K31" s="146">
        <v>7000</v>
      </c>
      <c r="L31" s="79" t="e">
        <f>#REF!</f>
        <v>#REF!</v>
      </c>
      <c r="M31" s="139" t="e">
        <f t="shared" si="8"/>
        <v>#REF!</v>
      </c>
      <c r="N31" s="153">
        <f t="shared" si="5"/>
        <v>407885.08000000031</v>
      </c>
      <c r="O31" s="153" t="e">
        <f t="shared" si="6"/>
        <v>#REF!</v>
      </c>
      <c r="P31" s="140" t="s">
        <v>116</v>
      </c>
      <c r="Q31" s="92"/>
      <c r="R31" s="92"/>
      <c r="S31" s="129" t="e">
        <f t="shared" si="7"/>
        <v>#REF!</v>
      </c>
      <c r="T31" s="25"/>
      <c r="U31" s="83"/>
      <c r="V31" s="25"/>
      <c r="W31" s="25"/>
      <c r="X31" s="25"/>
      <c r="Y31" s="25"/>
      <c r="Z31" s="25"/>
      <c r="AA31" s="25"/>
      <c r="AB31" s="25"/>
      <c r="AC31" s="25"/>
    </row>
    <row r="32" spans="1:29" s="37" customFormat="1" ht="11.25" customHeight="1">
      <c r="A32" s="80"/>
      <c r="B32" s="256">
        <v>45708</v>
      </c>
      <c r="C32" s="144" t="s">
        <v>112</v>
      </c>
      <c r="D32" s="149"/>
      <c r="E32" s="149">
        <v>8</v>
      </c>
      <c r="F32" s="253" t="s">
        <v>25</v>
      </c>
      <c r="G32" s="82"/>
      <c r="H32" s="150"/>
      <c r="I32" s="189"/>
      <c r="J32" s="189"/>
      <c r="K32" s="146">
        <v>6000</v>
      </c>
      <c r="L32" s="79" t="e">
        <f>#REF!</f>
        <v>#REF!</v>
      </c>
      <c r="M32" s="139" t="e">
        <f t="shared" si="8"/>
        <v>#REF!</v>
      </c>
      <c r="N32" s="153">
        <f t="shared" si="5"/>
        <v>401885.08000000031</v>
      </c>
      <c r="O32" s="153" t="e">
        <f t="shared" si="6"/>
        <v>#REF!</v>
      </c>
      <c r="P32" s="140" t="s">
        <v>116</v>
      </c>
      <c r="Q32" s="92"/>
      <c r="R32" s="92"/>
      <c r="S32" s="129" t="e">
        <f t="shared" si="7"/>
        <v>#REF!</v>
      </c>
      <c r="T32" s="25"/>
      <c r="U32" s="83"/>
      <c r="V32" s="25"/>
      <c r="W32" s="25"/>
      <c r="X32" s="25"/>
      <c r="Y32" s="25"/>
      <c r="Z32" s="25"/>
      <c r="AA32" s="25"/>
      <c r="AB32" s="25"/>
      <c r="AC32" s="25"/>
    </row>
    <row r="33" spans="1:29" s="37" customFormat="1" ht="11.25" customHeight="1">
      <c r="A33" s="80"/>
      <c r="B33" s="256">
        <v>45708</v>
      </c>
      <c r="C33" s="144" t="s">
        <v>113</v>
      </c>
      <c r="D33" s="149"/>
      <c r="E33" s="149">
        <v>8</v>
      </c>
      <c r="F33" s="253" t="s">
        <v>25</v>
      </c>
      <c r="G33" s="82"/>
      <c r="H33" s="150"/>
      <c r="I33" s="189"/>
      <c r="J33" s="189"/>
      <c r="K33" s="146">
        <v>230</v>
      </c>
      <c r="L33" s="79" t="e">
        <f>#REF!</f>
        <v>#REF!</v>
      </c>
      <c r="M33" s="139" t="e">
        <f>K33/L33</f>
        <v>#REF!</v>
      </c>
      <c r="N33" s="153">
        <f t="shared" si="5"/>
        <v>401655.08000000031</v>
      </c>
      <c r="O33" s="153" t="e">
        <f t="shared" si="6"/>
        <v>#REF!</v>
      </c>
      <c r="P33" s="140" t="s">
        <v>116</v>
      </c>
      <c r="Q33" s="92"/>
      <c r="R33" s="92"/>
      <c r="S33" s="129" t="e">
        <f t="shared" si="7"/>
        <v>#REF!</v>
      </c>
      <c r="T33" s="25"/>
      <c r="U33" s="83"/>
      <c r="V33" s="25"/>
      <c r="W33" s="25"/>
      <c r="X33" s="25"/>
      <c r="Y33" s="25"/>
      <c r="Z33" s="25"/>
      <c r="AA33" s="25"/>
      <c r="AB33" s="25"/>
      <c r="AC33" s="25"/>
    </row>
    <row r="34" spans="1:29" s="37" customFormat="1" ht="11.25" customHeight="1">
      <c r="A34" s="80"/>
      <c r="B34" s="256">
        <v>45708</v>
      </c>
      <c r="C34" s="144" t="s">
        <v>41</v>
      </c>
      <c r="D34" s="149"/>
      <c r="E34" s="149">
        <v>9</v>
      </c>
      <c r="F34" s="253" t="s">
        <v>25</v>
      </c>
      <c r="G34" s="82"/>
      <c r="H34" s="150"/>
      <c r="I34" s="189"/>
      <c r="J34" s="189"/>
      <c r="K34" s="146">
        <v>7.2</v>
      </c>
      <c r="L34" s="79" t="e">
        <f>#REF!</f>
        <v>#REF!</v>
      </c>
      <c r="M34" s="139" t="e">
        <f>K34/L34</f>
        <v>#REF!</v>
      </c>
      <c r="N34" s="153">
        <f t="shared" si="5"/>
        <v>401647.8800000003</v>
      </c>
      <c r="O34" s="153" t="e">
        <f t="shared" si="6"/>
        <v>#REF!</v>
      </c>
      <c r="P34" s="140" t="s">
        <v>116</v>
      </c>
      <c r="Q34" s="92"/>
      <c r="R34" s="92"/>
      <c r="S34" s="129" t="e">
        <f t="shared" si="7"/>
        <v>#REF!</v>
      </c>
      <c r="T34" s="25"/>
      <c r="U34" s="83"/>
      <c r="V34" s="25"/>
      <c r="W34" s="25"/>
      <c r="X34" s="25"/>
      <c r="Y34" s="25"/>
      <c r="Z34" s="25"/>
      <c r="AA34" s="25"/>
      <c r="AB34" s="25"/>
      <c r="AC34" s="25"/>
    </row>
    <row r="35" spans="1:29" s="37" customFormat="1" ht="11.25" customHeight="1">
      <c r="A35" s="80"/>
      <c r="B35" s="256">
        <v>45708</v>
      </c>
      <c r="C35" s="144" t="s">
        <v>170</v>
      </c>
      <c r="D35" s="257"/>
      <c r="E35" s="149">
        <v>10</v>
      </c>
      <c r="F35" s="145" t="s">
        <v>27</v>
      </c>
      <c r="G35" s="82" t="s">
        <v>30</v>
      </c>
      <c r="H35" s="150"/>
      <c r="I35" s="149"/>
      <c r="J35" s="149"/>
      <c r="K35" s="146">
        <v>397.8</v>
      </c>
      <c r="L35" s="79" t="e">
        <f>#REF!</f>
        <v>#REF!</v>
      </c>
      <c r="M35" s="139" t="e">
        <f>K35/L35</f>
        <v>#REF!</v>
      </c>
      <c r="N35" s="153">
        <f t="shared" si="5"/>
        <v>401250.08000000031</v>
      </c>
      <c r="O35" s="153" t="e">
        <f t="shared" si="6"/>
        <v>#REF!</v>
      </c>
      <c r="P35" s="140" t="s">
        <v>116</v>
      </c>
      <c r="Q35" s="92"/>
      <c r="R35" s="92"/>
      <c r="S35" s="129" t="e">
        <f t="shared" si="7"/>
        <v>#REF!</v>
      </c>
      <c r="T35" s="25"/>
      <c r="U35" s="83"/>
      <c r="V35" s="25"/>
      <c r="W35" s="25"/>
      <c r="X35" s="25"/>
      <c r="Y35" s="25"/>
      <c r="Z35" s="25"/>
      <c r="AA35" s="25"/>
      <c r="AB35" s="25"/>
      <c r="AC35" s="25"/>
    </row>
    <row r="36" spans="1:29" s="37" customFormat="1" ht="11.25" customHeight="1">
      <c r="A36" s="80"/>
      <c r="B36" s="256">
        <v>45708</v>
      </c>
      <c r="C36" s="144" t="s">
        <v>41</v>
      </c>
      <c r="D36" s="257"/>
      <c r="E36" s="149">
        <v>11</v>
      </c>
      <c r="F36" s="145" t="s">
        <v>25</v>
      </c>
      <c r="G36" s="82"/>
      <c r="H36" s="150"/>
      <c r="I36" s="149"/>
      <c r="J36" s="149"/>
      <c r="K36" s="146">
        <v>3.6</v>
      </c>
      <c r="L36" s="79" t="e">
        <f>#REF!</f>
        <v>#REF!</v>
      </c>
      <c r="M36" s="139" t="e">
        <f>K36/L36</f>
        <v>#REF!</v>
      </c>
      <c r="N36" s="153">
        <f t="shared" si="5"/>
        <v>401246.48000000033</v>
      </c>
      <c r="O36" s="153" t="e">
        <f t="shared" si="6"/>
        <v>#REF!</v>
      </c>
      <c r="P36" s="140" t="s">
        <v>116</v>
      </c>
      <c r="Q36" s="92"/>
      <c r="R36" s="92"/>
      <c r="S36" s="129" t="e">
        <f t="shared" si="7"/>
        <v>#REF!</v>
      </c>
      <c r="T36" s="25"/>
      <c r="U36" s="83"/>
      <c r="V36" s="25"/>
      <c r="W36" s="25"/>
      <c r="X36" s="25"/>
      <c r="Y36" s="25"/>
      <c r="Z36" s="25"/>
      <c r="AA36" s="25"/>
      <c r="AB36" s="25"/>
      <c r="AC36" s="25"/>
    </row>
    <row r="37" spans="1:29" s="37" customFormat="1" ht="11.25" customHeight="1">
      <c r="A37" s="80"/>
      <c r="B37" s="256">
        <v>45708</v>
      </c>
      <c r="C37" s="144" t="s">
        <v>121</v>
      </c>
      <c r="D37" s="149"/>
      <c r="E37" s="145">
        <v>12</v>
      </c>
      <c r="F37" s="145" t="s">
        <v>32</v>
      </c>
      <c r="G37" s="82" t="s">
        <v>33</v>
      </c>
      <c r="H37" s="150"/>
      <c r="I37" s="149"/>
      <c r="J37" s="149"/>
      <c r="K37" s="146">
        <v>1231.33</v>
      </c>
      <c r="L37" s="79" t="e">
        <f>#REF!</f>
        <v>#REF!</v>
      </c>
      <c r="M37" s="139" t="e">
        <f t="shared" ref="M37:M42" si="9">K37/L37</f>
        <v>#REF!</v>
      </c>
      <c r="N37" s="153">
        <f t="shared" si="5"/>
        <v>400015.15000000031</v>
      </c>
      <c r="O37" s="153" t="e">
        <f t="shared" si="6"/>
        <v>#REF!</v>
      </c>
      <c r="P37" s="140" t="s">
        <v>116</v>
      </c>
      <c r="Q37" s="92"/>
      <c r="R37" s="92"/>
      <c r="S37" s="129" t="e">
        <f t="shared" si="7"/>
        <v>#REF!</v>
      </c>
      <c r="T37" s="25"/>
      <c r="U37" s="83"/>
      <c r="V37" s="25"/>
      <c r="W37" s="25"/>
      <c r="X37" s="25"/>
      <c r="Y37" s="25"/>
      <c r="Z37" s="25"/>
      <c r="AA37" s="25"/>
      <c r="AB37" s="25"/>
      <c r="AC37" s="25"/>
    </row>
    <row r="38" spans="1:29" s="37" customFormat="1" ht="11.25" customHeight="1">
      <c r="A38" s="80"/>
      <c r="B38" s="256">
        <v>45708</v>
      </c>
      <c r="C38" s="144" t="s">
        <v>65</v>
      </c>
      <c r="D38" s="149"/>
      <c r="E38" s="145">
        <v>13</v>
      </c>
      <c r="F38" s="145" t="s">
        <v>27</v>
      </c>
      <c r="G38" s="82" t="s">
        <v>30</v>
      </c>
      <c r="H38" s="150"/>
      <c r="I38" s="149"/>
      <c r="J38" s="149"/>
      <c r="K38" s="146">
        <v>108.9</v>
      </c>
      <c r="L38" s="79" t="e">
        <f>#REF!</f>
        <v>#REF!</v>
      </c>
      <c r="M38" s="139" t="e">
        <f t="shared" si="9"/>
        <v>#REF!</v>
      </c>
      <c r="N38" s="153">
        <f t="shared" si="5"/>
        <v>399906.25000000029</v>
      </c>
      <c r="O38" s="153" t="e">
        <f t="shared" si="6"/>
        <v>#REF!</v>
      </c>
      <c r="P38" s="140" t="s">
        <v>116</v>
      </c>
      <c r="Q38" s="92"/>
      <c r="R38" s="92"/>
      <c r="S38" s="129" t="e">
        <f t="shared" si="7"/>
        <v>#REF!</v>
      </c>
      <c r="T38" s="25"/>
      <c r="U38" s="83"/>
      <c r="V38" s="25"/>
      <c r="W38" s="25"/>
      <c r="X38" s="25"/>
      <c r="Y38" s="25"/>
      <c r="Z38" s="25"/>
      <c r="AA38" s="25"/>
      <c r="AB38" s="25"/>
      <c r="AC38" s="25"/>
    </row>
    <row r="39" spans="1:29" s="37" customFormat="1" ht="11.25" customHeight="1">
      <c r="A39" s="80"/>
      <c r="B39" s="256">
        <v>45708</v>
      </c>
      <c r="C39" s="144" t="s">
        <v>41</v>
      </c>
      <c r="D39" s="149"/>
      <c r="E39" s="145">
        <v>14</v>
      </c>
      <c r="F39" s="145" t="s">
        <v>25</v>
      </c>
      <c r="G39" s="82"/>
      <c r="H39" s="150"/>
      <c r="I39" s="149"/>
      <c r="J39" s="149"/>
      <c r="K39" s="146">
        <v>3.6</v>
      </c>
      <c r="L39" s="79" t="e">
        <f>#REF!</f>
        <v>#REF!</v>
      </c>
      <c r="M39" s="139" t="e">
        <f t="shared" si="9"/>
        <v>#REF!</v>
      </c>
      <c r="N39" s="153">
        <f t="shared" si="5"/>
        <v>399902.65000000031</v>
      </c>
      <c r="O39" s="153" t="e">
        <f t="shared" si="6"/>
        <v>#REF!</v>
      </c>
      <c r="P39" s="140" t="s">
        <v>116</v>
      </c>
      <c r="Q39" s="92"/>
      <c r="R39" s="92"/>
      <c r="S39" s="129" t="e">
        <f t="shared" si="7"/>
        <v>#REF!</v>
      </c>
      <c r="T39" s="25"/>
      <c r="U39" s="83"/>
      <c r="V39" s="25"/>
      <c r="W39" s="25"/>
      <c r="X39" s="25"/>
      <c r="Y39" s="25"/>
      <c r="Z39" s="25"/>
      <c r="AA39" s="25"/>
      <c r="AB39" s="25"/>
      <c r="AC39" s="25"/>
    </row>
    <row r="40" spans="1:29" s="37" customFormat="1" ht="11.25" customHeight="1">
      <c r="A40" s="80"/>
      <c r="B40" s="256">
        <v>45708</v>
      </c>
      <c r="C40" s="144" t="s">
        <v>86</v>
      </c>
      <c r="D40" s="149"/>
      <c r="E40" s="145">
        <v>15</v>
      </c>
      <c r="F40" s="145" t="s">
        <v>32</v>
      </c>
      <c r="G40" s="82" t="s">
        <v>33</v>
      </c>
      <c r="H40" s="150"/>
      <c r="I40" s="149"/>
      <c r="J40" s="149"/>
      <c r="K40" s="258">
        <v>503.6</v>
      </c>
      <c r="L40" s="79" t="e">
        <f>#REF!</f>
        <v>#REF!</v>
      </c>
      <c r="M40" s="139" t="e">
        <f t="shared" si="9"/>
        <v>#REF!</v>
      </c>
      <c r="N40" s="153">
        <f t="shared" si="5"/>
        <v>399399.05000000034</v>
      </c>
      <c r="O40" s="153" t="e">
        <f t="shared" si="6"/>
        <v>#REF!</v>
      </c>
      <c r="P40" s="140" t="s">
        <v>116</v>
      </c>
      <c r="Q40" s="92"/>
      <c r="R40" s="92"/>
      <c r="S40" s="129" t="e">
        <f t="shared" si="7"/>
        <v>#REF!</v>
      </c>
      <c r="T40" s="25"/>
      <c r="U40" s="83"/>
      <c r="V40" s="25"/>
      <c r="W40" s="25"/>
      <c r="X40" s="25"/>
      <c r="Y40" s="25"/>
      <c r="Z40" s="25"/>
      <c r="AA40" s="25"/>
      <c r="AB40" s="25"/>
      <c r="AC40" s="25"/>
    </row>
    <row r="41" spans="1:29" s="37" customFormat="1" ht="11.25" customHeight="1">
      <c r="A41" s="80"/>
      <c r="B41" s="256">
        <v>45708</v>
      </c>
      <c r="C41" s="144" t="s">
        <v>137</v>
      </c>
      <c r="D41" s="149"/>
      <c r="E41" s="145">
        <v>16</v>
      </c>
      <c r="F41" s="145" t="s">
        <v>32</v>
      </c>
      <c r="G41" s="82" t="s">
        <v>33</v>
      </c>
      <c r="H41" s="150"/>
      <c r="I41" s="149"/>
      <c r="J41" s="149"/>
      <c r="K41" s="258">
        <v>617.75</v>
      </c>
      <c r="L41" s="79" t="e">
        <f>#REF!</f>
        <v>#REF!</v>
      </c>
      <c r="M41" s="139" t="e">
        <f t="shared" si="9"/>
        <v>#REF!</v>
      </c>
      <c r="N41" s="153">
        <f t="shared" si="5"/>
        <v>398781.30000000034</v>
      </c>
      <c r="O41" s="153" t="e">
        <f t="shared" si="6"/>
        <v>#REF!</v>
      </c>
      <c r="P41" s="140" t="s">
        <v>116</v>
      </c>
      <c r="Q41" s="92"/>
      <c r="R41" s="92"/>
      <c r="S41" s="129" t="e">
        <f t="shared" si="7"/>
        <v>#REF!</v>
      </c>
      <c r="T41" s="25"/>
      <c r="U41" s="83"/>
      <c r="V41" s="25"/>
      <c r="W41" s="25"/>
      <c r="X41" s="25"/>
      <c r="Y41" s="25"/>
      <c r="Z41" s="25"/>
      <c r="AA41" s="25"/>
      <c r="AB41" s="25"/>
      <c r="AC41" s="25"/>
    </row>
    <row r="42" spans="1:29" s="37" customFormat="1" ht="11.25" customHeight="1">
      <c r="A42" s="80"/>
      <c r="B42" s="256">
        <v>45708</v>
      </c>
      <c r="C42" s="144" t="s">
        <v>87</v>
      </c>
      <c r="D42" s="149"/>
      <c r="E42" s="145">
        <v>17</v>
      </c>
      <c r="F42" s="145" t="s">
        <v>27</v>
      </c>
      <c r="G42" s="82" t="s">
        <v>30</v>
      </c>
      <c r="H42" s="150"/>
      <c r="I42" s="149"/>
      <c r="J42" s="149"/>
      <c r="K42" s="146">
        <v>350</v>
      </c>
      <c r="L42" s="79" t="e">
        <f>#REF!</f>
        <v>#REF!</v>
      </c>
      <c r="M42" s="139" t="e">
        <f t="shared" si="9"/>
        <v>#REF!</v>
      </c>
      <c r="N42" s="153">
        <f t="shared" si="5"/>
        <v>398431.30000000034</v>
      </c>
      <c r="O42" s="153" t="e">
        <f t="shared" si="6"/>
        <v>#REF!</v>
      </c>
      <c r="P42" s="140" t="s">
        <v>116</v>
      </c>
      <c r="Q42" s="92"/>
      <c r="R42" s="92"/>
      <c r="S42" s="129" t="e">
        <f t="shared" si="7"/>
        <v>#REF!</v>
      </c>
      <c r="T42" s="25"/>
      <c r="U42" s="83"/>
      <c r="V42" s="25"/>
      <c r="W42" s="25"/>
      <c r="X42" s="25"/>
      <c r="Y42" s="25"/>
      <c r="Z42" s="25"/>
      <c r="AA42" s="25"/>
      <c r="AB42" s="25"/>
      <c r="AC42" s="25"/>
    </row>
    <row r="43" spans="1:29" s="37" customFormat="1" ht="11.25" customHeight="1">
      <c r="A43" s="80"/>
      <c r="B43" s="256">
        <v>45708</v>
      </c>
      <c r="C43" s="144" t="s">
        <v>85</v>
      </c>
      <c r="D43" s="149"/>
      <c r="E43" s="145">
        <v>18</v>
      </c>
      <c r="F43" s="145" t="s">
        <v>25</v>
      </c>
      <c r="G43" s="82"/>
      <c r="H43" s="150"/>
      <c r="I43" s="149"/>
      <c r="J43" s="149"/>
      <c r="K43" s="258">
        <v>133.15</v>
      </c>
      <c r="L43" s="79" t="e">
        <f>#REF!</f>
        <v>#REF!</v>
      </c>
      <c r="M43" s="139" t="e">
        <f t="shared" ref="M43:M50" si="10">K43/L43</f>
        <v>#REF!</v>
      </c>
      <c r="N43" s="153">
        <f t="shared" si="5"/>
        <v>398298.15000000031</v>
      </c>
      <c r="O43" s="153" t="e">
        <f t="shared" si="6"/>
        <v>#REF!</v>
      </c>
      <c r="P43" s="140" t="s">
        <v>116</v>
      </c>
      <c r="Q43" s="92"/>
      <c r="R43" s="92"/>
      <c r="S43" s="129" t="e">
        <f t="shared" si="7"/>
        <v>#REF!</v>
      </c>
      <c r="T43" s="25"/>
      <c r="U43" s="83"/>
      <c r="V43" s="25"/>
      <c r="W43" s="25"/>
      <c r="X43" s="25"/>
      <c r="Y43" s="25"/>
      <c r="Z43" s="25"/>
      <c r="AA43" s="25"/>
      <c r="AB43" s="25"/>
      <c r="AC43" s="25"/>
    </row>
    <row r="44" spans="1:29" s="37" customFormat="1" ht="11.25" customHeight="1">
      <c r="A44" s="80"/>
      <c r="B44" s="256">
        <v>45708</v>
      </c>
      <c r="C44" s="144" t="s">
        <v>136</v>
      </c>
      <c r="D44" s="149"/>
      <c r="E44" s="145">
        <v>19</v>
      </c>
      <c r="F44" s="145" t="s">
        <v>25</v>
      </c>
      <c r="G44" s="82"/>
      <c r="H44" s="150"/>
      <c r="I44" s="149"/>
      <c r="J44" s="149"/>
      <c r="K44" s="258">
        <v>369.6</v>
      </c>
      <c r="L44" s="79" t="e">
        <f>#REF!</f>
        <v>#REF!</v>
      </c>
      <c r="M44" s="139" t="e">
        <f t="shared" si="10"/>
        <v>#REF!</v>
      </c>
      <c r="N44" s="153">
        <f t="shared" si="5"/>
        <v>397928.55000000034</v>
      </c>
      <c r="O44" s="153" t="e">
        <f t="shared" si="6"/>
        <v>#REF!</v>
      </c>
      <c r="P44" s="140" t="s">
        <v>116</v>
      </c>
      <c r="Q44" s="92"/>
      <c r="R44" s="92"/>
      <c r="S44" s="129" t="e">
        <f t="shared" ref="S44:S53" si="11">S43-M44</f>
        <v>#REF!</v>
      </c>
      <c r="T44" s="25"/>
      <c r="U44" s="83"/>
      <c r="V44" s="25"/>
      <c r="W44" s="25"/>
      <c r="X44" s="25"/>
      <c r="Y44" s="25"/>
      <c r="Z44" s="25"/>
      <c r="AA44" s="25"/>
      <c r="AB44" s="25"/>
      <c r="AC44" s="25"/>
    </row>
    <row r="45" spans="1:29" s="37" customFormat="1" ht="11.25" customHeight="1">
      <c r="A45" s="80"/>
      <c r="B45" s="256">
        <v>45708</v>
      </c>
      <c r="C45" s="144" t="s">
        <v>41</v>
      </c>
      <c r="D45" s="149"/>
      <c r="E45" s="145">
        <v>20</v>
      </c>
      <c r="F45" s="145" t="s">
        <v>25</v>
      </c>
      <c r="G45" s="82"/>
      <c r="H45" s="150"/>
      <c r="I45" s="149"/>
      <c r="J45" s="149"/>
      <c r="K45" s="146">
        <v>3.6</v>
      </c>
      <c r="L45" s="79" t="e">
        <f>#REF!</f>
        <v>#REF!</v>
      </c>
      <c r="M45" s="139" t="e">
        <f t="shared" si="10"/>
        <v>#REF!</v>
      </c>
      <c r="N45" s="153">
        <f t="shared" si="5"/>
        <v>397924.95000000036</v>
      </c>
      <c r="O45" s="153" t="e">
        <f t="shared" si="6"/>
        <v>#REF!</v>
      </c>
      <c r="P45" s="140" t="s">
        <v>116</v>
      </c>
      <c r="Q45" s="92"/>
      <c r="R45" s="92"/>
      <c r="S45" s="129" t="e">
        <f t="shared" si="11"/>
        <v>#REF!</v>
      </c>
      <c r="T45" s="25"/>
      <c r="U45" s="83"/>
      <c r="V45" s="25"/>
      <c r="W45" s="25"/>
      <c r="X45" s="25"/>
      <c r="Y45" s="25"/>
      <c r="Z45" s="25"/>
      <c r="AA45" s="25"/>
      <c r="AB45" s="25"/>
      <c r="AC45" s="25"/>
    </row>
    <row r="46" spans="1:29" s="37" customFormat="1" ht="11.25" customHeight="1">
      <c r="A46" s="80"/>
      <c r="B46" s="256">
        <v>45708</v>
      </c>
      <c r="C46" s="144" t="s">
        <v>133</v>
      </c>
      <c r="D46" s="149"/>
      <c r="E46" s="145">
        <v>21</v>
      </c>
      <c r="F46" s="145" t="s">
        <v>32</v>
      </c>
      <c r="G46" s="82" t="s">
        <v>33</v>
      </c>
      <c r="H46" s="150"/>
      <c r="I46" s="149"/>
      <c r="J46" s="149"/>
      <c r="K46" s="258">
        <v>292.45999999999998</v>
      </c>
      <c r="L46" s="79" t="e">
        <f>#REF!</f>
        <v>#REF!</v>
      </c>
      <c r="M46" s="139" t="e">
        <f t="shared" si="10"/>
        <v>#REF!</v>
      </c>
      <c r="N46" s="153">
        <f t="shared" si="5"/>
        <v>397632.49000000034</v>
      </c>
      <c r="O46" s="153" t="e">
        <f t="shared" si="6"/>
        <v>#REF!</v>
      </c>
      <c r="P46" s="140" t="s">
        <v>116</v>
      </c>
      <c r="Q46" s="92"/>
      <c r="R46" s="92"/>
      <c r="S46" s="129" t="e">
        <f t="shared" si="11"/>
        <v>#REF!</v>
      </c>
      <c r="T46" s="25"/>
      <c r="U46" s="83"/>
      <c r="V46" s="25"/>
      <c r="W46" s="25"/>
      <c r="X46" s="25"/>
      <c r="Y46" s="25"/>
      <c r="Z46" s="25"/>
      <c r="AA46" s="25"/>
      <c r="AB46" s="25"/>
      <c r="AC46" s="25"/>
    </row>
    <row r="47" spans="1:29" s="37" customFormat="1" ht="11.25" customHeight="1">
      <c r="A47" s="80"/>
      <c r="B47" s="256">
        <v>45708</v>
      </c>
      <c r="C47" s="144" t="s">
        <v>124</v>
      </c>
      <c r="D47" s="149"/>
      <c r="E47" s="145">
        <v>22</v>
      </c>
      <c r="F47" s="145" t="s">
        <v>27</v>
      </c>
      <c r="G47" s="82" t="s">
        <v>30</v>
      </c>
      <c r="H47" s="150"/>
      <c r="I47" s="149"/>
      <c r="J47" s="149"/>
      <c r="K47" s="258">
        <v>299.10000000000002</v>
      </c>
      <c r="L47" s="79" t="e">
        <f>#REF!</f>
        <v>#REF!</v>
      </c>
      <c r="M47" s="139" t="e">
        <f t="shared" si="10"/>
        <v>#REF!</v>
      </c>
      <c r="N47" s="153">
        <f t="shared" si="5"/>
        <v>397333.39000000036</v>
      </c>
      <c r="O47" s="153" t="e">
        <f t="shared" si="6"/>
        <v>#REF!</v>
      </c>
      <c r="P47" s="140" t="s">
        <v>116</v>
      </c>
      <c r="Q47" s="92"/>
      <c r="R47" s="92"/>
      <c r="S47" s="129" t="e">
        <f t="shared" si="11"/>
        <v>#REF!</v>
      </c>
      <c r="T47" s="25"/>
      <c r="U47" s="83"/>
      <c r="V47" s="25"/>
      <c r="W47" s="25"/>
      <c r="X47" s="25"/>
      <c r="Y47" s="25"/>
      <c r="Z47" s="25"/>
      <c r="AA47" s="25"/>
      <c r="AB47" s="25"/>
      <c r="AC47" s="25"/>
    </row>
    <row r="48" spans="1:29" s="37" customFormat="1" ht="11.25" customHeight="1">
      <c r="A48" s="80"/>
      <c r="B48" s="256">
        <v>45708</v>
      </c>
      <c r="C48" s="144" t="s">
        <v>125</v>
      </c>
      <c r="D48" s="149"/>
      <c r="E48" s="145">
        <v>23</v>
      </c>
      <c r="F48" s="145" t="s">
        <v>25</v>
      </c>
      <c r="G48" s="82"/>
      <c r="H48" s="150"/>
      <c r="I48" s="149"/>
      <c r="J48" s="149"/>
      <c r="K48" s="258">
        <v>24</v>
      </c>
      <c r="L48" s="79" t="e">
        <f>#REF!</f>
        <v>#REF!</v>
      </c>
      <c r="M48" s="139" t="e">
        <f t="shared" si="10"/>
        <v>#REF!</v>
      </c>
      <c r="N48" s="153">
        <f t="shared" si="5"/>
        <v>397309.39000000036</v>
      </c>
      <c r="O48" s="153" t="e">
        <f t="shared" si="6"/>
        <v>#REF!</v>
      </c>
      <c r="P48" s="140" t="s">
        <v>116</v>
      </c>
      <c r="Q48" s="92"/>
      <c r="R48" s="92"/>
      <c r="S48" s="129" t="e">
        <f t="shared" si="11"/>
        <v>#REF!</v>
      </c>
      <c r="T48" s="25"/>
      <c r="U48" s="83"/>
      <c r="V48" s="25"/>
      <c r="W48" s="25"/>
      <c r="X48" s="25"/>
      <c r="Y48" s="25"/>
      <c r="Z48" s="25"/>
      <c r="AA48" s="25"/>
      <c r="AB48" s="25"/>
      <c r="AC48" s="25"/>
    </row>
    <row r="49" spans="1:29" s="37" customFormat="1" ht="11.25" customHeight="1">
      <c r="A49" s="80"/>
      <c r="B49" s="256">
        <v>45708</v>
      </c>
      <c r="C49" s="144" t="s">
        <v>171</v>
      </c>
      <c r="D49" s="149"/>
      <c r="E49" s="145">
        <v>24</v>
      </c>
      <c r="F49" s="145" t="s">
        <v>25</v>
      </c>
      <c r="G49" s="82"/>
      <c r="H49" s="150"/>
      <c r="I49" s="149"/>
      <c r="J49" s="149"/>
      <c r="K49" s="258">
        <v>145</v>
      </c>
      <c r="L49" s="79" t="e">
        <f>#REF!</f>
        <v>#REF!</v>
      </c>
      <c r="M49" s="139" t="e">
        <f t="shared" si="10"/>
        <v>#REF!</v>
      </c>
      <c r="N49" s="153">
        <f t="shared" si="5"/>
        <v>397164.39000000036</v>
      </c>
      <c r="O49" s="153" t="e">
        <f t="shared" si="6"/>
        <v>#REF!</v>
      </c>
      <c r="P49" s="140" t="s">
        <v>116</v>
      </c>
      <c r="Q49" s="92"/>
      <c r="R49" s="92"/>
      <c r="S49" s="129" t="e">
        <f t="shared" si="11"/>
        <v>#REF!</v>
      </c>
      <c r="T49" s="25"/>
      <c r="U49" s="83"/>
      <c r="V49" s="25"/>
      <c r="W49" s="25"/>
      <c r="X49" s="25"/>
      <c r="Y49" s="25"/>
      <c r="Z49" s="25"/>
      <c r="AA49" s="25"/>
      <c r="AB49" s="25"/>
      <c r="AC49" s="25"/>
    </row>
    <row r="50" spans="1:29" s="37" customFormat="1" ht="11.25" customHeight="1">
      <c r="A50" s="80"/>
      <c r="B50" s="256">
        <v>45708</v>
      </c>
      <c r="C50" s="144" t="s">
        <v>132</v>
      </c>
      <c r="D50" s="149"/>
      <c r="E50" s="145">
        <v>25</v>
      </c>
      <c r="F50" s="145" t="s">
        <v>28</v>
      </c>
      <c r="G50" s="82" t="s">
        <v>31</v>
      </c>
      <c r="H50" s="150"/>
      <c r="I50" s="149"/>
      <c r="J50" s="149"/>
      <c r="K50" s="258">
        <v>2929.16</v>
      </c>
      <c r="L50" s="79" t="e">
        <f>#REF!</f>
        <v>#REF!</v>
      </c>
      <c r="M50" s="139" t="e">
        <f t="shared" si="10"/>
        <v>#REF!</v>
      </c>
      <c r="N50" s="153">
        <f t="shared" si="5"/>
        <v>394235.23000000039</v>
      </c>
      <c r="O50" s="153" t="e">
        <f t="shared" si="6"/>
        <v>#REF!</v>
      </c>
      <c r="P50" s="140" t="s">
        <v>116</v>
      </c>
      <c r="Q50" s="92"/>
      <c r="R50" s="92"/>
      <c r="S50" s="129" t="e">
        <f t="shared" si="11"/>
        <v>#REF!</v>
      </c>
      <c r="T50" s="25"/>
      <c r="U50" s="83"/>
      <c r="V50" s="25"/>
      <c r="W50" s="25"/>
      <c r="X50" s="25"/>
      <c r="Y50" s="25"/>
      <c r="Z50" s="25"/>
      <c r="AA50" s="25"/>
      <c r="AB50" s="25"/>
      <c r="AC50" s="25"/>
    </row>
    <row r="51" spans="1:29" s="37" customFormat="1" ht="11.25" customHeight="1">
      <c r="A51" s="80"/>
      <c r="B51" s="256">
        <v>45708</v>
      </c>
      <c r="C51" s="144" t="s">
        <v>41</v>
      </c>
      <c r="D51" s="149"/>
      <c r="E51" s="145">
        <v>26</v>
      </c>
      <c r="F51" s="82" t="s">
        <v>25</v>
      </c>
      <c r="G51" s="82"/>
      <c r="H51" s="150"/>
      <c r="I51" s="149"/>
      <c r="J51" s="149"/>
      <c r="K51" s="146">
        <v>3.6</v>
      </c>
      <c r="L51" s="79" t="e">
        <f>#REF!</f>
        <v>#REF!</v>
      </c>
      <c r="M51" s="139" t="e">
        <f t="shared" ref="M51:M62" si="12">K51/L51</f>
        <v>#REF!</v>
      </c>
      <c r="N51" s="153">
        <f t="shared" si="5"/>
        <v>394231.63000000041</v>
      </c>
      <c r="O51" s="153" t="e">
        <f t="shared" si="6"/>
        <v>#REF!</v>
      </c>
      <c r="P51" s="140" t="s">
        <v>116</v>
      </c>
      <c r="Q51" s="92"/>
      <c r="R51" s="92"/>
      <c r="S51" s="129" t="e">
        <f t="shared" si="11"/>
        <v>#REF!</v>
      </c>
      <c r="T51" s="25"/>
      <c r="U51" s="83"/>
      <c r="V51" s="25"/>
      <c r="W51" s="25"/>
      <c r="X51" s="25"/>
      <c r="Y51" s="25"/>
      <c r="Z51" s="25"/>
      <c r="AA51" s="25"/>
      <c r="AB51" s="25"/>
      <c r="AC51" s="25"/>
    </row>
    <row r="52" spans="1:29" s="37" customFormat="1" ht="11.25" customHeight="1">
      <c r="A52" s="80"/>
      <c r="B52" s="256">
        <v>45708</v>
      </c>
      <c r="C52" s="144" t="s">
        <v>134</v>
      </c>
      <c r="D52" s="149"/>
      <c r="E52" s="145">
        <v>27</v>
      </c>
      <c r="F52" s="82" t="s">
        <v>32</v>
      </c>
      <c r="G52" s="82" t="s">
        <v>33</v>
      </c>
      <c r="H52" s="150"/>
      <c r="I52" s="149"/>
      <c r="J52" s="149"/>
      <c r="K52" s="258">
        <v>2964.93</v>
      </c>
      <c r="L52" s="79" t="e">
        <f>#REF!</f>
        <v>#REF!</v>
      </c>
      <c r="M52" s="139" t="e">
        <f t="shared" si="12"/>
        <v>#REF!</v>
      </c>
      <c r="N52" s="153">
        <f t="shared" si="5"/>
        <v>391266.70000000042</v>
      </c>
      <c r="O52" s="153" t="e">
        <f t="shared" si="6"/>
        <v>#REF!</v>
      </c>
      <c r="P52" s="140" t="s">
        <v>116</v>
      </c>
      <c r="Q52" s="92"/>
      <c r="R52" s="92"/>
      <c r="S52" s="129" t="e">
        <f t="shared" si="11"/>
        <v>#REF!</v>
      </c>
      <c r="T52" s="25"/>
      <c r="U52" s="83"/>
      <c r="V52" s="25"/>
      <c r="W52" s="25"/>
      <c r="X52" s="25"/>
      <c r="Y52" s="25"/>
      <c r="Z52" s="25"/>
      <c r="AA52" s="25"/>
      <c r="AB52" s="25"/>
      <c r="AC52" s="25"/>
    </row>
    <row r="53" spans="1:29" s="37" customFormat="1" ht="11.25" customHeight="1">
      <c r="A53" s="80"/>
      <c r="B53" s="256">
        <v>45708</v>
      </c>
      <c r="C53" s="144" t="s">
        <v>64</v>
      </c>
      <c r="D53" s="149"/>
      <c r="E53" s="145">
        <v>28</v>
      </c>
      <c r="F53" s="82" t="s">
        <v>28</v>
      </c>
      <c r="G53" s="82" t="s">
        <v>31</v>
      </c>
      <c r="H53" s="150"/>
      <c r="I53" s="149"/>
      <c r="J53" s="149"/>
      <c r="K53" s="258" t="e">
        <f>L53*M53</f>
        <v>#REF!</v>
      </c>
      <c r="L53" s="79" t="e">
        <f>#REF!</f>
        <v>#REF!</v>
      </c>
      <c r="M53" s="139">
        <v>1398.2098718167147</v>
      </c>
      <c r="N53" s="153" t="e">
        <f t="shared" si="5"/>
        <v>#REF!</v>
      </c>
      <c r="O53" s="153" t="e">
        <f t="shared" si="6"/>
        <v>#REF!</v>
      </c>
      <c r="P53" s="140" t="s">
        <v>116</v>
      </c>
      <c r="Q53" s="92"/>
      <c r="R53" s="92"/>
      <c r="S53" s="129" t="e">
        <f t="shared" si="11"/>
        <v>#REF!</v>
      </c>
      <c r="T53" s="25"/>
      <c r="U53" s="83"/>
      <c r="V53" s="25"/>
      <c r="W53" s="25"/>
      <c r="X53" s="25"/>
      <c r="Y53" s="25"/>
      <c r="Z53" s="25"/>
      <c r="AA53" s="25"/>
      <c r="AB53" s="25"/>
      <c r="AC53" s="25"/>
    </row>
    <row r="54" spans="1:29" s="37" customFormat="1" ht="11.25" customHeight="1">
      <c r="A54" s="80"/>
      <c r="B54" s="256">
        <v>45708</v>
      </c>
      <c r="C54" s="144" t="s">
        <v>64</v>
      </c>
      <c r="D54" s="149"/>
      <c r="E54" s="145">
        <v>28</v>
      </c>
      <c r="F54" s="82" t="s">
        <v>28</v>
      </c>
      <c r="G54" s="82" t="s">
        <v>31</v>
      </c>
      <c r="H54" s="150"/>
      <c r="I54" s="149"/>
      <c r="J54" s="149"/>
      <c r="K54" s="258" t="e">
        <f>13575-K53</f>
        <v>#REF!</v>
      </c>
      <c r="L54" s="79" t="e">
        <f>#REF!</f>
        <v>#REF!</v>
      </c>
      <c r="M54" s="141" t="e">
        <f t="shared" si="12"/>
        <v>#REF!</v>
      </c>
      <c r="N54" s="153" t="e">
        <f t="shared" si="5"/>
        <v>#REF!</v>
      </c>
      <c r="O54" s="153" t="e">
        <f t="shared" si="6"/>
        <v>#REF!</v>
      </c>
      <c r="P54" s="140" t="s">
        <v>166</v>
      </c>
      <c r="Q54" s="92"/>
      <c r="R54" s="92"/>
      <c r="S54" s="129" t="e">
        <f>7766-M54</f>
        <v>#REF!</v>
      </c>
      <c r="T54" s="25"/>
      <c r="U54" s="83"/>
      <c r="V54" s="25"/>
      <c r="W54" s="25"/>
      <c r="X54" s="25"/>
      <c r="Y54" s="25"/>
      <c r="Z54" s="25"/>
      <c r="AA54" s="25"/>
      <c r="AB54" s="25"/>
      <c r="AC54" s="25"/>
    </row>
    <row r="55" spans="1:29" s="37" customFormat="1" ht="11.25" customHeight="1">
      <c r="A55" s="80"/>
      <c r="B55" s="256">
        <v>45708</v>
      </c>
      <c r="C55" s="144" t="s">
        <v>41</v>
      </c>
      <c r="D55" s="149"/>
      <c r="E55" s="145">
        <v>29</v>
      </c>
      <c r="F55" s="82" t="s">
        <v>25</v>
      </c>
      <c r="G55" s="82"/>
      <c r="H55" s="150"/>
      <c r="I55" s="149"/>
      <c r="J55" s="149"/>
      <c r="K55" s="258">
        <v>7.2</v>
      </c>
      <c r="L55" s="79" t="e">
        <f>#REF!</f>
        <v>#REF!</v>
      </c>
      <c r="M55" s="141" t="e">
        <f t="shared" si="12"/>
        <v>#REF!</v>
      </c>
      <c r="N55" s="153" t="e">
        <f t="shared" si="5"/>
        <v>#REF!</v>
      </c>
      <c r="O55" s="153" t="e">
        <f t="shared" si="6"/>
        <v>#REF!</v>
      </c>
      <c r="P55" s="140" t="s">
        <v>166</v>
      </c>
      <c r="Q55" s="92"/>
      <c r="R55" s="92"/>
      <c r="S55" s="129" t="e">
        <f>S54-M55</f>
        <v>#REF!</v>
      </c>
      <c r="T55" s="25"/>
      <c r="U55" s="83"/>
      <c r="V55" s="25"/>
      <c r="W55" s="25"/>
      <c r="X55" s="25"/>
      <c r="Y55" s="25"/>
      <c r="Z55" s="25"/>
      <c r="AA55" s="25"/>
      <c r="AB55" s="25"/>
      <c r="AC55" s="25"/>
    </row>
    <row r="56" spans="1:29" s="37" customFormat="1" ht="11.25" customHeight="1">
      <c r="A56" s="80"/>
      <c r="B56" s="256">
        <v>45708</v>
      </c>
      <c r="C56" s="144" t="s">
        <v>172</v>
      </c>
      <c r="D56" s="149"/>
      <c r="E56" s="82">
        <v>30</v>
      </c>
      <c r="F56" s="82" t="s">
        <v>28</v>
      </c>
      <c r="G56" s="82" t="s">
        <v>31</v>
      </c>
      <c r="H56" s="82"/>
      <c r="I56" s="82"/>
      <c r="J56" s="82"/>
      <c r="K56" s="162">
        <v>74</v>
      </c>
      <c r="L56" s="79" t="e">
        <f>#REF!</f>
        <v>#REF!</v>
      </c>
      <c r="M56" s="141" t="e">
        <f t="shared" si="12"/>
        <v>#REF!</v>
      </c>
      <c r="N56" s="153" t="e">
        <f t="shared" si="5"/>
        <v>#REF!</v>
      </c>
      <c r="O56" s="153" t="e">
        <f t="shared" si="6"/>
        <v>#REF!</v>
      </c>
      <c r="P56" s="140" t="s">
        <v>166</v>
      </c>
      <c r="Q56" s="92"/>
      <c r="R56" s="92"/>
      <c r="S56" s="129" t="e">
        <f t="shared" ref="S56:S97" si="13">S55-M56</f>
        <v>#REF!</v>
      </c>
      <c r="T56" s="25"/>
      <c r="U56" s="83"/>
      <c r="V56" s="25"/>
      <c r="W56" s="25"/>
      <c r="X56" s="25"/>
      <c r="Y56" s="25"/>
      <c r="Z56" s="25"/>
      <c r="AA56" s="25"/>
      <c r="AB56" s="25"/>
      <c r="AC56" s="25"/>
    </row>
    <row r="57" spans="1:29" s="37" customFormat="1" ht="11.25" customHeight="1">
      <c r="A57" s="80"/>
      <c r="B57" s="256">
        <v>45708</v>
      </c>
      <c r="C57" s="144" t="s">
        <v>173</v>
      </c>
      <c r="D57" s="149"/>
      <c r="E57" s="145">
        <v>31</v>
      </c>
      <c r="F57" s="82" t="s">
        <v>27</v>
      </c>
      <c r="G57" s="82" t="s">
        <v>30</v>
      </c>
      <c r="H57" s="82"/>
      <c r="I57" s="82"/>
      <c r="J57" s="82"/>
      <c r="K57" s="162">
        <v>93.06</v>
      </c>
      <c r="L57" s="79" t="e">
        <f>#REF!</f>
        <v>#REF!</v>
      </c>
      <c r="M57" s="141" t="e">
        <f t="shared" si="12"/>
        <v>#REF!</v>
      </c>
      <c r="N57" s="153" t="e">
        <f t="shared" si="5"/>
        <v>#REF!</v>
      </c>
      <c r="O57" s="153" t="e">
        <f t="shared" si="6"/>
        <v>#REF!</v>
      </c>
      <c r="P57" s="140" t="s">
        <v>166</v>
      </c>
      <c r="Q57" s="92"/>
      <c r="R57" s="92"/>
      <c r="S57" s="129" t="e">
        <f t="shared" si="13"/>
        <v>#REF!</v>
      </c>
      <c r="T57" s="25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s="37" customFormat="1" ht="11.25" customHeight="1">
      <c r="A58" s="80"/>
      <c r="B58" s="256">
        <v>45708</v>
      </c>
      <c r="C58" s="144" t="s">
        <v>174</v>
      </c>
      <c r="D58" s="149"/>
      <c r="E58" s="145">
        <v>32</v>
      </c>
      <c r="F58" s="82" t="s">
        <v>32</v>
      </c>
      <c r="G58" s="82" t="s">
        <v>33</v>
      </c>
      <c r="H58" s="82"/>
      <c r="I58" s="82"/>
      <c r="J58" s="82"/>
      <c r="K58" s="162">
        <v>1970.3</v>
      </c>
      <c r="L58" s="79" t="e">
        <f>#REF!</f>
        <v>#REF!</v>
      </c>
      <c r="M58" s="141" t="e">
        <f t="shared" si="12"/>
        <v>#REF!</v>
      </c>
      <c r="N58" s="153" t="e">
        <f t="shared" si="5"/>
        <v>#REF!</v>
      </c>
      <c r="O58" s="153" t="e">
        <f t="shared" si="6"/>
        <v>#REF!</v>
      </c>
      <c r="P58" s="140" t="s">
        <v>166</v>
      </c>
      <c r="Q58" s="92"/>
      <c r="R58" s="92"/>
      <c r="S58" s="129" t="e">
        <f t="shared" si="13"/>
        <v>#REF!</v>
      </c>
      <c r="T58" s="25"/>
      <c r="U58" s="83"/>
      <c r="V58" s="25"/>
      <c r="W58" s="25"/>
      <c r="X58" s="25"/>
      <c r="Y58" s="25"/>
      <c r="Z58" s="25"/>
      <c r="AA58" s="25"/>
      <c r="AB58" s="25"/>
      <c r="AC58" s="25"/>
    </row>
    <row r="59" spans="1:29" s="37" customFormat="1" ht="11.25" customHeight="1">
      <c r="A59" s="80"/>
      <c r="B59" s="256">
        <v>45708</v>
      </c>
      <c r="C59" s="144" t="s">
        <v>175</v>
      </c>
      <c r="D59" s="149"/>
      <c r="E59" s="145">
        <v>33</v>
      </c>
      <c r="F59" s="82" t="s">
        <v>32</v>
      </c>
      <c r="G59" s="82" t="s">
        <v>33</v>
      </c>
      <c r="H59" s="82"/>
      <c r="I59" s="82"/>
      <c r="J59" s="82"/>
      <c r="K59" s="162">
        <v>93.48</v>
      </c>
      <c r="L59" s="79" t="e">
        <f>#REF!</f>
        <v>#REF!</v>
      </c>
      <c r="M59" s="141" t="e">
        <f t="shared" si="12"/>
        <v>#REF!</v>
      </c>
      <c r="N59" s="153" t="e">
        <f t="shared" si="5"/>
        <v>#REF!</v>
      </c>
      <c r="O59" s="153" t="e">
        <f t="shared" si="6"/>
        <v>#REF!</v>
      </c>
      <c r="P59" s="140" t="s">
        <v>166</v>
      </c>
      <c r="Q59" s="92"/>
      <c r="R59" s="92"/>
      <c r="S59" s="129" t="e">
        <f t="shared" si="13"/>
        <v>#REF!</v>
      </c>
      <c r="T59" s="25"/>
      <c r="U59" s="83"/>
      <c r="V59" s="25"/>
      <c r="W59" s="25"/>
      <c r="X59" s="25"/>
      <c r="Y59" s="25"/>
      <c r="Z59" s="25"/>
      <c r="AA59" s="25"/>
      <c r="AB59" s="25"/>
      <c r="AC59" s="25"/>
    </row>
    <row r="60" spans="1:29" s="37" customFormat="1" ht="11.25" customHeight="1">
      <c r="A60" s="80"/>
      <c r="B60" s="256">
        <v>45708</v>
      </c>
      <c r="C60" s="144" t="s">
        <v>176</v>
      </c>
      <c r="D60" s="149"/>
      <c r="E60" s="82">
        <v>34</v>
      </c>
      <c r="F60" s="142" t="s">
        <v>25</v>
      </c>
      <c r="G60" s="82"/>
      <c r="H60" s="82"/>
      <c r="I60" s="82"/>
      <c r="J60" s="82"/>
      <c r="K60" s="162">
        <v>137.4</v>
      </c>
      <c r="L60" s="79" t="e">
        <f>#REF!</f>
        <v>#REF!</v>
      </c>
      <c r="M60" s="141" t="e">
        <f t="shared" si="12"/>
        <v>#REF!</v>
      </c>
      <c r="N60" s="153" t="e">
        <f t="shared" si="5"/>
        <v>#REF!</v>
      </c>
      <c r="O60" s="153" t="e">
        <f t="shared" si="6"/>
        <v>#REF!</v>
      </c>
      <c r="P60" s="140" t="s">
        <v>166</v>
      </c>
      <c r="Q60" s="92"/>
      <c r="R60" s="92"/>
      <c r="S60" s="129" t="e">
        <f t="shared" si="13"/>
        <v>#REF!</v>
      </c>
      <c r="T60" s="25"/>
      <c r="U60" s="83"/>
      <c r="V60" s="25"/>
      <c r="W60" s="25"/>
      <c r="X60" s="25"/>
      <c r="Y60" s="25"/>
      <c r="Z60" s="25"/>
      <c r="AA60" s="25"/>
      <c r="AB60" s="25"/>
      <c r="AC60" s="25"/>
    </row>
    <row r="61" spans="1:29" s="37" customFormat="1" ht="11.25" customHeight="1">
      <c r="A61" s="80"/>
      <c r="B61" s="256">
        <v>45708</v>
      </c>
      <c r="C61" s="144" t="s">
        <v>41</v>
      </c>
      <c r="D61" s="149"/>
      <c r="E61" s="82">
        <v>35</v>
      </c>
      <c r="F61" s="82" t="s">
        <v>25</v>
      </c>
      <c r="G61" s="82"/>
      <c r="H61" s="82"/>
      <c r="I61" s="82"/>
      <c r="J61" s="82"/>
      <c r="K61" s="162">
        <v>3.6</v>
      </c>
      <c r="L61" s="79" t="e">
        <f>#REF!</f>
        <v>#REF!</v>
      </c>
      <c r="M61" s="141" t="e">
        <f t="shared" si="12"/>
        <v>#REF!</v>
      </c>
      <c r="N61" s="153" t="e">
        <f t="shared" si="5"/>
        <v>#REF!</v>
      </c>
      <c r="O61" s="153" t="e">
        <f t="shared" si="6"/>
        <v>#REF!</v>
      </c>
      <c r="P61" s="140" t="s">
        <v>166</v>
      </c>
      <c r="Q61" s="92"/>
      <c r="R61" s="92"/>
      <c r="S61" s="129" t="e">
        <f t="shared" si="13"/>
        <v>#REF!</v>
      </c>
      <c r="T61" s="25"/>
      <c r="U61" s="83"/>
      <c r="V61" s="25"/>
      <c r="W61" s="25"/>
      <c r="X61" s="25"/>
      <c r="Y61" s="25"/>
      <c r="Z61" s="25"/>
      <c r="AA61" s="25"/>
      <c r="AB61" s="25"/>
      <c r="AC61" s="25"/>
    </row>
    <row r="62" spans="1:29" ht="11.25" customHeight="1">
      <c r="B62" s="256">
        <v>45708</v>
      </c>
      <c r="C62" s="178" t="s">
        <v>82</v>
      </c>
      <c r="D62" s="149"/>
      <c r="E62" s="145">
        <v>36</v>
      </c>
      <c r="F62" s="82" t="s">
        <v>32</v>
      </c>
      <c r="G62" s="82" t="s">
        <v>33</v>
      </c>
      <c r="H62" s="82"/>
      <c r="I62" s="82"/>
      <c r="J62" s="82"/>
      <c r="K62" s="258">
        <v>270</v>
      </c>
      <c r="L62" s="79" t="e">
        <f>#REF!</f>
        <v>#REF!</v>
      </c>
      <c r="M62" s="141" t="e">
        <f t="shared" si="12"/>
        <v>#REF!</v>
      </c>
      <c r="N62" s="153" t="e">
        <f t="shared" si="5"/>
        <v>#REF!</v>
      </c>
      <c r="O62" s="153" t="e">
        <f t="shared" si="6"/>
        <v>#REF!</v>
      </c>
      <c r="P62" s="140" t="s">
        <v>166</v>
      </c>
      <c r="Q62" s="92"/>
      <c r="R62" s="92"/>
      <c r="S62" s="129" t="e">
        <f t="shared" si="13"/>
        <v>#REF!</v>
      </c>
    </row>
    <row r="63" spans="1:29" ht="11.25" customHeight="1">
      <c r="B63" s="256">
        <v>45708</v>
      </c>
      <c r="C63" s="178" t="s">
        <v>84</v>
      </c>
      <c r="D63" s="149"/>
      <c r="E63" s="145">
        <v>37</v>
      </c>
      <c r="F63" s="82" t="s">
        <v>32</v>
      </c>
      <c r="G63" s="82" t="s">
        <v>33</v>
      </c>
      <c r="H63" s="82"/>
      <c r="I63" s="82"/>
      <c r="J63" s="82"/>
      <c r="K63" s="258">
        <v>2380</v>
      </c>
      <c r="L63" s="79" t="e">
        <f>#REF!</f>
        <v>#REF!</v>
      </c>
      <c r="M63" s="141" t="e">
        <f t="shared" ref="M63:M69" si="14">K63/L63</f>
        <v>#REF!</v>
      </c>
      <c r="N63" s="153" t="e">
        <f t="shared" si="5"/>
        <v>#REF!</v>
      </c>
      <c r="O63" s="153" t="e">
        <f t="shared" si="6"/>
        <v>#REF!</v>
      </c>
      <c r="P63" s="140" t="s">
        <v>166</v>
      </c>
      <c r="Q63" s="92"/>
      <c r="R63" s="92"/>
      <c r="S63" s="129" t="e">
        <f t="shared" si="13"/>
        <v>#REF!</v>
      </c>
    </row>
    <row r="64" spans="1:29" ht="11.25" customHeight="1">
      <c r="B64" s="256">
        <v>45708</v>
      </c>
      <c r="C64" s="178" t="s">
        <v>83</v>
      </c>
      <c r="D64" s="149"/>
      <c r="E64" s="145">
        <v>38</v>
      </c>
      <c r="F64" s="82" t="s">
        <v>32</v>
      </c>
      <c r="G64" s="181" t="s">
        <v>33</v>
      </c>
      <c r="H64" s="181"/>
      <c r="I64" s="181"/>
      <c r="J64" s="181"/>
      <c r="K64" s="258">
        <v>381</v>
      </c>
      <c r="L64" s="79" t="e">
        <f>#REF!</f>
        <v>#REF!</v>
      </c>
      <c r="M64" s="141" t="e">
        <f t="shared" si="14"/>
        <v>#REF!</v>
      </c>
      <c r="N64" s="153" t="e">
        <f t="shared" si="5"/>
        <v>#REF!</v>
      </c>
      <c r="O64" s="153" t="e">
        <f t="shared" si="6"/>
        <v>#REF!</v>
      </c>
      <c r="P64" s="140" t="s">
        <v>166</v>
      </c>
      <c r="Q64" s="92"/>
      <c r="R64" s="92"/>
      <c r="S64" s="129" t="e">
        <f t="shared" si="13"/>
        <v>#REF!</v>
      </c>
    </row>
    <row r="65" spans="2:19" ht="11.25" customHeight="1">
      <c r="B65" s="256">
        <v>45708</v>
      </c>
      <c r="C65" s="144" t="s">
        <v>41</v>
      </c>
      <c r="D65" s="149"/>
      <c r="E65" s="145">
        <v>39</v>
      </c>
      <c r="F65" s="82" t="s">
        <v>25</v>
      </c>
      <c r="G65" s="181"/>
      <c r="H65" s="181"/>
      <c r="I65" s="181"/>
      <c r="J65" s="181"/>
      <c r="K65" s="258">
        <v>3.6</v>
      </c>
      <c r="L65" s="79" t="e">
        <f>#REF!</f>
        <v>#REF!</v>
      </c>
      <c r="M65" s="141" t="e">
        <f t="shared" si="14"/>
        <v>#REF!</v>
      </c>
      <c r="N65" s="153" t="e">
        <f t="shared" si="5"/>
        <v>#REF!</v>
      </c>
      <c r="O65" s="153" t="e">
        <f t="shared" si="6"/>
        <v>#REF!</v>
      </c>
      <c r="P65" s="140" t="s">
        <v>166</v>
      </c>
      <c r="Q65" s="92"/>
      <c r="R65" s="92"/>
      <c r="S65" s="129" t="e">
        <f t="shared" si="13"/>
        <v>#REF!</v>
      </c>
    </row>
    <row r="66" spans="2:19" ht="11.25" customHeight="1">
      <c r="B66" s="256">
        <v>45708</v>
      </c>
      <c r="C66" s="178" t="s">
        <v>80</v>
      </c>
      <c r="D66" s="149"/>
      <c r="E66" s="145">
        <v>40</v>
      </c>
      <c r="F66" s="82" t="s">
        <v>32</v>
      </c>
      <c r="G66" s="181" t="s">
        <v>33</v>
      </c>
      <c r="H66" s="181"/>
      <c r="I66" s="181"/>
      <c r="J66" s="181"/>
      <c r="K66" s="258">
        <v>497</v>
      </c>
      <c r="L66" s="79" t="e">
        <f>#REF!</f>
        <v>#REF!</v>
      </c>
      <c r="M66" s="141" t="e">
        <f t="shared" si="14"/>
        <v>#REF!</v>
      </c>
      <c r="N66" s="153" t="e">
        <f t="shared" si="5"/>
        <v>#REF!</v>
      </c>
      <c r="O66" s="153" t="e">
        <f t="shared" si="6"/>
        <v>#REF!</v>
      </c>
      <c r="P66" s="140" t="s">
        <v>166</v>
      </c>
      <c r="Q66" s="92"/>
      <c r="R66" s="92"/>
      <c r="S66" s="129" t="e">
        <f t="shared" si="13"/>
        <v>#REF!</v>
      </c>
    </row>
    <row r="67" spans="2:19" ht="11.25" customHeight="1">
      <c r="B67" s="256">
        <v>45708</v>
      </c>
      <c r="C67" s="178" t="s">
        <v>81</v>
      </c>
      <c r="D67" s="149"/>
      <c r="E67" s="181">
        <v>41</v>
      </c>
      <c r="F67" s="181" t="s">
        <v>32</v>
      </c>
      <c r="G67" s="181" t="s">
        <v>33</v>
      </c>
      <c r="H67" s="181"/>
      <c r="I67" s="181"/>
      <c r="J67" s="181"/>
      <c r="K67" s="259">
        <v>1488</v>
      </c>
      <c r="L67" s="79" t="e">
        <f>#REF!</f>
        <v>#REF!</v>
      </c>
      <c r="M67" s="141" t="e">
        <f t="shared" si="14"/>
        <v>#REF!</v>
      </c>
      <c r="N67" s="153" t="e">
        <f t="shared" si="5"/>
        <v>#REF!</v>
      </c>
      <c r="O67" s="153" t="e">
        <f t="shared" si="6"/>
        <v>#REF!</v>
      </c>
      <c r="P67" s="140" t="s">
        <v>166</v>
      </c>
      <c r="Q67" s="92"/>
      <c r="R67" s="92"/>
      <c r="S67" s="129" t="e">
        <f t="shared" si="13"/>
        <v>#REF!</v>
      </c>
    </row>
    <row r="68" spans="2:19" ht="11.25" customHeight="1">
      <c r="B68" s="256">
        <v>45708</v>
      </c>
      <c r="C68" s="178" t="s">
        <v>79</v>
      </c>
      <c r="D68" s="149"/>
      <c r="E68" s="145">
        <v>42</v>
      </c>
      <c r="F68" s="181" t="s">
        <v>32</v>
      </c>
      <c r="G68" s="181" t="s">
        <v>33</v>
      </c>
      <c r="H68" s="181"/>
      <c r="I68" s="181"/>
      <c r="J68" s="181"/>
      <c r="K68" s="258">
        <v>45</v>
      </c>
      <c r="L68" s="79" t="e">
        <f>#REF!</f>
        <v>#REF!</v>
      </c>
      <c r="M68" s="141" t="e">
        <f t="shared" si="14"/>
        <v>#REF!</v>
      </c>
      <c r="N68" s="153" t="e">
        <f t="shared" si="5"/>
        <v>#REF!</v>
      </c>
      <c r="O68" s="153" t="e">
        <f t="shared" si="6"/>
        <v>#REF!</v>
      </c>
      <c r="P68" s="140" t="s">
        <v>166</v>
      </c>
      <c r="Q68" s="92"/>
      <c r="R68" s="92"/>
      <c r="S68" s="129" t="e">
        <f t="shared" si="13"/>
        <v>#REF!</v>
      </c>
    </row>
    <row r="69" spans="2:19" ht="11.25" customHeight="1">
      <c r="B69" s="256">
        <v>45708</v>
      </c>
      <c r="C69" s="144" t="s">
        <v>41</v>
      </c>
      <c r="D69" s="149"/>
      <c r="E69" s="145">
        <v>43</v>
      </c>
      <c r="F69" s="181" t="s">
        <v>25</v>
      </c>
      <c r="G69" s="181"/>
      <c r="H69" s="181"/>
      <c r="I69" s="181"/>
      <c r="J69" s="181"/>
      <c r="K69" s="258">
        <v>3.6</v>
      </c>
      <c r="L69" s="79" t="e">
        <f>#REF!</f>
        <v>#REF!</v>
      </c>
      <c r="M69" s="141" t="e">
        <f t="shared" si="14"/>
        <v>#REF!</v>
      </c>
      <c r="N69" s="153" t="e">
        <f t="shared" si="5"/>
        <v>#REF!</v>
      </c>
      <c r="O69" s="153" t="e">
        <f t="shared" si="6"/>
        <v>#REF!</v>
      </c>
      <c r="P69" s="140" t="s">
        <v>166</v>
      </c>
      <c r="Q69" s="92"/>
      <c r="R69" s="92"/>
      <c r="S69" s="129" t="e">
        <f t="shared" si="13"/>
        <v>#REF!</v>
      </c>
    </row>
    <row r="70" spans="2:19" ht="11.25" customHeight="1">
      <c r="B70" s="256">
        <v>45708</v>
      </c>
      <c r="C70" s="178" t="s">
        <v>69</v>
      </c>
      <c r="D70" s="149"/>
      <c r="E70" s="145">
        <v>44</v>
      </c>
      <c r="F70" s="181" t="s">
        <v>25</v>
      </c>
      <c r="G70" s="181"/>
      <c r="H70" s="181"/>
      <c r="I70" s="181"/>
      <c r="J70" s="181"/>
      <c r="K70" s="146">
        <v>16000</v>
      </c>
      <c r="L70" s="79" t="e">
        <f>#REF!</f>
        <v>#REF!</v>
      </c>
      <c r="M70" s="141" t="e">
        <f t="shared" ref="M70:M97" si="15">K70/L70</f>
        <v>#REF!</v>
      </c>
      <c r="N70" s="153" t="e">
        <f t="shared" si="5"/>
        <v>#REF!</v>
      </c>
      <c r="O70" s="153" t="e">
        <f t="shared" si="6"/>
        <v>#REF!</v>
      </c>
      <c r="P70" s="140" t="s">
        <v>166</v>
      </c>
      <c r="Q70" s="92"/>
      <c r="R70" s="92"/>
      <c r="S70" s="129" t="e">
        <f t="shared" si="13"/>
        <v>#REF!</v>
      </c>
    </row>
    <row r="71" spans="2:19" ht="11.25" customHeight="1">
      <c r="B71" s="256">
        <v>45708</v>
      </c>
      <c r="C71" s="178" t="s">
        <v>75</v>
      </c>
      <c r="D71" s="149"/>
      <c r="E71" s="181">
        <v>44</v>
      </c>
      <c r="F71" s="181" t="s">
        <v>25</v>
      </c>
      <c r="G71" s="181"/>
      <c r="H71" s="181"/>
      <c r="I71" s="181"/>
      <c r="J71" s="181"/>
      <c r="K71" s="146">
        <v>24000</v>
      </c>
      <c r="L71" s="79" t="e">
        <f>#REF!</f>
        <v>#REF!</v>
      </c>
      <c r="M71" s="141" t="e">
        <f t="shared" si="15"/>
        <v>#REF!</v>
      </c>
      <c r="N71" s="153" t="e">
        <f t="shared" si="5"/>
        <v>#REF!</v>
      </c>
      <c r="O71" s="153" t="e">
        <f t="shared" si="6"/>
        <v>#REF!</v>
      </c>
      <c r="P71" s="140" t="s">
        <v>166</v>
      </c>
      <c r="Q71" s="92"/>
      <c r="R71" s="92"/>
      <c r="S71" s="129" t="e">
        <f t="shared" si="13"/>
        <v>#REF!</v>
      </c>
    </row>
    <row r="72" spans="2:19" ht="11.25" customHeight="1">
      <c r="B72" s="256">
        <v>45708</v>
      </c>
      <c r="C72" s="144" t="s">
        <v>70</v>
      </c>
      <c r="D72" s="149"/>
      <c r="E72" s="145">
        <v>44</v>
      </c>
      <c r="F72" s="181" t="s">
        <v>25</v>
      </c>
      <c r="G72" s="181"/>
      <c r="H72" s="181"/>
      <c r="I72" s="181"/>
      <c r="J72" s="181"/>
      <c r="K72" s="146">
        <v>5305.1900000000005</v>
      </c>
      <c r="L72" s="79" t="e">
        <f>#REF!</f>
        <v>#REF!</v>
      </c>
      <c r="M72" s="141" t="e">
        <f t="shared" si="15"/>
        <v>#REF!</v>
      </c>
      <c r="N72" s="153" t="e">
        <f t="shared" si="5"/>
        <v>#REF!</v>
      </c>
      <c r="O72" s="153" t="e">
        <f t="shared" si="6"/>
        <v>#REF!</v>
      </c>
      <c r="P72" s="140" t="s">
        <v>166</v>
      </c>
      <c r="Q72" s="92"/>
      <c r="R72" s="92"/>
      <c r="S72" s="129" t="e">
        <f t="shared" si="13"/>
        <v>#REF!</v>
      </c>
    </row>
    <row r="73" spans="2:19" ht="11.25" customHeight="1">
      <c r="B73" s="256">
        <v>45708</v>
      </c>
      <c r="C73" s="178" t="s">
        <v>71</v>
      </c>
      <c r="D73" s="149"/>
      <c r="E73" s="145">
        <v>44</v>
      </c>
      <c r="F73" s="181" t="s">
        <v>25</v>
      </c>
      <c r="G73" s="181"/>
      <c r="H73" s="181"/>
      <c r="I73" s="181"/>
      <c r="J73" s="181"/>
      <c r="K73" s="146" t="e">
        <f>L73*M73</f>
        <v>#REF!</v>
      </c>
      <c r="L73" s="79" t="e">
        <f>#REF!</f>
        <v>#REF!</v>
      </c>
      <c r="M73" s="141">
        <v>5.4824733007262694</v>
      </c>
      <c r="N73" s="153" t="e">
        <f t="shared" si="5"/>
        <v>#REF!</v>
      </c>
      <c r="O73" s="153" t="e">
        <f t="shared" si="6"/>
        <v>#REF!</v>
      </c>
      <c r="P73" s="140" t="s">
        <v>166</v>
      </c>
      <c r="Q73" s="92"/>
      <c r="R73" s="92"/>
      <c r="S73" s="129" t="e">
        <f t="shared" si="13"/>
        <v>#REF!</v>
      </c>
    </row>
    <row r="74" spans="2:19" ht="11.25" customHeight="1">
      <c r="B74" s="256">
        <v>45708</v>
      </c>
      <c r="C74" s="178" t="s">
        <v>71</v>
      </c>
      <c r="D74" s="149"/>
      <c r="E74" s="145">
        <v>44</v>
      </c>
      <c r="F74" s="181" t="s">
        <v>25</v>
      </c>
      <c r="G74" s="181"/>
      <c r="H74" s="181"/>
      <c r="I74" s="181"/>
      <c r="J74" s="181"/>
      <c r="K74" s="146" t="e">
        <f>3152.56-K73</f>
        <v>#REF!</v>
      </c>
      <c r="L74" s="79" t="e">
        <f>#REF!</f>
        <v>#REF!</v>
      </c>
      <c r="M74" s="155" t="e">
        <f t="shared" si="15"/>
        <v>#REF!</v>
      </c>
      <c r="N74" s="153" t="e">
        <f t="shared" si="5"/>
        <v>#REF!</v>
      </c>
      <c r="O74" s="153" t="e">
        <f t="shared" si="6"/>
        <v>#REF!</v>
      </c>
      <c r="P74" s="140" t="s">
        <v>120</v>
      </c>
      <c r="Q74" s="92"/>
      <c r="R74" s="92"/>
      <c r="S74" s="129" t="e">
        <f>44544-M74</f>
        <v>#REF!</v>
      </c>
    </row>
    <row r="75" spans="2:19" ht="11.25" customHeight="1">
      <c r="B75" s="256">
        <v>45708</v>
      </c>
      <c r="C75" s="178" t="s">
        <v>73</v>
      </c>
      <c r="D75" s="149"/>
      <c r="E75" s="145">
        <v>44</v>
      </c>
      <c r="F75" s="181" t="s">
        <v>25</v>
      </c>
      <c r="G75" s="181"/>
      <c r="H75" s="181"/>
      <c r="I75" s="181"/>
      <c r="J75" s="181"/>
      <c r="K75" s="146">
        <v>300</v>
      </c>
      <c r="L75" s="79" t="e">
        <f>#REF!</f>
        <v>#REF!</v>
      </c>
      <c r="M75" s="155" t="e">
        <f t="shared" si="15"/>
        <v>#REF!</v>
      </c>
      <c r="N75" s="153" t="e">
        <f t="shared" si="5"/>
        <v>#REF!</v>
      </c>
      <c r="O75" s="153" t="e">
        <f t="shared" si="6"/>
        <v>#REF!</v>
      </c>
      <c r="P75" s="140" t="s">
        <v>120</v>
      </c>
      <c r="Q75" s="92"/>
      <c r="R75" s="92"/>
      <c r="S75" s="129" t="e">
        <f>S74-M75</f>
        <v>#REF!</v>
      </c>
    </row>
    <row r="76" spans="2:19" ht="11.25" customHeight="1">
      <c r="B76" s="256">
        <v>45708</v>
      </c>
      <c r="C76" s="178" t="s">
        <v>69</v>
      </c>
      <c r="D76" s="149"/>
      <c r="E76" s="145">
        <v>44</v>
      </c>
      <c r="F76" s="181" t="s">
        <v>25</v>
      </c>
      <c r="G76" s="181"/>
      <c r="H76" s="181"/>
      <c r="I76" s="181"/>
      <c r="J76" s="181"/>
      <c r="K76" s="146">
        <v>16000</v>
      </c>
      <c r="L76" s="79" t="e">
        <f>#REF!</f>
        <v>#REF!</v>
      </c>
      <c r="M76" s="155" t="e">
        <f t="shared" si="15"/>
        <v>#REF!</v>
      </c>
      <c r="N76" s="153" t="e">
        <f t="shared" si="5"/>
        <v>#REF!</v>
      </c>
      <c r="O76" s="153" t="e">
        <f t="shared" si="6"/>
        <v>#REF!</v>
      </c>
      <c r="P76" s="140" t="s">
        <v>120</v>
      </c>
      <c r="Q76" s="92"/>
      <c r="R76" s="92"/>
      <c r="S76" s="129" t="e">
        <f>S75-M76</f>
        <v>#REF!</v>
      </c>
    </row>
    <row r="77" spans="2:19" ht="11.25" customHeight="1">
      <c r="B77" s="256">
        <v>45708</v>
      </c>
      <c r="C77" s="178" t="s">
        <v>75</v>
      </c>
      <c r="D77" s="149"/>
      <c r="E77" s="82">
        <v>44</v>
      </c>
      <c r="F77" s="181" t="s">
        <v>25</v>
      </c>
      <c r="G77" s="82"/>
      <c r="H77" s="82"/>
      <c r="I77" s="82"/>
      <c r="J77" s="82"/>
      <c r="K77" s="146">
        <v>24000</v>
      </c>
      <c r="L77" s="79" t="e">
        <f>#REF!</f>
        <v>#REF!</v>
      </c>
      <c r="M77" s="155" t="e">
        <f t="shared" si="15"/>
        <v>#REF!</v>
      </c>
      <c r="N77" s="153" t="e">
        <f t="shared" si="5"/>
        <v>#REF!</v>
      </c>
      <c r="O77" s="153" t="e">
        <f t="shared" si="6"/>
        <v>#REF!</v>
      </c>
      <c r="P77" s="140" t="s">
        <v>120</v>
      </c>
      <c r="Q77" s="92"/>
      <c r="R77" s="92"/>
      <c r="S77" s="129" t="e">
        <f t="shared" si="13"/>
        <v>#REF!</v>
      </c>
    </row>
    <row r="78" spans="2:19" ht="11.25" customHeight="1">
      <c r="B78" s="256">
        <v>45708</v>
      </c>
      <c r="C78" s="178" t="s">
        <v>70</v>
      </c>
      <c r="D78" s="149"/>
      <c r="E78" s="145">
        <v>44</v>
      </c>
      <c r="F78" s="181" t="s">
        <v>25</v>
      </c>
      <c r="G78" s="82"/>
      <c r="H78" s="82"/>
      <c r="I78" s="82"/>
      <c r="J78" s="82"/>
      <c r="K78" s="146">
        <v>8726.1899999999987</v>
      </c>
      <c r="L78" s="79" t="e">
        <f>#REF!</f>
        <v>#REF!</v>
      </c>
      <c r="M78" s="155" t="e">
        <f t="shared" si="15"/>
        <v>#REF!</v>
      </c>
      <c r="N78" s="153" t="e">
        <f t="shared" si="5"/>
        <v>#REF!</v>
      </c>
      <c r="O78" s="153" t="e">
        <f t="shared" si="6"/>
        <v>#REF!</v>
      </c>
      <c r="P78" s="140" t="s">
        <v>120</v>
      </c>
      <c r="Q78" s="92"/>
      <c r="R78" s="92"/>
      <c r="S78" s="129" t="e">
        <f t="shared" si="13"/>
        <v>#REF!</v>
      </c>
    </row>
    <row r="79" spans="2:19" ht="11.25" customHeight="1">
      <c r="B79" s="256">
        <v>45708</v>
      </c>
      <c r="C79" s="178" t="s">
        <v>71</v>
      </c>
      <c r="D79" s="149"/>
      <c r="E79" s="145">
        <v>44</v>
      </c>
      <c r="F79" s="181" t="s">
        <v>25</v>
      </c>
      <c r="G79" s="82"/>
      <c r="H79" s="82"/>
      <c r="I79" s="82"/>
      <c r="J79" s="82"/>
      <c r="K79" s="146">
        <v>2863.9</v>
      </c>
      <c r="L79" s="79" t="e">
        <f>#REF!</f>
        <v>#REF!</v>
      </c>
      <c r="M79" s="155" t="e">
        <f t="shared" si="15"/>
        <v>#REF!</v>
      </c>
      <c r="N79" s="153" t="e">
        <f t="shared" si="5"/>
        <v>#REF!</v>
      </c>
      <c r="O79" s="153" t="e">
        <f t="shared" si="6"/>
        <v>#REF!</v>
      </c>
      <c r="P79" s="140" t="s">
        <v>120</v>
      </c>
      <c r="Q79" s="92"/>
      <c r="R79" s="92"/>
      <c r="S79" s="129" t="e">
        <f t="shared" si="13"/>
        <v>#REF!</v>
      </c>
    </row>
    <row r="80" spans="2:19" ht="11.25" customHeight="1">
      <c r="B80" s="256">
        <v>45708</v>
      </c>
      <c r="C80" s="178" t="s">
        <v>73</v>
      </c>
      <c r="D80" s="149"/>
      <c r="E80" s="82">
        <v>44</v>
      </c>
      <c r="F80" s="181" t="s">
        <v>25</v>
      </c>
      <c r="G80" s="82"/>
      <c r="H80" s="82"/>
      <c r="I80" s="82"/>
      <c r="J80" s="82"/>
      <c r="K80" s="146">
        <v>300</v>
      </c>
      <c r="L80" s="79" t="e">
        <f>#REF!</f>
        <v>#REF!</v>
      </c>
      <c r="M80" s="155" t="e">
        <f t="shared" si="15"/>
        <v>#REF!</v>
      </c>
      <c r="N80" s="153" t="e">
        <f t="shared" si="5"/>
        <v>#REF!</v>
      </c>
      <c r="O80" s="153" t="e">
        <f t="shared" si="6"/>
        <v>#REF!</v>
      </c>
      <c r="P80" s="140" t="s">
        <v>120</v>
      </c>
      <c r="Q80" s="92"/>
      <c r="R80" s="92"/>
      <c r="S80" s="129" t="e">
        <f t="shared" si="13"/>
        <v>#REF!</v>
      </c>
    </row>
    <row r="81" spans="2:19" ht="11.25" customHeight="1">
      <c r="B81" s="256">
        <v>45708</v>
      </c>
      <c r="C81" s="178" t="s">
        <v>72</v>
      </c>
      <c r="D81" s="149"/>
      <c r="E81" s="145">
        <v>44</v>
      </c>
      <c r="F81" s="181" t="s">
        <v>25</v>
      </c>
      <c r="G81" s="82"/>
      <c r="H81" s="82"/>
      <c r="I81" s="82"/>
      <c r="J81" s="82"/>
      <c r="K81" s="146">
        <v>25750</v>
      </c>
      <c r="L81" s="79" t="e">
        <f>#REF!</f>
        <v>#REF!</v>
      </c>
      <c r="M81" s="155" t="e">
        <f t="shared" si="15"/>
        <v>#REF!</v>
      </c>
      <c r="N81" s="153" t="e">
        <f t="shared" si="5"/>
        <v>#REF!</v>
      </c>
      <c r="O81" s="153" t="e">
        <f t="shared" si="6"/>
        <v>#REF!</v>
      </c>
      <c r="P81" s="140" t="s">
        <v>120</v>
      </c>
      <c r="Q81" s="92"/>
      <c r="R81" s="92"/>
      <c r="S81" s="129" t="e">
        <f t="shared" si="13"/>
        <v>#REF!</v>
      </c>
    </row>
    <row r="82" spans="2:19" ht="11.25" customHeight="1">
      <c r="B82" s="256">
        <v>45708</v>
      </c>
      <c r="C82" s="178" t="s">
        <v>76</v>
      </c>
      <c r="D82" s="183"/>
      <c r="E82" s="145">
        <v>44</v>
      </c>
      <c r="F82" s="181" t="s">
        <v>25</v>
      </c>
      <c r="G82" s="82"/>
      <c r="H82" s="82"/>
      <c r="I82" s="82"/>
      <c r="J82" s="82"/>
      <c r="K82" s="146">
        <v>7431.44</v>
      </c>
      <c r="L82" s="79" t="e">
        <f>#REF!</f>
        <v>#REF!</v>
      </c>
      <c r="M82" s="155" t="e">
        <f t="shared" si="15"/>
        <v>#REF!</v>
      </c>
      <c r="N82" s="153" t="e">
        <f t="shared" si="5"/>
        <v>#REF!</v>
      </c>
      <c r="O82" s="153" t="e">
        <f t="shared" si="6"/>
        <v>#REF!</v>
      </c>
      <c r="P82" s="140" t="s">
        <v>120</v>
      </c>
      <c r="Q82" s="92"/>
      <c r="R82" s="92"/>
      <c r="S82" s="129" t="e">
        <f t="shared" si="13"/>
        <v>#REF!</v>
      </c>
    </row>
    <row r="83" spans="2:19" ht="11.25" customHeight="1">
      <c r="B83" s="256">
        <v>45708</v>
      </c>
      <c r="C83" s="144" t="s">
        <v>73</v>
      </c>
      <c r="D83" s="183"/>
      <c r="E83" s="145">
        <v>44</v>
      </c>
      <c r="F83" s="181" t="s">
        <v>25</v>
      </c>
      <c r="G83" s="82"/>
      <c r="H83" s="82"/>
      <c r="I83" s="82"/>
      <c r="J83" s="82"/>
      <c r="K83" s="146">
        <v>300</v>
      </c>
      <c r="L83" s="79" t="e">
        <f>#REF!</f>
        <v>#REF!</v>
      </c>
      <c r="M83" s="155" t="e">
        <f t="shared" si="15"/>
        <v>#REF!</v>
      </c>
      <c r="N83" s="153" t="e">
        <f t="shared" si="5"/>
        <v>#REF!</v>
      </c>
      <c r="O83" s="153" t="e">
        <f t="shared" si="6"/>
        <v>#REF!</v>
      </c>
      <c r="P83" s="140" t="s">
        <v>120</v>
      </c>
      <c r="Q83" s="92"/>
      <c r="R83" s="92"/>
      <c r="S83" s="129" t="e">
        <f t="shared" si="13"/>
        <v>#REF!</v>
      </c>
    </row>
    <row r="84" spans="2:19" ht="11.25" customHeight="1">
      <c r="B84" s="256">
        <v>45708</v>
      </c>
      <c r="C84" s="178" t="s">
        <v>77</v>
      </c>
      <c r="D84" s="183"/>
      <c r="E84" s="145">
        <v>44</v>
      </c>
      <c r="F84" s="181" t="s">
        <v>25</v>
      </c>
      <c r="G84" s="82"/>
      <c r="H84" s="82"/>
      <c r="I84" s="82"/>
      <c r="J84" s="82"/>
      <c r="K84" s="146">
        <v>300</v>
      </c>
      <c r="L84" s="79" t="e">
        <f>#REF!</f>
        <v>#REF!</v>
      </c>
      <c r="M84" s="155" t="e">
        <f t="shared" si="15"/>
        <v>#REF!</v>
      </c>
      <c r="N84" s="153" t="e">
        <f t="shared" si="5"/>
        <v>#REF!</v>
      </c>
      <c r="O84" s="153" t="e">
        <f t="shared" si="6"/>
        <v>#REF!</v>
      </c>
      <c r="P84" s="140" t="s">
        <v>120</v>
      </c>
      <c r="Q84" s="92"/>
      <c r="R84" s="92"/>
      <c r="S84" s="129" t="e">
        <f t="shared" si="13"/>
        <v>#REF!</v>
      </c>
    </row>
    <row r="85" spans="2:19" ht="11.25" customHeight="1">
      <c r="B85" s="256">
        <v>45708</v>
      </c>
      <c r="C85" s="178" t="s">
        <v>72</v>
      </c>
      <c r="D85" s="183"/>
      <c r="E85" s="145">
        <v>44</v>
      </c>
      <c r="F85" s="181" t="s">
        <v>25</v>
      </c>
      <c r="G85" s="82"/>
      <c r="H85" s="82"/>
      <c r="I85" s="82"/>
      <c r="J85" s="82"/>
      <c r="K85" s="146">
        <v>13390</v>
      </c>
      <c r="L85" s="79" t="e">
        <f>#REF!</f>
        <v>#REF!</v>
      </c>
      <c r="M85" s="155" t="e">
        <f t="shared" si="15"/>
        <v>#REF!</v>
      </c>
      <c r="N85" s="153" t="e">
        <f t="shared" ref="N85:N97" si="16">N84+H85-K85</f>
        <v>#REF!</v>
      </c>
      <c r="O85" s="153" t="e">
        <f t="shared" ref="O85:O97" si="17">O84+J85-M85</f>
        <v>#REF!</v>
      </c>
      <c r="P85" s="140" t="s">
        <v>120</v>
      </c>
      <c r="Q85" s="92"/>
      <c r="R85" s="92"/>
      <c r="S85" s="129" t="e">
        <f t="shared" si="13"/>
        <v>#REF!</v>
      </c>
    </row>
    <row r="86" spans="2:19" ht="11.25" customHeight="1">
      <c r="B86" s="256">
        <v>45708</v>
      </c>
      <c r="C86" s="178" t="s">
        <v>114</v>
      </c>
      <c r="D86" s="148"/>
      <c r="E86" s="145">
        <v>44</v>
      </c>
      <c r="F86" s="82" t="s">
        <v>169</v>
      </c>
      <c r="G86" s="82" t="s">
        <v>129</v>
      </c>
      <c r="H86" s="82"/>
      <c r="I86" s="82"/>
      <c r="J86" s="82"/>
      <c r="K86" s="146">
        <v>19074</v>
      </c>
      <c r="L86" s="79" t="e">
        <f>#REF!</f>
        <v>#REF!</v>
      </c>
      <c r="M86" s="155" t="e">
        <f t="shared" si="15"/>
        <v>#REF!</v>
      </c>
      <c r="N86" s="153" t="e">
        <f t="shared" si="16"/>
        <v>#REF!</v>
      </c>
      <c r="O86" s="153" t="e">
        <f t="shared" si="17"/>
        <v>#REF!</v>
      </c>
      <c r="P86" s="140" t="s">
        <v>120</v>
      </c>
      <c r="Q86" s="92"/>
      <c r="R86" s="92"/>
      <c r="S86" s="129" t="e">
        <f t="shared" si="13"/>
        <v>#REF!</v>
      </c>
    </row>
    <row r="87" spans="2:19" ht="11.25" customHeight="1">
      <c r="B87" s="256">
        <v>45708</v>
      </c>
      <c r="C87" s="178" t="s">
        <v>76</v>
      </c>
      <c r="D87" s="148"/>
      <c r="E87" s="145">
        <v>44</v>
      </c>
      <c r="F87" s="181" t="s">
        <v>25</v>
      </c>
      <c r="G87" s="82"/>
      <c r="H87" s="82"/>
      <c r="I87" s="82"/>
      <c r="J87" s="82"/>
      <c r="K87" s="146">
        <v>3281.57</v>
      </c>
      <c r="L87" s="79" t="e">
        <f>#REF!</f>
        <v>#REF!</v>
      </c>
      <c r="M87" s="155" t="e">
        <f t="shared" si="15"/>
        <v>#REF!</v>
      </c>
      <c r="N87" s="153" t="e">
        <f t="shared" si="16"/>
        <v>#REF!</v>
      </c>
      <c r="O87" s="153" t="e">
        <f t="shared" si="17"/>
        <v>#REF!</v>
      </c>
      <c r="P87" s="140" t="s">
        <v>120</v>
      </c>
      <c r="Q87" s="92"/>
      <c r="R87" s="92"/>
      <c r="S87" s="129" t="e">
        <f t="shared" si="13"/>
        <v>#REF!</v>
      </c>
    </row>
    <row r="88" spans="2:19" ht="11.25" customHeight="1">
      <c r="B88" s="256">
        <v>45708</v>
      </c>
      <c r="C88" s="178" t="s">
        <v>73</v>
      </c>
      <c r="D88" s="148"/>
      <c r="E88" s="145">
        <v>44</v>
      </c>
      <c r="F88" s="181" t="s">
        <v>25</v>
      </c>
      <c r="G88" s="82"/>
      <c r="H88" s="82"/>
      <c r="I88" s="82"/>
      <c r="J88" s="82"/>
      <c r="K88" s="146">
        <v>300</v>
      </c>
      <c r="L88" s="79" t="e">
        <f>#REF!</f>
        <v>#REF!</v>
      </c>
      <c r="M88" s="155" t="e">
        <f t="shared" si="15"/>
        <v>#REF!</v>
      </c>
      <c r="N88" s="153" t="e">
        <f t="shared" si="16"/>
        <v>#REF!</v>
      </c>
      <c r="O88" s="153" t="e">
        <f t="shared" si="17"/>
        <v>#REF!</v>
      </c>
      <c r="P88" s="140" t="s">
        <v>120</v>
      </c>
      <c r="Q88" s="92"/>
      <c r="R88" s="92"/>
      <c r="S88" s="129" t="e">
        <f t="shared" si="13"/>
        <v>#REF!</v>
      </c>
    </row>
    <row r="89" spans="2:19" ht="11.25" customHeight="1">
      <c r="B89" s="256">
        <v>45708</v>
      </c>
      <c r="C89" s="178" t="s">
        <v>72</v>
      </c>
      <c r="D89" s="148"/>
      <c r="E89" s="145">
        <v>44</v>
      </c>
      <c r="F89" s="181" t="s">
        <v>25</v>
      </c>
      <c r="G89" s="82"/>
      <c r="H89" s="82"/>
      <c r="I89" s="82"/>
      <c r="J89" s="82"/>
      <c r="K89" s="146">
        <v>25750</v>
      </c>
      <c r="L89" s="79" t="e">
        <f>#REF!</f>
        <v>#REF!</v>
      </c>
      <c r="M89" s="155" t="e">
        <f t="shared" si="15"/>
        <v>#REF!</v>
      </c>
      <c r="N89" s="153" t="e">
        <f t="shared" si="16"/>
        <v>#REF!</v>
      </c>
      <c r="O89" s="153" t="e">
        <f t="shared" si="17"/>
        <v>#REF!</v>
      </c>
      <c r="P89" s="140" t="s">
        <v>120</v>
      </c>
      <c r="Q89" s="92"/>
      <c r="R89" s="92"/>
      <c r="S89" s="129" t="e">
        <f t="shared" si="13"/>
        <v>#REF!</v>
      </c>
    </row>
    <row r="90" spans="2:19" ht="11.25" customHeight="1">
      <c r="B90" s="256">
        <v>45708</v>
      </c>
      <c r="C90" s="178" t="s">
        <v>114</v>
      </c>
      <c r="D90" s="148"/>
      <c r="E90" s="145">
        <v>44</v>
      </c>
      <c r="F90" s="82" t="s">
        <v>169</v>
      </c>
      <c r="G90" s="82" t="s">
        <v>129</v>
      </c>
      <c r="H90" s="82"/>
      <c r="I90" s="82"/>
      <c r="J90" s="82"/>
      <c r="K90" s="146">
        <v>37705</v>
      </c>
      <c r="L90" s="79" t="e">
        <f>#REF!</f>
        <v>#REF!</v>
      </c>
      <c r="M90" s="155" t="e">
        <f t="shared" si="15"/>
        <v>#REF!</v>
      </c>
      <c r="N90" s="153" t="e">
        <f t="shared" si="16"/>
        <v>#REF!</v>
      </c>
      <c r="O90" s="153" t="e">
        <f t="shared" si="17"/>
        <v>#REF!</v>
      </c>
      <c r="P90" s="140" t="s">
        <v>120</v>
      </c>
      <c r="Q90" s="92"/>
      <c r="R90" s="92"/>
      <c r="S90" s="129" t="e">
        <f t="shared" si="13"/>
        <v>#REF!</v>
      </c>
    </row>
    <row r="91" spans="2:19" ht="11.25" customHeight="1">
      <c r="B91" s="256">
        <v>45708</v>
      </c>
      <c r="C91" s="178" t="s">
        <v>76</v>
      </c>
      <c r="D91" s="148"/>
      <c r="E91" s="145">
        <v>44</v>
      </c>
      <c r="F91" s="181" t="s">
        <v>25</v>
      </c>
      <c r="G91" s="82"/>
      <c r="H91" s="82"/>
      <c r="I91" s="82"/>
      <c r="J91" s="82"/>
      <c r="K91" s="146">
        <v>7431.44</v>
      </c>
      <c r="L91" s="79" t="e">
        <f>#REF!</f>
        <v>#REF!</v>
      </c>
      <c r="M91" s="155" t="e">
        <f t="shared" si="15"/>
        <v>#REF!</v>
      </c>
      <c r="N91" s="153" t="e">
        <f t="shared" si="16"/>
        <v>#REF!</v>
      </c>
      <c r="O91" s="153" t="e">
        <f t="shared" si="17"/>
        <v>#REF!</v>
      </c>
      <c r="P91" s="140" t="s">
        <v>120</v>
      </c>
      <c r="Q91" s="92"/>
      <c r="R91" s="92"/>
      <c r="S91" s="129" t="e">
        <f t="shared" si="13"/>
        <v>#REF!</v>
      </c>
    </row>
    <row r="92" spans="2:19" ht="11.25" customHeight="1">
      <c r="B92" s="256">
        <v>45708</v>
      </c>
      <c r="C92" s="178" t="s">
        <v>73</v>
      </c>
      <c r="D92" s="148"/>
      <c r="E92" s="145">
        <v>44</v>
      </c>
      <c r="F92" s="181" t="s">
        <v>25</v>
      </c>
      <c r="G92" s="82"/>
      <c r="H92" s="82"/>
      <c r="I92" s="82"/>
      <c r="J92" s="82"/>
      <c r="K92" s="146">
        <v>300</v>
      </c>
      <c r="L92" s="79" t="e">
        <f>#REF!</f>
        <v>#REF!</v>
      </c>
      <c r="M92" s="155" t="e">
        <f t="shared" si="15"/>
        <v>#REF!</v>
      </c>
      <c r="N92" s="153" t="e">
        <f t="shared" si="16"/>
        <v>#REF!</v>
      </c>
      <c r="O92" s="153" t="e">
        <f t="shared" si="17"/>
        <v>#REF!</v>
      </c>
      <c r="P92" s="140" t="s">
        <v>120</v>
      </c>
      <c r="Q92" s="92"/>
      <c r="R92" s="92"/>
      <c r="S92" s="129" t="e">
        <f t="shared" si="13"/>
        <v>#REF!</v>
      </c>
    </row>
    <row r="93" spans="2:19" ht="11.25" customHeight="1">
      <c r="B93" s="256">
        <v>45708</v>
      </c>
      <c r="C93" s="178" t="s">
        <v>72</v>
      </c>
      <c r="D93" s="148"/>
      <c r="E93" s="145">
        <v>44</v>
      </c>
      <c r="F93" s="181" t="s">
        <v>25</v>
      </c>
      <c r="G93" s="82"/>
      <c r="H93" s="82"/>
      <c r="I93" s="82"/>
      <c r="J93" s="82"/>
      <c r="K93" s="146">
        <v>21300</v>
      </c>
      <c r="L93" s="79" t="e">
        <f>#REF!</f>
        <v>#REF!</v>
      </c>
      <c r="M93" s="155" t="e">
        <f t="shared" si="15"/>
        <v>#REF!</v>
      </c>
      <c r="N93" s="153" t="e">
        <f t="shared" si="16"/>
        <v>#REF!</v>
      </c>
      <c r="O93" s="153" t="e">
        <f t="shared" si="17"/>
        <v>#REF!</v>
      </c>
      <c r="P93" s="140" t="s">
        <v>120</v>
      </c>
      <c r="Q93" s="92"/>
      <c r="R93" s="92"/>
      <c r="S93" s="129" t="e">
        <f t="shared" si="13"/>
        <v>#REF!</v>
      </c>
    </row>
    <row r="94" spans="2:19" ht="11.25" customHeight="1">
      <c r="B94" s="256">
        <v>45708</v>
      </c>
      <c r="C94" s="178" t="s">
        <v>76</v>
      </c>
      <c r="D94" s="148"/>
      <c r="E94" s="145">
        <v>44</v>
      </c>
      <c r="F94" s="181" t="s">
        <v>25</v>
      </c>
      <c r="G94" s="82"/>
      <c r="H94" s="82"/>
      <c r="I94" s="82"/>
      <c r="J94" s="82"/>
      <c r="K94" s="146">
        <v>5941.29</v>
      </c>
      <c r="L94" s="79" t="e">
        <f>#REF!</f>
        <v>#REF!</v>
      </c>
      <c r="M94" s="155" t="e">
        <f t="shared" si="15"/>
        <v>#REF!</v>
      </c>
      <c r="N94" s="153" t="e">
        <f t="shared" si="16"/>
        <v>#REF!</v>
      </c>
      <c r="O94" s="153" t="e">
        <f t="shared" si="17"/>
        <v>#REF!</v>
      </c>
      <c r="P94" s="140" t="s">
        <v>120</v>
      </c>
      <c r="Q94" s="92"/>
      <c r="R94" s="92"/>
      <c r="S94" s="129" t="e">
        <f t="shared" si="13"/>
        <v>#REF!</v>
      </c>
    </row>
    <row r="95" spans="2:19" ht="11.25" customHeight="1">
      <c r="B95" s="256">
        <v>45708</v>
      </c>
      <c r="C95" s="178" t="s">
        <v>73</v>
      </c>
      <c r="D95" s="148"/>
      <c r="E95" s="145">
        <v>44</v>
      </c>
      <c r="F95" s="181" t="s">
        <v>25</v>
      </c>
      <c r="G95" s="82"/>
      <c r="H95" s="146"/>
      <c r="I95" s="79"/>
      <c r="J95" s="162"/>
      <c r="K95" s="146">
        <v>300</v>
      </c>
      <c r="L95" s="79" t="e">
        <f>#REF!</f>
        <v>#REF!</v>
      </c>
      <c r="M95" s="155" t="e">
        <f t="shared" si="15"/>
        <v>#REF!</v>
      </c>
      <c r="N95" s="153" t="e">
        <f t="shared" si="16"/>
        <v>#REF!</v>
      </c>
      <c r="O95" s="153" t="e">
        <f t="shared" si="17"/>
        <v>#REF!</v>
      </c>
      <c r="P95" s="140" t="s">
        <v>120</v>
      </c>
      <c r="Q95" s="92"/>
      <c r="R95" s="92"/>
      <c r="S95" s="129" t="e">
        <f t="shared" si="13"/>
        <v>#REF!</v>
      </c>
    </row>
    <row r="96" spans="2:19" ht="11.25" customHeight="1">
      <c r="B96" s="256">
        <v>45708</v>
      </c>
      <c r="C96" s="178" t="s">
        <v>77</v>
      </c>
      <c r="D96" s="148"/>
      <c r="E96" s="145">
        <v>44</v>
      </c>
      <c r="F96" s="181" t="s">
        <v>25</v>
      </c>
      <c r="G96" s="82"/>
      <c r="H96" s="82"/>
      <c r="I96" s="82"/>
      <c r="J96" s="82"/>
      <c r="K96" s="85">
        <v>200</v>
      </c>
      <c r="L96" s="79" t="e">
        <f>#REF!</f>
        <v>#REF!</v>
      </c>
      <c r="M96" s="155" t="e">
        <f t="shared" si="15"/>
        <v>#REF!</v>
      </c>
      <c r="N96" s="153" t="e">
        <f t="shared" si="16"/>
        <v>#REF!</v>
      </c>
      <c r="O96" s="153" t="e">
        <f t="shared" si="17"/>
        <v>#REF!</v>
      </c>
      <c r="P96" s="140" t="s">
        <v>120</v>
      </c>
      <c r="Q96" s="92"/>
      <c r="R96" s="92"/>
      <c r="S96" s="129" t="e">
        <f t="shared" si="13"/>
        <v>#REF!</v>
      </c>
    </row>
    <row r="97" spans="2:19" ht="11.25" customHeight="1">
      <c r="B97" s="81">
        <v>45708</v>
      </c>
      <c r="C97" s="144" t="s">
        <v>41</v>
      </c>
      <c r="D97" s="148"/>
      <c r="E97" s="145">
        <v>45</v>
      </c>
      <c r="F97" s="181" t="s">
        <v>25</v>
      </c>
      <c r="G97" s="82"/>
      <c r="H97" s="82"/>
      <c r="I97" s="82"/>
      <c r="J97" s="82"/>
      <c r="K97" s="146">
        <v>12</v>
      </c>
      <c r="L97" s="79" t="e">
        <f>#REF!</f>
        <v>#REF!</v>
      </c>
      <c r="M97" s="155" t="e">
        <f t="shared" si="15"/>
        <v>#REF!</v>
      </c>
      <c r="N97" s="153" t="e">
        <f t="shared" si="16"/>
        <v>#REF!</v>
      </c>
      <c r="O97" s="153" t="e">
        <f t="shared" si="17"/>
        <v>#REF!</v>
      </c>
      <c r="P97" s="140" t="s">
        <v>120</v>
      </c>
      <c r="Q97" s="92"/>
      <c r="R97" s="92"/>
      <c r="S97" s="129" t="e">
        <f t="shared" si="13"/>
        <v>#REF!</v>
      </c>
    </row>
  </sheetData>
  <autoFilter ref="B18:R97" xr:uid="{00000000-0009-0000-0000-000001000000}">
    <filterColumn colId="14" showButton="0"/>
    <sortState xmlns:xlrd2="http://schemas.microsoft.com/office/spreadsheetml/2017/richdata2" ref="B20:R21">
      <sortCondition sortBy="cellColor" ref="M18:M20" dxfId="6"/>
    </sortState>
  </autoFilter>
  <mergeCells count="5">
    <mergeCell ref="H17:J17"/>
    <mergeCell ref="K17:M17"/>
    <mergeCell ref="N17:O17"/>
    <mergeCell ref="P17:Q17"/>
    <mergeCell ref="P18:Q18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8A56-3943-416C-8AC2-203986058438}">
  <sheetPr>
    <tabColor rgb="FFFFC000"/>
  </sheetPr>
  <dimension ref="A1:AC106"/>
  <sheetViews>
    <sheetView showGridLines="0" zoomScaleNormal="100" workbookViewId="0">
      <pane ySplit="19" topLeftCell="A8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61" customWidth="1"/>
    <col min="4" max="4" width="9.75" style="25" customWidth="1"/>
    <col min="5" max="5" width="12.125" style="25" customWidth="1"/>
    <col min="6" max="6" width="12.5" style="25" customWidth="1"/>
    <col min="7" max="7" width="9.875" style="37" customWidth="1"/>
    <col min="8" max="8" width="9.75" style="25" customWidth="1"/>
    <col min="9" max="9" width="9.875" style="25" customWidth="1"/>
    <col min="10" max="10" width="10.5" style="37" customWidth="1"/>
    <col min="11" max="11" width="11" style="131" customWidth="1"/>
    <col min="12" max="12" width="11.125" style="25" customWidth="1"/>
    <col min="13" max="13" width="9.75" style="25" customWidth="1"/>
    <col min="14" max="14" width="12.375" style="25" customWidth="1"/>
    <col min="15" max="15" width="9.875" style="25" customWidth="1"/>
    <col min="16" max="16" width="10.75" style="25" customWidth="1"/>
    <col min="17" max="17" width="9.625" style="25" customWidth="1"/>
    <col min="18" max="18" width="31.5" style="37" customWidth="1"/>
    <col min="19" max="19" width="10.5" style="39" bestFit="1" customWidth="1"/>
    <col min="20" max="20" width="9" style="25"/>
    <col min="21" max="21" width="9" style="83"/>
    <col min="22" max="16384" width="9" style="25"/>
  </cols>
  <sheetData>
    <row r="1" spans="1:29" ht="4.5" customHeight="1">
      <c r="A1" s="14"/>
      <c r="B1" s="15"/>
      <c r="C1" s="267"/>
      <c r="D1" s="16"/>
      <c r="E1" s="17"/>
      <c r="F1" s="17"/>
      <c r="G1" s="18"/>
      <c r="H1" s="17"/>
      <c r="I1" s="17"/>
      <c r="J1" s="19"/>
      <c r="K1" s="273"/>
      <c r="L1" s="20"/>
      <c r="M1" s="21"/>
      <c r="N1" s="21"/>
      <c r="O1" s="16"/>
      <c r="P1" s="22"/>
      <c r="Q1" s="22"/>
      <c r="R1" s="23"/>
      <c r="S1" s="24"/>
    </row>
    <row r="2" spans="1:29" ht="15" customHeight="1">
      <c r="B2" s="254" t="s">
        <v>185</v>
      </c>
      <c r="D2" s="61"/>
      <c r="F2" s="205"/>
      <c r="G2" s="37" t="s">
        <v>89</v>
      </c>
      <c r="H2" s="206" t="s">
        <v>154</v>
      </c>
      <c r="I2" s="64"/>
      <c r="J2" s="64"/>
      <c r="K2" s="274"/>
      <c r="L2" s="64"/>
      <c r="M2" s="64"/>
      <c r="N2" s="112"/>
      <c r="O2" s="207"/>
      <c r="Q2" s="208"/>
    </row>
    <row r="3" spans="1:29" s="31" customFormat="1" ht="11.25" customHeight="1">
      <c r="A3" s="26"/>
      <c r="B3" s="27" t="s">
        <v>177</v>
      </c>
      <c r="C3" s="28"/>
      <c r="D3" s="28"/>
      <c r="E3" s="28"/>
      <c r="F3" s="184">
        <v>1447.4</v>
      </c>
      <c r="G3" s="30"/>
      <c r="H3" s="27" t="s">
        <v>179</v>
      </c>
      <c r="I3" s="28"/>
      <c r="K3" s="275"/>
      <c r="L3" s="184">
        <v>1446.3</v>
      </c>
      <c r="N3" s="27"/>
      <c r="O3" s="27"/>
      <c r="P3" s="27"/>
      <c r="Q3" s="27"/>
      <c r="R3" s="27"/>
      <c r="T3" s="27"/>
      <c r="U3" s="28"/>
      <c r="V3" s="29"/>
      <c r="W3" s="29"/>
      <c r="X3" s="107">
        <v>1327.2</v>
      </c>
    </row>
    <row r="4" spans="1:29" ht="11.25" customHeight="1">
      <c r="A4" s="14"/>
      <c r="B4" s="32" t="s">
        <v>0</v>
      </c>
      <c r="C4" s="268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27"/>
      <c r="O4" s="27"/>
      <c r="P4" s="27"/>
      <c r="Q4" s="27"/>
      <c r="R4" s="27"/>
      <c r="U4" s="25"/>
    </row>
    <row r="5" spans="1:29" ht="11.25" customHeight="1">
      <c r="A5" s="39">
        <v>51131050</v>
      </c>
      <c r="B5" s="40" t="s">
        <v>93</v>
      </c>
      <c r="C5" s="41" t="s">
        <v>3</v>
      </c>
      <c r="D5" s="47">
        <v>14845.68</v>
      </c>
      <c r="E5" s="43">
        <v>2035.1825499303366</v>
      </c>
      <c r="F5" s="44">
        <f>ROUND(E5*$F$3,0)</f>
        <v>2945723</v>
      </c>
      <c r="G5" s="45"/>
      <c r="H5" s="46" t="s">
        <v>2</v>
      </c>
      <c r="I5" s="46" t="s">
        <v>3</v>
      </c>
      <c r="J5" s="103"/>
      <c r="K5" s="276"/>
      <c r="L5" s="93">
        <f>ROUND(K5*$L$3,0)</f>
        <v>0</v>
      </c>
      <c r="M5" s="130">
        <f>L5+F5</f>
        <v>2945723</v>
      </c>
      <c r="N5" s="27"/>
      <c r="O5" s="27"/>
      <c r="P5" s="27"/>
      <c r="Q5" s="27"/>
      <c r="R5" s="27"/>
      <c r="S5" s="237">
        <f>F5+L5+R5</f>
        <v>2945723</v>
      </c>
      <c r="U5" s="25"/>
    </row>
    <row r="6" spans="1:29" ht="11.25" customHeight="1">
      <c r="A6" s="39">
        <v>51061030</v>
      </c>
      <c r="B6" s="40" t="s">
        <v>94</v>
      </c>
      <c r="C6" s="41" t="s">
        <v>95</v>
      </c>
      <c r="D6" s="47">
        <v>18459.27</v>
      </c>
      <c r="E6" s="47">
        <v>2530.5737043496733</v>
      </c>
      <c r="F6" s="44">
        <f t="shared" ref="F6:F12" si="0">ROUND(E6*$F$3,0)</f>
        <v>3662752</v>
      </c>
      <c r="G6" s="48"/>
      <c r="H6" s="46" t="s">
        <v>4</v>
      </c>
      <c r="I6" s="46" t="s">
        <v>5</v>
      </c>
      <c r="J6" s="103">
        <v>18692.93</v>
      </c>
      <c r="K6" s="276">
        <v>2589.84</v>
      </c>
      <c r="L6" s="93">
        <f t="shared" ref="L6:L12" si="1">ROUND(K6*$L$3,0)</f>
        <v>3745686</v>
      </c>
      <c r="M6" s="130">
        <f t="shared" ref="M6:M13" si="2">L6+F6</f>
        <v>7408438</v>
      </c>
      <c r="N6" s="27"/>
      <c r="O6" s="27"/>
      <c r="P6" s="27"/>
      <c r="Q6" s="27"/>
      <c r="R6" s="27"/>
      <c r="S6" s="237">
        <f t="shared" ref="S6:S13" si="3">F6+L6+R6</f>
        <v>7408438</v>
      </c>
      <c r="U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25272</v>
      </c>
      <c r="E7" s="47">
        <v>3464.53</v>
      </c>
      <c r="F7" s="44">
        <f t="shared" si="0"/>
        <v>5014561</v>
      </c>
      <c r="G7" s="49"/>
      <c r="H7" s="46" t="s">
        <v>6</v>
      </c>
      <c r="I7" s="46" t="s">
        <v>96</v>
      </c>
      <c r="J7" s="104"/>
      <c r="K7" s="277"/>
      <c r="L7" s="93">
        <f t="shared" si="1"/>
        <v>0</v>
      </c>
      <c r="M7" s="130">
        <f t="shared" si="2"/>
        <v>5014561</v>
      </c>
      <c r="N7" s="27"/>
      <c r="O7" s="27"/>
      <c r="P7" s="27"/>
      <c r="Q7" s="27"/>
      <c r="R7" s="27"/>
      <c r="S7" s="237">
        <f t="shared" si="3"/>
        <v>5014561</v>
      </c>
      <c r="U7" s="25"/>
    </row>
    <row r="8" spans="1:29" ht="15" customHeight="1">
      <c r="A8" s="39">
        <v>51201030</v>
      </c>
      <c r="B8" s="40" t="s">
        <v>97</v>
      </c>
      <c r="C8" s="41" t="s">
        <v>7</v>
      </c>
      <c r="D8" s="47">
        <v>17500</v>
      </c>
      <c r="E8" s="47">
        <v>2399.0700000000002</v>
      </c>
      <c r="F8" s="44">
        <f t="shared" si="0"/>
        <v>3472414</v>
      </c>
      <c r="G8" s="49"/>
      <c r="H8" s="46" t="s">
        <v>6</v>
      </c>
      <c r="I8" s="41" t="s">
        <v>7</v>
      </c>
      <c r="J8" s="104"/>
      <c r="K8" s="277"/>
      <c r="L8" s="93">
        <f t="shared" si="1"/>
        <v>0</v>
      </c>
      <c r="M8" s="130">
        <f t="shared" si="2"/>
        <v>3472414</v>
      </c>
      <c r="N8" s="27"/>
      <c r="O8" s="27"/>
      <c r="P8" s="27"/>
      <c r="Q8" s="27"/>
      <c r="R8" s="27"/>
      <c r="S8" s="237">
        <f t="shared" si="3"/>
        <v>3472414</v>
      </c>
      <c r="U8" s="25"/>
    </row>
    <row r="9" spans="1:29" ht="11.25" customHeight="1">
      <c r="A9" s="39">
        <v>51071700</v>
      </c>
      <c r="B9" s="40" t="s">
        <v>8</v>
      </c>
      <c r="C9" s="41" t="s">
        <v>9</v>
      </c>
      <c r="D9" s="47">
        <v>1453.59</v>
      </c>
      <c r="E9" s="47">
        <v>199.2720530609088</v>
      </c>
      <c r="F9" s="44">
        <f t="shared" si="0"/>
        <v>288426</v>
      </c>
      <c r="G9" s="50"/>
      <c r="H9" s="46" t="s">
        <v>8</v>
      </c>
      <c r="I9" s="41" t="s">
        <v>9</v>
      </c>
      <c r="J9" s="103">
        <v>169</v>
      </c>
      <c r="K9" s="276">
        <v>23.41</v>
      </c>
      <c r="L9" s="93">
        <f t="shared" si="1"/>
        <v>33858</v>
      </c>
      <c r="M9" s="130">
        <f t="shared" si="2"/>
        <v>322284</v>
      </c>
      <c r="N9" s="27"/>
      <c r="O9" s="27"/>
      <c r="P9" s="27"/>
      <c r="Q9" s="27"/>
      <c r="R9" s="27"/>
      <c r="S9" s="237">
        <f t="shared" si="3"/>
        <v>322284</v>
      </c>
      <c r="U9" s="25"/>
    </row>
    <row r="10" spans="1:29" ht="11.25" customHeight="1">
      <c r="A10" s="39">
        <v>51321010</v>
      </c>
      <c r="B10" s="40" t="s">
        <v>10</v>
      </c>
      <c r="C10" s="41"/>
      <c r="D10" s="47">
        <v>23429.318660172234</v>
      </c>
      <c r="E10" s="47">
        <v>3211.9156235463793</v>
      </c>
      <c r="F10" s="44">
        <f t="shared" si="0"/>
        <v>4648927</v>
      </c>
      <c r="G10" s="51"/>
      <c r="H10" s="46" t="s">
        <v>10</v>
      </c>
      <c r="I10" s="46"/>
      <c r="J10" s="103">
        <v>274853.00133982772</v>
      </c>
      <c r="K10" s="276">
        <v>38130.879999999997</v>
      </c>
      <c r="L10" s="93">
        <f t="shared" si="1"/>
        <v>55148692</v>
      </c>
      <c r="M10" s="130">
        <f t="shared" si="2"/>
        <v>59797619</v>
      </c>
      <c r="N10" s="27"/>
      <c r="O10" s="27"/>
      <c r="P10" s="27"/>
      <c r="Q10" s="27"/>
      <c r="R10" s="27"/>
      <c r="S10" s="237">
        <f t="shared" si="3"/>
        <v>59797619</v>
      </c>
      <c r="U10" s="25"/>
      <c r="AB10" s="64"/>
      <c r="AC10" s="37"/>
    </row>
    <row r="11" spans="1:29" ht="11.25" customHeight="1">
      <c r="A11" s="39">
        <v>51031020</v>
      </c>
      <c r="B11" s="52" t="s">
        <v>98</v>
      </c>
      <c r="C11" s="269" t="s">
        <v>99</v>
      </c>
      <c r="D11" s="52"/>
      <c r="E11" s="52"/>
      <c r="F11" s="54"/>
      <c r="G11" s="55">
        <f>G13/G12</f>
        <v>1447.3999546109283</v>
      </c>
      <c r="H11" s="52" t="s">
        <v>98</v>
      </c>
      <c r="I11" s="52" t="s">
        <v>130</v>
      </c>
      <c r="J11" s="56"/>
      <c r="K11" s="278"/>
      <c r="L11" s="119">
        <f t="shared" si="1"/>
        <v>0</v>
      </c>
      <c r="M11" s="130">
        <f t="shared" si="2"/>
        <v>0</v>
      </c>
      <c r="N11" s="27"/>
      <c r="O11" s="27"/>
      <c r="P11" s="27"/>
      <c r="Q11" s="27"/>
      <c r="R11" s="27"/>
      <c r="S11" s="237">
        <f t="shared" si="3"/>
        <v>0</v>
      </c>
      <c r="U11" s="25"/>
      <c r="AB11" s="64"/>
      <c r="AC11" s="37"/>
    </row>
    <row r="12" spans="1:29" ht="11.25" customHeight="1">
      <c r="A12" s="39">
        <v>52981010</v>
      </c>
      <c r="B12" s="46" t="s">
        <v>100</v>
      </c>
      <c r="C12" s="41" t="s">
        <v>101</v>
      </c>
      <c r="D12" s="151">
        <v>103.37</v>
      </c>
      <c r="E12" s="47">
        <v>14.17</v>
      </c>
      <c r="F12" s="44">
        <f t="shared" si="0"/>
        <v>20510</v>
      </c>
      <c r="G12" s="57">
        <f>E13+Q13+AB13</f>
        <v>13826.373930887299</v>
      </c>
      <c r="H12" s="46" t="s">
        <v>100</v>
      </c>
      <c r="I12" s="46" t="s">
        <v>101</v>
      </c>
      <c r="J12" s="42"/>
      <c r="K12" s="279"/>
      <c r="L12" s="93">
        <f t="shared" si="1"/>
        <v>0</v>
      </c>
      <c r="M12" s="130">
        <f t="shared" si="2"/>
        <v>20510</v>
      </c>
      <c r="N12" s="27"/>
      <c r="O12" s="27"/>
      <c r="P12" s="27"/>
      <c r="Q12" s="27"/>
      <c r="R12" s="27"/>
      <c r="S12" s="237">
        <f t="shared" si="3"/>
        <v>20510</v>
      </c>
      <c r="U12" s="25"/>
      <c r="AB12" s="64"/>
      <c r="AC12" s="37"/>
    </row>
    <row r="13" spans="1:29" s="37" customFormat="1" ht="11.25" customHeight="1">
      <c r="A13" s="124"/>
      <c r="B13" s="125" t="s">
        <v>11</v>
      </c>
      <c r="C13" s="270"/>
      <c r="D13" s="58">
        <f>SUM(D5:D11)-D12</f>
        <v>100856.48866017224</v>
      </c>
      <c r="E13" s="290">
        <f>SUM(E5:E11)-E12</f>
        <v>13826.373930887299</v>
      </c>
      <c r="F13" s="127">
        <f>SUM(F5:F11)-F12</f>
        <v>20012293</v>
      </c>
      <c r="G13" s="59">
        <f>F13+R13+AC13</f>
        <v>20012293</v>
      </c>
      <c r="H13" s="125" t="s">
        <v>11</v>
      </c>
      <c r="I13" s="126"/>
      <c r="J13" s="58">
        <f>SUM(J5:J11)-J12</f>
        <v>293714.93133982772</v>
      </c>
      <c r="K13" s="38">
        <f>SUM(K5:K11)-K12</f>
        <v>40744.129999999997</v>
      </c>
      <c r="L13" s="127">
        <f>SUM(L5:L11)-L12</f>
        <v>58928236</v>
      </c>
      <c r="M13" s="130">
        <f t="shared" si="2"/>
        <v>78940529</v>
      </c>
      <c r="N13" s="27"/>
      <c r="O13" s="27"/>
      <c r="P13" s="27"/>
      <c r="Q13" s="27"/>
      <c r="R13" s="27"/>
      <c r="S13" s="237">
        <f t="shared" si="3"/>
        <v>78940529</v>
      </c>
      <c r="U13" s="116"/>
      <c r="X13" s="113">
        <f>F13+R13</f>
        <v>20012293</v>
      </c>
      <c r="Y13" s="128"/>
      <c r="Z13" s="131"/>
      <c r="AB13" s="65"/>
    </row>
    <row r="14" spans="1:29" ht="14.25" customHeight="1">
      <c r="A14" s="14"/>
      <c r="D14" s="289"/>
      <c r="E14" s="289"/>
      <c r="F14" s="291"/>
      <c r="G14" s="63"/>
      <c r="J14" s="154">
        <f>J13+D13+P13</f>
        <v>394571.41999999993</v>
      </c>
      <c r="K14" s="280">
        <f>K13+E13+Q13</f>
        <v>54570.503930887295</v>
      </c>
      <c r="L14" s="133">
        <f>L13+F13+R13</f>
        <v>78940529</v>
      </c>
      <c r="M14" s="122" t="e">
        <f>M16-E12</f>
        <v>#REF!</v>
      </c>
      <c r="N14" s="27"/>
      <c r="O14" s="27"/>
      <c r="P14" s="27"/>
      <c r="Q14" s="27"/>
      <c r="R14" s="27"/>
      <c r="X14" s="64"/>
      <c r="Y14" s="64"/>
      <c r="AB14" s="64"/>
      <c r="AC14" s="37"/>
    </row>
    <row r="15" spans="1:29" ht="14.25" customHeight="1">
      <c r="A15" s="14"/>
      <c r="D15" s="289"/>
      <c r="E15" s="289"/>
      <c r="F15" s="289"/>
      <c r="G15" s="63"/>
      <c r="J15" s="122">
        <f>J16-G96</f>
        <v>0</v>
      </c>
      <c r="K15" s="122" t="e">
        <f>K16-H96</f>
        <v>#REF!</v>
      </c>
      <c r="L15" s="122">
        <f>L16-I96</f>
        <v>0</v>
      </c>
      <c r="M15" s="122" t="e">
        <f>M16-J96</f>
        <v>#REF!</v>
      </c>
      <c r="O15" s="64"/>
      <c r="P15" s="113"/>
      <c r="Q15" s="113"/>
      <c r="R15" s="114"/>
      <c r="X15" s="64"/>
      <c r="Y15" s="64"/>
      <c r="AB15" s="64"/>
      <c r="AC15" s="37"/>
    </row>
    <row r="16" spans="1:29" ht="18.75" customHeight="1">
      <c r="A16" s="14"/>
      <c r="D16" s="61"/>
      <c r="E16" s="62"/>
      <c r="F16" s="62"/>
      <c r="G16" s="63"/>
      <c r="I16" s="64"/>
      <c r="J16" s="65"/>
      <c r="K16" s="281" t="e">
        <f>SUBTOTAL(9,K19:K105)</f>
        <v>#REF!</v>
      </c>
      <c r="L16" s="210"/>
      <c r="M16" s="281" t="e">
        <f>SUBTOTAL(9,M19:M105)</f>
        <v>#REF!</v>
      </c>
      <c r="N16" s="64"/>
      <c r="Q16" s="64"/>
    </row>
    <row r="17" spans="1:29" ht="11.25" customHeight="1">
      <c r="A17" s="14"/>
      <c r="B17" s="239" t="s">
        <v>12</v>
      </c>
      <c r="C17" s="271" t="s">
        <v>13</v>
      </c>
      <c r="D17" s="240" t="s">
        <v>102</v>
      </c>
      <c r="E17" s="241" t="s">
        <v>14</v>
      </c>
      <c r="F17" s="240" t="s">
        <v>0</v>
      </c>
      <c r="G17" s="242" t="s">
        <v>1</v>
      </c>
      <c r="H17" s="634" t="s">
        <v>15</v>
      </c>
      <c r="I17" s="634"/>
      <c r="J17" s="634"/>
      <c r="K17" s="634" t="s">
        <v>16</v>
      </c>
      <c r="L17" s="634"/>
      <c r="M17" s="635"/>
      <c r="N17" s="636" t="s">
        <v>17</v>
      </c>
      <c r="O17" s="636"/>
      <c r="P17" s="637"/>
      <c r="Q17" s="637"/>
      <c r="R17" s="242" t="s">
        <v>103</v>
      </c>
    </row>
    <row r="18" spans="1:29" ht="11.25" customHeight="1">
      <c r="A18" s="14"/>
      <c r="B18" s="243" t="s">
        <v>104</v>
      </c>
      <c r="C18" s="272" t="s">
        <v>105</v>
      </c>
      <c r="D18" s="244" t="s">
        <v>106</v>
      </c>
      <c r="E18" s="245" t="s">
        <v>107</v>
      </c>
      <c r="F18" s="244" t="s">
        <v>108</v>
      </c>
      <c r="G18" s="246" t="s">
        <v>109</v>
      </c>
      <c r="H18" s="247" t="s">
        <v>110</v>
      </c>
      <c r="I18" s="247" t="s">
        <v>111</v>
      </c>
      <c r="J18" s="248" t="s">
        <v>19</v>
      </c>
      <c r="K18" s="248" t="s">
        <v>110</v>
      </c>
      <c r="L18" s="247" t="s">
        <v>111</v>
      </c>
      <c r="M18" s="286" t="s">
        <v>19</v>
      </c>
      <c r="N18" s="249" t="s">
        <v>110</v>
      </c>
      <c r="O18" s="249" t="s">
        <v>19</v>
      </c>
      <c r="P18" s="638" t="s">
        <v>18</v>
      </c>
      <c r="Q18" s="638"/>
      <c r="R18" s="246" t="s">
        <v>103</v>
      </c>
    </row>
    <row r="19" spans="1:29" ht="11.25" customHeight="1">
      <c r="B19" s="94">
        <v>45716</v>
      </c>
      <c r="C19" s="96"/>
      <c r="D19" s="95"/>
      <c r="E19" s="96"/>
      <c r="F19" s="121"/>
      <c r="G19" s="97"/>
      <c r="H19" s="98"/>
      <c r="I19" s="95"/>
      <c r="J19" s="97"/>
      <c r="K19" s="282"/>
      <c r="L19" s="99"/>
      <c r="M19" s="135"/>
      <c r="N19" s="136">
        <v>100829.88000000046</v>
      </c>
      <c r="O19" s="136">
        <v>13826.369866313804</v>
      </c>
      <c r="P19" s="137"/>
      <c r="Q19" s="96"/>
      <c r="R19" s="101"/>
      <c r="S19" s="115">
        <v>13826.368804060809</v>
      </c>
    </row>
    <row r="20" spans="1:29" s="83" customFormat="1" ht="12" customHeight="1">
      <c r="A20" s="80"/>
      <c r="B20" s="256">
        <v>45727</v>
      </c>
      <c r="C20" s="177" t="s">
        <v>62</v>
      </c>
      <c r="D20" s="149"/>
      <c r="E20" s="145">
        <v>1</v>
      </c>
      <c r="F20" s="253"/>
      <c r="G20" s="82"/>
      <c r="H20" s="179">
        <v>346107.95</v>
      </c>
      <c r="I20" s="180"/>
      <c r="J20" s="179">
        <v>48003</v>
      </c>
      <c r="K20" s="146"/>
      <c r="L20" s="79"/>
      <c r="M20" s="288"/>
      <c r="N20" s="153">
        <f t="shared" ref="N20:N51" si="4">N19+H20-K20</f>
        <v>446937.83000000048</v>
      </c>
      <c r="O20" s="153">
        <f t="shared" ref="O20:O51" si="5">O19+J20-M20</f>
        <v>61829.369866313806</v>
      </c>
      <c r="P20" s="140" t="s">
        <v>120</v>
      </c>
      <c r="Q20" s="92"/>
      <c r="R20" s="92"/>
      <c r="S20" s="129"/>
      <c r="T20" s="25"/>
      <c r="V20" s="25"/>
      <c r="W20" s="25"/>
      <c r="X20" s="25"/>
      <c r="Y20" s="25"/>
      <c r="Z20" s="25"/>
      <c r="AA20" s="25"/>
      <c r="AB20" s="25"/>
      <c r="AC20" s="25"/>
    </row>
    <row r="21" spans="1:29" s="83" customFormat="1" ht="12" customHeight="1">
      <c r="A21" s="80"/>
      <c r="B21" s="256">
        <v>45727</v>
      </c>
      <c r="C21" s="144" t="s">
        <v>41</v>
      </c>
      <c r="D21" s="149"/>
      <c r="E21" s="145"/>
      <c r="F21" s="253" t="s">
        <v>25</v>
      </c>
      <c r="G21" s="82"/>
      <c r="H21" s="187"/>
      <c r="I21" s="180"/>
      <c r="J21" s="187"/>
      <c r="K21" s="146"/>
      <c r="L21" s="79"/>
      <c r="M21" s="89">
        <v>51</v>
      </c>
      <c r="N21" s="153">
        <f t="shared" si="4"/>
        <v>446937.83000000048</v>
      </c>
      <c r="O21" s="153">
        <f t="shared" si="5"/>
        <v>61778.369866313806</v>
      </c>
      <c r="P21" s="140" t="s">
        <v>120</v>
      </c>
      <c r="Q21" s="92"/>
      <c r="R21" s="92"/>
      <c r="T21" s="25"/>
      <c r="V21" s="25"/>
      <c r="W21" s="25"/>
      <c r="X21" s="25"/>
      <c r="Y21" s="25"/>
      <c r="Z21" s="25"/>
      <c r="AA21" s="25"/>
      <c r="AB21" s="25"/>
      <c r="AC21" s="25"/>
    </row>
    <row r="22" spans="1:29" s="83" customFormat="1" ht="12" customHeight="1">
      <c r="A22" s="80"/>
      <c r="B22" s="256">
        <v>45733</v>
      </c>
      <c r="C22" s="177" t="s">
        <v>135</v>
      </c>
      <c r="D22" s="149"/>
      <c r="E22" s="145">
        <v>2</v>
      </c>
      <c r="F22" s="253" t="s">
        <v>24</v>
      </c>
      <c r="G22" s="82" t="s">
        <v>23</v>
      </c>
      <c r="H22" s="187"/>
      <c r="I22" s="180"/>
      <c r="J22" s="187"/>
      <c r="K22" s="284">
        <v>25272</v>
      </c>
      <c r="L22" s="79" t="e">
        <f>#REF!</f>
        <v>#REF!</v>
      </c>
      <c r="M22" s="292" t="e">
        <f t="shared" ref="M22:M35" si="6">K22/L22</f>
        <v>#REF!</v>
      </c>
      <c r="N22" s="153">
        <f t="shared" si="4"/>
        <v>421665.83000000048</v>
      </c>
      <c r="O22" s="153" t="e">
        <f t="shared" si="5"/>
        <v>#REF!</v>
      </c>
      <c r="P22" s="140" t="s">
        <v>120</v>
      </c>
      <c r="Q22" s="92"/>
      <c r="R22" s="92"/>
      <c r="S22" s="129" t="e">
        <f>S19-M22+J22</f>
        <v>#REF!</v>
      </c>
      <c r="T22" s="25"/>
      <c r="V22" s="25"/>
      <c r="W22" s="25"/>
      <c r="X22" s="25"/>
      <c r="Y22" s="25"/>
      <c r="Z22" s="25"/>
      <c r="AA22" s="25"/>
      <c r="AB22" s="25"/>
      <c r="AC22" s="25"/>
    </row>
    <row r="23" spans="1:29" s="83" customFormat="1" ht="12" customHeight="1">
      <c r="A23" s="80"/>
      <c r="B23" s="256">
        <v>45733</v>
      </c>
      <c r="C23" s="144" t="s">
        <v>41</v>
      </c>
      <c r="D23" s="149"/>
      <c r="E23" s="145">
        <v>3</v>
      </c>
      <c r="F23" s="253" t="s">
        <v>25</v>
      </c>
      <c r="G23" s="82"/>
      <c r="H23" s="187"/>
      <c r="I23" s="180"/>
      <c r="J23" s="187"/>
      <c r="K23" s="146">
        <v>7.2</v>
      </c>
      <c r="L23" s="79" t="e">
        <f>#REF!</f>
        <v>#REF!</v>
      </c>
      <c r="M23" s="293" t="e">
        <f t="shared" si="6"/>
        <v>#REF!</v>
      </c>
      <c r="N23" s="153">
        <f t="shared" si="4"/>
        <v>421658.63000000047</v>
      </c>
      <c r="O23" s="153" t="e">
        <f t="shared" si="5"/>
        <v>#REF!</v>
      </c>
      <c r="P23" s="140" t="s">
        <v>120</v>
      </c>
      <c r="Q23" s="92"/>
      <c r="R23" s="92"/>
      <c r="S23" s="129" t="e">
        <f>S22-M23+J23</f>
        <v>#REF!</v>
      </c>
      <c r="T23" s="25"/>
      <c r="V23" s="25"/>
      <c r="W23" s="25"/>
      <c r="X23" s="25"/>
      <c r="Y23" s="25"/>
      <c r="Z23" s="25"/>
      <c r="AA23" s="25"/>
      <c r="AB23" s="25"/>
      <c r="AC23" s="25"/>
    </row>
    <row r="24" spans="1:29" s="83" customFormat="1" ht="12" customHeight="1">
      <c r="A24" s="80"/>
      <c r="B24" s="256">
        <v>45733</v>
      </c>
      <c r="C24" s="177" t="s">
        <v>127</v>
      </c>
      <c r="D24" s="149"/>
      <c r="E24" s="145">
        <v>4</v>
      </c>
      <c r="F24" s="253" t="s">
        <v>32</v>
      </c>
      <c r="G24" s="82" t="s">
        <v>33</v>
      </c>
      <c r="H24" s="187"/>
      <c r="I24" s="180"/>
      <c r="J24" s="187"/>
      <c r="K24" s="284">
        <v>1600</v>
      </c>
      <c r="L24" s="79" t="e">
        <f>#REF!</f>
        <v>#REF!</v>
      </c>
      <c r="M24" s="293" t="e">
        <f t="shared" si="6"/>
        <v>#REF!</v>
      </c>
      <c r="N24" s="153">
        <f t="shared" si="4"/>
        <v>420058.63000000047</v>
      </c>
      <c r="O24" s="153" t="e">
        <f t="shared" si="5"/>
        <v>#REF!</v>
      </c>
      <c r="P24" s="140" t="s">
        <v>120</v>
      </c>
      <c r="Q24" s="92"/>
      <c r="R24" s="92"/>
      <c r="S24" s="129" t="e">
        <f t="shared" ref="S24:S59" si="7">S23-M24+J24</f>
        <v>#REF!</v>
      </c>
      <c r="T24" s="25"/>
      <c r="V24" s="25"/>
      <c r="W24" s="25"/>
      <c r="X24" s="25"/>
      <c r="Y24" s="25"/>
      <c r="Z24" s="25"/>
      <c r="AA24" s="25"/>
      <c r="AB24" s="25"/>
      <c r="AC24" s="25"/>
    </row>
    <row r="25" spans="1:29" s="83" customFormat="1" ht="12" customHeight="1">
      <c r="A25" s="80"/>
      <c r="B25" s="256">
        <v>45733</v>
      </c>
      <c r="C25" s="144" t="s">
        <v>41</v>
      </c>
      <c r="D25" s="149"/>
      <c r="E25" s="145">
        <v>5</v>
      </c>
      <c r="F25" s="253" t="s">
        <v>25</v>
      </c>
      <c r="G25" s="82"/>
      <c r="H25" s="187"/>
      <c r="I25" s="180"/>
      <c r="J25" s="187"/>
      <c r="K25" s="146">
        <v>3.6</v>
      </c>
      <c r="L25" s="79" t="e">
        <f>#REF!</f>
        <v>#REF!</v>
      </c>
      <c r="M25" s="293" t="e">
        <f t="shared" si="6"/>
        <v>#REF!</v>
      </c>
      <c r="N25" s="153">
        <f t="shared" si="4"/>
        <v>420055.03000000049</v>
      </c>
      <c r="O25" s="153" t="e">
        <f t="shared" si="5"/>
        <v>#REF!</v>
      </c>
      <c r="P25" s="140" t="s">
        <v>120</v>
      </c>
      <c r="Q25" s="92"/>
      <c r="R25" s="92"/>
      <c r="S25" s="129" t="e">
        <f t="shared" si="7"/>
        <v>#REF!</v>
      </c>
      <c r="T25" s="25"/>
      <c r="V25" s="25"/>
      <c r="W25" s="25"/>
      <c r="X25" s="25"/>
      <c r="Y25" s="25"/>
      <c r="Z25" s="25"/>
      <c r="AA25" s="25"/>
      <c r="AB25" s="25"/>
      <c r="AC25" s="25"/>
    </row>
    <row r="26" spans="1:29" s="37" customFormat="1" ht="11.25" customHeight="1">
      <c r="A26" s="80"/>
      <c r="B26" s="256">
        <v>45737</v>
      </c>
      <c r="C26" s="177" t="s">
        <v>21</v>
      </c>
      <c r="D26" s="149"/>
      <c r="E26" s="145">
        <v>6</v>
      </c>
      <c r="F26" s="253" t="s">
        <v>22</v>
      </c>
      <c r="G26" s="82"/>
      <c r="H26" s="285">
        <v>103.37</v>
      </c>
      <c r="I26" s="105" t="e">
        <f>#REF!</f>
        <v>#REF!</v>
      </c>
      <c r="J26" s="283">
        <v>14.17</v>
      </c>
      <c r="K26" s="146"/>
      <c r="L26" s="79" t="e">
        <f>#REF!</f>
        <v>#REF!</v>
      </c>
      <c r="M26" s="293" t="e">
        <f t="shared" si="6"/>
        <v>#REF!</v>
      </c>
      <c r="N26" s="153">
        <f t="shared" si="4"/>
        <v>420158.40000000049</v>
      </c>
      <c r="O26" s="153" t="e">
        <f t="shared" si="5"/>
        <v>#REF!</v>
      </c>
      <c r="P26" s="140" t="s">
        <v>120</v>
      </c>
      <c r="Q26" s="92"/>
      <c r="R26" s="92"/>
      <c r="S26" s="129" t="e">
        <f t="shared" si="7"/>
        <v>#REF!</v>
      </c>
      <c r="T26" s="25"/>
      <c r="U26" s="83"/>
      <c r="V26" s="25"/>
      <c r="W26" s="25"/>
      <c r="X26" s="25"/>
      <c r="Y26" s="25"/>
      <c r="Z26" s="25"/>
      <c r="AA26" s="25"/>
      <c r="AB26" s="25"/>
      <c r="AC26" s="25"/>
    </row>
    <row r="27" spans="1:29" s="37" customFormat="1" ht="11.25" customHeight="1">
      <c r="A27" s="80"/>
      <c r="B27" s="256">
        <v>45737</v>
      </c>
      <c r="C27" s="177" t="s">
        <v>39</v>
      </c>
      <c r="D27" s="149"/>
      <c r="E27" s="145">
        <v>7</v>
      </c>
      <c r="F27" s="253" t="s">
        <v>25</v>
      </c>
      <c r="G27" s="82"/>
      <c r="H27" s="187"/>
      <c r="I27" s="180"/>
      <c r="J27" s="187"/>
      <c r="K27" s="284">
        <v>1010</v>
      </c>
      <c r="L27" s="79" t="e">
        <f>#REF!</f>
        <v>#REF!</v>
      </c>
      <c r="M27" s="293" t="e">
        <f t="shared" si="6"/>
        <v>#REF!</v>
      </c>
      <c r="N27" s="153">
        <f t="shared" si="4"/>
        <v>419148.40000000049</v>
      </c>
      <c r="O27" s="153" t="e">
        <f t="shared" si="5"/>
        <v>#REF!</v>
      </c>
      <c r="P27" s="140" t="s">
        <v>120</v>
      </c>
      <c r="Q27" s="92"/>
      <c r="R27" s="92"/>
      <c r="S27" s="129" t="e">
        <f t="shared" si="7"/>
        <v>#REF!</v>
      </c>
      <c r="T27" s="25"/>
      <c r="U27" s="83"/>
      <c r="V27" s="25"/>
      <c r="W27" s="25"/>
      <c r="X27" s="25"/>
      <c r="Y27" s="25"/>
      <c r="Z27" s="25"/>
      <c r="AA27" s="25"/>
      <c r="AB27" s="25"/>
      <c r="AC27" s="25"/>
    </row>
    <row r="28" spans="1:29" s="37" customFormat="1" ht="11.25" customHeight="1">
      <c r="A28" s="80"/>
      <c r="B28" s="256">
        <v>45737</v>
      </c>
      <c r="C28" s="144" t="s">
        <v>41</v>
      </c>
      <c r="D28" s="149"/>
      <c r="E28" s="145">
        <v>8</v>
      </c>
      <c r="F28" s="253" t="s">
        <v>25</v>
      </c>
      <c r="G28" s="82"/>
      <c r="H28" s="187"/>
      <c r="I28" s="180"/>
      <c r="J28" s="187"/>
      <c r="K28" s="284">
        <v>3.6</v>
      </c>
      <c r="L28" s="79" t="e">
        <f>#REF!</f>
        <v>#REF!</v>
      </c>
      <c r="M28" s="293" t="e">
        <f t="shared" si="6"/>
        <v>#REF!</v>
      </c>
      <c r="N28" s="153">
        <f t="shared" si="4"/>
        <v>419144.80000000051</v>
      </c>
      <c r="O28" s="153" t="e">
        <f t="shared" si="5"/>
        <v>#REF!</v>
      </c>
      <c r="P28" s="140" t="s">
        <v>120</v>
      </c>
      <c r="Q28" s="92"/>
      <c r="R28" s="92"/>
      <c r="S28" s="129" t="e">
        <f t="shared" si="7"/>
        <v>#REF!</v>
      </c>
      <c r="T28" s="25"/>
      <c r="U28" s="83"/>
      <c r="V28" s="25"/>
      <c r="W28" s="25"/>
      <c r="X28" s="25"/>
      <c r="Y28" s="25"/>
      <c r="Z28" s="25"/>
      <c r="AA28" s="25"/>
      <c r="AB28" s="25"/>
      <c r="AC28" s="25"/>
    </row>
    <row r="29" spans="1:29" s="37" customFormat="1" ht="11.25" customHeight="1">
      <c r="A29" s="80"/>
      <c r="B29" s="256">
        <v>45737</v>
      </c>
      <c r="C29" s="144" t="s">
        <v>51</v>
      </c>
      <c r="D29" s="149"/>
      <c r="E29" s="149">
        <v>9</v>
      </c>
      <c r="F29" s="253" t="s">
        <v>24</v>
      </c>
      <c r="G29" s="82" t="s">
        <v>38</v>
      </c>
      <c r="H29" s="150"/>
      <c r="I29" s="189"/>
      <c r="J29" s="189"/>
      <c r="K29" s="146">
        <v>10500</v>
      </c>
      <c r="L29" s="79" t="e">
        <f>#REF!</f>
        <v>#REF!</v>
      </c>
      <c r="M29" s="293" t="e">
        <f t="shared" si="6"/>
        <v>#REF!</v>
      </c>
      <c r="N29" s="153">
        <f t="shared" si="4"/>
        <v>408644.80000000051</v>
      </c>
      <c r="O29" s="153" t="e">
        <f t="shared" si="5"/>
        <v>#REF!</v>
      </c>
      <c r="P29" s="140" t="s">
        <v>120</v>
      </c>
      <c r="Q29" s="92"/>
      <c r="R29" s="92"/>
      <c r="S29" s="129" t="e">
        <f t="shared" si="7"/>
        <v>#REF!</v>
      </c>
      <c r="T29" s="25"/>
      <c r="U29" s="83"/>
      <c r="V29" s="25"/>
      <c r="W29" s="25"/>
      <c r="X29" s="25"/>
      <c r="Y29" s="25"/>
      <c r="Z29" s="25"/>
      <c r="AA29" s="25"/>
      <c r="AB29" s="25"/>
      <c r="AC29" s="25"/>
    </row>
    <row r="30" spans="1:29" s="37" customFormat="1" ht="11.25" customHeight="1">
      <c r="A30" s="80"/>
      <c r="B30" s="256">
        <v>45737</v>
      </c>
      <c r="C30" s="144" t="s">
        <v>112</v>
      </c>
      <c r="D30" s="149"/>
      <c r="E30" s="149">
        <v>9</v>
      </c>
      <c r="F30" s="253" t="s">
        <v>25</v>
      </c>
      <c r="G30" s="82"/>
      <c r="H30" s="150"/>
      <c r="I30" s="189"/>
      <c r="J30" s="189"/>
      <c r="K30" s="146">
        <v>6000</v>
      </c>
      <c r="L30" s="79" t="e">
        <f>#REF!</f>
        <v>#REF!</v>
      </c>
      <c r="M30" s="293" t="e">
        <f t="shared" si="6"/>
        <v>#REF!</v>
      </c>
      <c r="N30" s="153">
        <f t="shared" si="4"/>
        <v>402644.80000000051</v>
      </c>
      <c r="O30" s="153" t="e">
        <f t="shared" si="5"/>
        <v>#REF!</v>
      </c>
      <c r="P30" s="140" t="s">
        <v>120</v>
      </c>
      <c r="Q30" s="92"/>
      <c r="R30" s="92"/>
      <c r="S30" s="129" t="e">
        <f t="shared" si="7"/>
        <v>#REF!</v>
      </c>
      <c r="T30" s="25"/>
      <c r="U30" s="83"/>
      <c r="V30" s="25"/>
      <c r="W30" s="25"/>
      <c r="X30" s="25"/>
      <c r="Y30" s="25"/>
      <c r="Z30" s="25"/>
      <c r="AA30" s="25"/>
      <c r="AB30" s="25"/>
      <c r="AC30" s="25"/>
    </row>
    <row r="31" spans="1:29" s="37" customFormat="1" ht="11.25" customHeight="1">
      <c r="A31" s="80"/>
      <c r="B31" s="256">
        <v>45737</v>
      </c>
      <c r="C31" s="144" t="s">
        <v>113</v>
      </c>
      <c r="D31" s="149"/>
      <c r="E31" s="149">
        <v>9</v>
      </c>
      <c r="F31" s="253" t="s">
        <v>25</v>
      </c>
      <c r="G31" s="82"/>
      <c r="H31" s="150"/>
      <c r="I31" s="189"/>
      <c r="J31" s="189"/>
      <c r="K31" s="146">
        <v>760</v>
      </c>
      <c r="L31" s="79" t="e">
        <f>#REF!</f>
        <v>#REF!</v>
      </c>
      <c r="M31" s="293" t="e">
        <f t="shared" si="6"/>
        <v>#REF!</v>
      </c>
      <c r="N31" s="153">
        <f t="shared" si="4"/>
        <v>401884.80000000051</v>
      </c>
      <c r="O31" s="153" t="e">
        <f t="shared" si="5"/>
        <v>#REF!</v>
      </c>
      <c r="P31" s="140" t="s">
        <v>120</v>
      </c>
      <c r="Q31" s="92"/>
      <c r="R31" s="92"/>
      <c r="S31" s="129" t="e">
        <f t="shared" si="7"/>
        <v>#REF!</v>
      </c>
      <c r="T31" s="25"/>
      <c r="U31" s="83"/>
      <c r="V31" s="25"/>
      <c r="W31" s="25"/>
      <c r="X31" s="25"/>
      <c r="Y31" s="25"/>
      <c r="Z31" s="25"/>
      <c r="AA31" s="25"/>
      <c r="AB31" s="25"/>
      <c r="AC31" s="25"/>
    </row>
    <row r="32" spans="1:29" s="37" customFormat="1" ht="11.25" customHeight="1">
      <c r="A32" s="80"/>
      <c r="B32" s="256">
        <v>45737</v>
      </c>
      <c r="C32" s="144" t="s">
        <v>51</v>
      </c>
      <c r="D32" s="149"/>
      <c r="E32" s="149">
        <v>9</v>
      </c>
      <c r="F32" s="253" t="s">
        <v>24</v>
      </c>
      <c r="G32" s="82" t="s">
        <v>38</v>
      </c>
      <c r="H32" s="150"/>
      <c r="I32" s="189"/>
      <c r="J32" s="189"/>
      <c r="K32" s="146">
        <v>7000</v>
      </c>
      <c r="L32" s="79" t="e">
        <f>#REF!</f>
        <v>#REF!</v>
      </c>
      <c r="M32" s="293" t="e">
        <f t="shared" si="6"/>
        <v>#REF!</v>
      </c>
      <c r="N32" s="153">
        <f t="shared" si="4"/>
        <v>394884.80000000051</v>
      </c>
      <c r="O32" s="153" t="e">
        <f t="shared" si="5"/>
        <v>#REF!</v>
      </c>
      <c r="P32" s="140" t="s">
        <v>120</v>
      </c>
      <c r="Q32" s="92"/>
      <c r="R32" s="92"/>
      <c r="S32" s="129" t="e">
        <f t="shared" si="7"/>
        <v>#REF!</v>
      </c>
      <c r="T32" s="25"/>
      <c r="U32" s="83"/>
      <c r="V32" s="25"/>
      <c r="W32" s="25"/>
      <c r="X32" s="25"/>
      <c r="Y32" s="25"/>
      <c r="Z32" s="25"/>
      <c r="AA32" s="25"/>
      <c r="AB32" s="25"/>
      <c r="AC32" s="25"/>
    </row>
    <row r="33" spans="1:29" s="37" customFormat="1" ht="11.25" customHeight="1">
      <c r="A33" s="80"/>
      <c r="B33" s="256">
        <v>45737</v>
      </c>
      <c r="C33" s="144" t="s">
        <v>112</v>
      </c>
      <c r="D33" s="149"/>
      <c r="E33" s="149">
        <v>9</v>
      </c>
      <c r="F33" s="253" t="s">
        <v>25</v>
      </c>
      <c r="G33" s="82"/>
      <c r="H33" s="150"/>
      <c r="I33" s="189"/>
      <c r="J33" s="189"/>
      <c r="K33" s="146">
        <v>6000</v>
      </c>
      <c r="L33" s="79" t="e">
        <f>#REF!</f>
        <v>#REF!</v>
      </c>
      <c r="M33" s="293" t="e">
        <f t="shared" si="6"/>
        <v>#REF!</v>
      </c>
      <c r="N33" s="153">
        <f t="shared" si="4"/>
        <v>388884.80000000051</v>
      </c>
      <c r="O33" s="153" t="e">
        <f t="shared" si="5"/>
        <v>#REF!</v>
      </c>
      <c r="P33" s="140" t="s">
        <v>120</v>
      </c>
      <c r="Q33" s="92"/>
      <c r="R33" s="92"/>
      <c r="S33" s="129" t="e">
        <f t="shared" si="7"/>
        <v>#REF!</v>
      </c>
      <c r="T33" s="25"/>
      <c r="U33" s="83"/>
      <c r="V33" s="25"/>
      <c r="W33" s="25"/>
      <c r="X33" s="25"/>
      <c r="Y33" s="25"/>
      <c r="Z33" s="25"/>
      <c r="AA33" s="25"/>
      <c r="AB33" s="25"/>
      <c r="AC33" s="25"/>
    </row>
    <row r="34" spans="1:29" s="37" customFormat="1" ht="11.25" customHeight="1">
      <c r="A34" s="80"/>
      <c r="B34" s="256">
        <v>45737</v>
      </c>
      <c r="C34" s="144" t="s">
        <v>113</v>
      </c>
      <c r="D34" s="149"/>
      <c r="E34" s="149">
        <v>9</v>
      </c>
      <c r="F34" s="253" t="s">
        <v>25</v>
      </c>
      <c r="G34" s="82"/>
      <c r="H34" s="150"/>
      <c r="I34" s="189"/>
      <c r="J34" s="189"/>
      <c r="K34" s="146">
        <v>900</v>
      </c>
      <c r="L34" s="79" t="e">
        <f>#REF!</f>
        <v>#REF!</v>
      </c>
      <c r="M34" s="293" t="e">
        <f t="shared" si="6"/>
        <v>#REF!</v>
      </c>
      <c r="N34" s="153">
        <f t="shared" si="4"/>
        <v>387984.80000000051</v>
      </c>
      <c r="O34" s="153" t="e">
        <f t="shared" si="5"/>
        <v>#REF!</v>
      </c>
      <c r="P34" s="140" t="s">
        <v>120</v>
      </c>
      <c r="Q34" s="92"/>
      <c r="R34" s="92"/>
      <c r="S34" s="129" t="e">
        <f t="shared" si="7"/>
        <v>#REF!</v>
      </c>
      <c r="T34" s="25"/>
      <c r="U34" s="83"/>
      <c r="V34" s="25"/>
      <c r="W34" s="25"/>
      <c r="X34" s="25"/>
      <c r="Y34" s="25"/>
      <c r="Z34" s="25"/>
      <c r="AA34" s="25"/>
      <c r="AB34" s="25"/>
      <c r="AC34" s="25"/>
    </row>
    <row r="35" spans="1:29" s="37" customFormat="1" ht="11.25" customHeight="1">
      <c r="A35" s="80"/>
      <c r="B35" s="256">
        <v>45737</v>
      </c>
      <c r="C35" s="144" t="s">
        <v>41</v>
      </c>
      <c r="D35" s="149"/>
      <c r="E35" s="149">
        <v>10</v>
      </c>
      <c r="F35" s="253" t="s">
        <v>25</v>
      </c>
      <c r="G35" s="82"/>
      <c r="H35" s="150"/>
      <c r="I35" s="189"/>
      <c r="J35" s="189"/>
      <c r="K35" s="146">
        <v>7.2</v>
      </c>
      <c r="L35" s="79" t="e">
        <f>#REF!</f>
        <v>#REF!</v>
      </c>
      <c r="M35" s="293" t="e">
        <f t="shared" si="6"/>
        <v>#REF!</v>
      </c>
      <c r="N35" s="153">
        <f t="shared" si="4"/>
        <v>387977.6000000005</v>
      </c>
      <c r="O35" s="153" t="e">
        <f t="shared" si="5"/>
        <v>#REF!</v>
      </c>
      <c r="P35" s="140" t="s">
        <v>120</v>
      </c>
      <c r="Q35" s="92"/>
      <c r="R35" s="92"/>
      <c r="S35" s="129" t="e">
        <f t="shared" si="7"/>
        <v>#REF!</v>
      </c>
      <c r="T35" s="25"/>
      <c r="U35" s="83"/>
      <c r="V35" s="25"/>
      <c r="W35" s="25"/>
      <c r="X35" s="25"/>
      <c r="Y35" s="25"/>
      <c r="Z35" s="25"/>
      <c r="AA35" s="25"/>
      <c r="AB35" s="25"/>
      <c r="AC35" s="25"/>
    </row>
    <row r="36" spans="1:29" s="37" customFormat="1" ht="11.25" customHeight="1">
      <c r="A36" s="80"/>
      <c r="B36" s="256">
        <v>45737</v>
      </c>
      <c r="C36" s="144" t="s">
        <v>170</v>
      </c>
      <c r="D36" s="149"/>
      <c r="E36" s="145">
        <v>11</v>
      </c>
      <c r="F36" s="253" t="s">
        <v>27</v>
      </c>
      <c r="G36" s="82" t="s">
        <v>30</v>
      </c>
      <c r="H36" s="187"/>
      <c r="I36" s="180"/>
      <c r="J36" s="187"/>
      <c r="K36" s="146">
        <v>419</v>
      </c>
      <c r="L36" s="79" t="e">
        <f>#REF!</f>
        <v>#REF!</v>
      </c>
      <c r="M36" s="293">
        <v>57.44</v>
      </c>
      <c r="N36" s="153">
        <f t="shared" si="4"/>
        <v>387558.6000000005</v>
      </c>
      <c r="O36" s="153" t="e">
        <f t="shared" si="5"/>
        <v>#REF!</v>
      </c>
      <c r="P36" s="140" t="s">
        <v>120</v>
      </c>
      <c r="Q36" s="92"/>
      <c r="R36" s="140" t="s">
        <v>182</v>
      </c>
      <c r="S36" s="129" t="e">
        <f t="shared" si="7"/>
        <v>#REF!</v>
      </c>
      <c r="T36" s="25"/>
      <c r="U36" s="83"/>
      <c r="V36" s="25"/>
      <c r="W36" s="25"/>
      <c r="X36" s="25"/>
      <c r="Y36" s="25"/>
      <c r="Z36" s="25"/>
      <c r="AA36" s="25"/>
      <c r="AB36" s="25"/>
      <c r="AC36" s="25"/>
    </row>
    <row r="37" spans="1:29" s="37" customFormat="1" ht="11.25" customHeight="1">
      <c r="A37" s="80"/>
      <c r="B37" s="256">
        <v>45737</v>
      </c>
      <c r="C37" s="144" t="s">
        <v>41</v>
      </c>
      <c r="D37" s="149"/>
      <c r="E37" s="145">
        <v>12</v>
      </c>
      <c r="F37" s="253" t="s">
        <v>25</v>
      </c>
      <c r="G37" s="82"/>
      <c r="H37" s="187"/>
      <c r="I37" s="180"/>
      <c r="J37" s="187"/>
      <c r="K37" s="146">
        <v>3.6</v>
      </c>
      <c r="L37" s="79" t="e">
        <f>#REF!</f>
        <v>#REF!</v>
      </c>
      <c r="M37" s="293" t="e">
        <f t="shared" ref="M37:M56" si="8">K37/L37</f>
        <v>#REF!</v>
      </c>
      <c r="N37" s="153">
        <f t="shared" si="4"/>
        <v>387555.00000000052</v>
      </c>
      <c r="O37" s="153" t="e">
        <f t="shared" si="5"/>
        <v>#REF!</v>
      </c>
      <c r="P37" s="140" t="s">
        <v>120</v>
      </c>
      <c r="Q37" s="92"/>
      <c r="R37" s="140" t="s">
        <v>182</v>
      </c>
      <c r="S37" s="129" t="e">
        <f t="shared" si="7"/>
        <v>#REF!</v>
      </c>
      <c r="T37" s="25"/>
      <c r="U37" s="83"/>
      <c r="V37" s="25"/>
      <c r="W37" s="25"/>
      <c r="X37" s="25"/>
      <c r="Y37" s="25"/>
      <c r="Z37" s="25"/>
      <c r="AA37" s="25"/>
      <c r="AB37" s="25"/>
      <c r="AC37" s="25"/>
    </row>
    <row r="38" spans="1:29" s="37" customFormat="1" ht="11.25" customHeight="1">
      <c r="A38" s="80"/>
      <c r="B38" s="256">
        <v>45737</v>
      </c>
      <c r="C38" s="144" t="s">
        <v>160</v>
      </c>
      <c r="D38" s="149"/>
      <c r="E38" s="145">
        <v>13</v>
      </c>
      <c r="F38" s="253" t="s">
        <v>32</v>
      </c>
      <c r="G38" s="82" t="s">
        <v>33</v>
      </c>
      <c r="H38" s="187"/>
      <c r="I38" s="180"/>
      <c r="J38" s="187"/>
      <c r="K38" s="146">
        <v>428.18</v>
      </c>
      <c r="L38" s="79" t="e">
        <f>#REF!</f>
        <v>#REF!</v>
      </c>
      <c r="M38" s="293" t="e">
        <f t="shared" si="8"/>
        <v>#REF!</v>
      </c>
      <c r="N38" s="153">
        <f t="shared" si="4"/>
        <v>387126.82000000053</v>
      </c>
      <c r="O38" s="153" t="e">
        <f t="shared" si="5"/>
        <v>#REF!</v>
      </c>
      <c r="P38" s="140" t="s">
        <v>120</v>
      </c>
      <c r="Q38" s="92"/>
      <c r="R38" s="140" t="s">
        <v>145</v>
      </c>
      <c r="S38" s="129" t="e">
        <f t="shared" si="7"/>
        <v>#REF!</v>
      </c>
      <c r="T38" s="25"/>
      <c r="U38" s="83"/>
      <c r="V38" s="25"/>
      <c r="W38" s="25"/>
      <c r="X38" s="25"/>
      <c r="Y38" s="25"/>
      <c r="Z38" s="25"/>
      <c r="AA38" s="25"/>
      <c r="AB38" s="25"/>
      <c r="AC38" s="25"/>
    </row>
    <row r="39" spans="1:29" s="37" customFormat="1" ht="11.25" customHeight="1">
      <c r="A39" s="80"/>
      <c r="B39" s="256">
        <v>45737</v>
      </c>
      <c r="C39" s="144" t="s">
        <v>159</v>
      </c>
      <c r="D39" s="149"/>
      <c r="E39" s="145">
        <v>14</v>
      </c>
      <c r="F39" s="253" t="s">
        <v>32</v>
      </c>
      <c r="G39" s="82" t="s">
        <v>33</v>
      </c>
      <c r="H39" s="187"/>
      <c r="I39" s="180"/>
      <c r="J39" s="187"/>
      <c r="K39" s="146">
        <v>2164.3200000000002</v>
      </c>
      <c r="L39" s="79" t="e">
        <f>#REF!</f>
        <v>#REF!</v>
      </c>
      <c r="M39" s="293" t="e">
        <f t="shared" si="8"/>
        <v>#REF!</v>
      </c>
      <c r="N39" s="153">
        <f t="shared" si="4"/>
        <v>384962.50000000052</v>
      </c>
      <c r="O39" s="153" t="e">
        <f t="shared" si="5"/>
        <v>#REF!</v>
      </c>
      <c r="P39" s="140" t="s">
        <v>120</v>
      </c>
      <c r="Q39" s="92"/>
      <c r="R39" s="140" t="s">
        <v>145</v>
      </c>
      <c r="S39" s="129" t="e">
        <f t="shared" si="7"/>
        <v>#REF!</v>
      </c>
      <c r="T39" s="25"/>
      <c r="U39" s="83"/>
      <c r="V39" s="25"/>
      <c r="W39" s="25"/>
      <c r="X39" s="25"/>
      <c r="Y39" s="25"/>
      <c r="Z39" s="25"/>
      <c r="AA39" s="25"/>
      <c r="AB39" s="25"/>
      <c r="AC39" s="25"/>
    </row>
    <row r="40" spans="1:29" s="37" customFormat="1" ht="11.25" customHeight="1">
      <c r="A40" s="80"/>
      <c r="B40" s="256">
        <v>45737</v>
      </c>
      <c r="C40" s="144" t="s">
        <v>161</v>
      </c>
      <c r="D40" s="149"/>
      <c r="E40" s="145">
        <v>15</v>
      </c>
      <c r="F40" s="253" t="s">
        <v>25</v>
      </c>
      <c r="G40" s="82"/>
      <c r="H40" s="187"/>
      <c r="I40" s="180"/>
      <c r="J40" s="187"/>
      <c r="K40" s="146">
        <v>142.4</v>
      </c>
      <c r="L40" s="79" t="e">
        <f>#REF!</f>
        <v>#REF!</v>
      </c>
      <c r="M40" s="293" t="e">
        <f t="shared" si="8"/>
        <v>#REF!</v>
      </c>
      <c r="N40" s="153">
        <f t="shared" si="4"/>
        <v>384820.1000000005</v>
      </c>
      <c r="O40" s="153" t="e">
        <f t="shared" si="5"/>
        <v>#REF!</v>
      </c>
      <c r="P40" s="140" t="s">
        <v>120</v>
      </c>
      <c r="Q40" s="92"/>
      <c r="R40" s="140" t="s">
        <v>145</v>
      </c>
      <c r="S40" s="129" t="e">
        <f t="shared" si="7"/>
        <v>#REF!</v>
      </c>
      <c r="T40" s="25"/>
      <c r="U40" s="83"/>
      <c r="V40" s="25"/>
      <c r="W40" s="25"/>
      <c r="X40" s="25"/>
      <c r="Y40" s="25"/>
      <c r="Z40" s="25"/>
      <c r="AA40" s="25"/>
      <c r="AB40" s="25"/>
      <c r="AC40" s="25"/>
    </row>
    <row r="41" spans="1:29" s="37" customFormat="1" ht="11.25" customHeight="1">
      <c r="A41" s="80"/>
      <c r="B41" s="256">
        <v>45737</v>
      </c>
      <c r="C41" s="144" t="s">
        <v>8</v>
      </c>
      <c r="D41" s="149"/>
      <c r="E41" s="145">
        <v>16</v>
      </c>
      <c r="F41" s="253" t="s">
        <v>27</v>
      </c>
      <c r="G41" s="82" t="s">
        <v>30</v>
      </c>
      <c r="H41" s="187"/>
      <c r="I41" s="180"/>
      <c r="J41" s="187"/>
      <c r="K41" s="146">
        <v>118.8</v>
      </c>
      <c r="L41" s="79" t="e">
        <f>#REF!</f>
        <v>#REF!</v>
      </c>
      <c r="M41" s="293" t="e">
        <f t="shared" si="8"/>
        <v>#REF!</v>
      </c>
      <c r="N41" s="153">
        <f t="shared" si="4"/>
        <v>384701.30000000051</v>
      </c>
      <c r="O41" s="153" t="e">
        <f t="shared" si="5"/>
        <v>#REF!</v>
      </c>
      <c r="P41" s="140" t="s">
        <v>120</v>
      </c>
      <c r="Q41" s="92"/>
      <c r="R41" s="140" t="s">
        <v>145</v>
      </c>
      <c r="S41" s="129" t="e">
        <f t="shared" si="7"/>
        <v>#REF!</v>
      </c>
      <c r="T41" s="25"/>
      <c r="U41" s="83"/>
      <c r="V41" s="25"/>
      <c r="W41" s="25"/>
      <c r="X41" s="25"/>
      <c r="Y41" s="25"/>
      <c r="Z41" s="25"/>
      <c r="AA41" s="25"/>
      <c r="AB41" s="25"/>
      <c r="AC41" s="25"/>
    </row>
    <row r="42" spans="1:29" s="37" customFormat="1" ht="11.25" customHeight="1">
      <c r="A42" s="80"/>
      <c r="B42" s="256">
        <v>45737</v>
      </c>
      <c r="C42" s="144" t="s">
        <v>41</v>
      </c>
      <c r="D42" s="149"/>
      <c r="E42" s="145">
        <v>17</v>
      </c>
      <c r="F42" s="253" t="s">
        <v>25</v>
      </c>
      <c r="G42" s="82"/>
      <c r="H42" s="187"/>
      <c r="I42" s="180"/>
      <c r="J42" s="187"/>
      <c r="K42" s="146">
        <v>3.6</v>
      </c>
      <c r="L42" s="79" t="e">
        <f>#REF!</f>
        <v>#REF!</v>
      </c>
      <c r="M42" s="293" t="e">
        <f t="shared" si="8"/>
        <v>#REF!</v>
      </c>
      <c r="N42" s="153">
        <f t="shared" si="4"/>
        <v>384697.70000000054</v>
      </c>
      <c r="O42" s="153" t="e">
        <f t="shared" si="5"/>
        <v>#REF!</v>
      </c>
      <c r="P42" s="140" t="s">
        <v>120</v>
      </c>
      <c r="Q42" s="92"/>
      <c r="R42" s="140" t="s">
        <v>145</v>
      </c>
      <c r="S42" s="129" t="e">
        <f t="shared" si="7"/>
        <v>#REF!</v>
      </c>
      <c r="T42" s="25"/>
      <c r="U42" s="83"/>
      <c r="V42" s="25"/>
      <c r="W42" s="25"/>
      <c r="X42" s="25"/>
      <c r="Y42" s="25"/>
      <c r="Z42" s="25"/>
      <c r="AA42" s="25"/>
      <c r="AB42" s="25"/>
      <c r="AC42" s="25"/>
    </row>
    <row r="43" spans="1:29" s="37" customFormat="1" ht="11.25" customHeight="1">
      <c r="A43" s="80"/>
      <c r="B43" s="256">
        <v>45737</v>
      </c>
      <c r="C43" s="144" t="s">
        <v>159</v>
      </c>
      <c r="D43" s="149"/>
      <c r="E43" s="145">
        <v>18</v>
      </c>
      <c r="F43" s="253" t="s">
        <v>32</v>
      </c>
      <c r="G43" s="82" t="s">
        <v>33</v>
      </c>
      <c r="H43" s="187"/>
      <c r="I43" s="180"/>
      <c r="J43" s="187"/>
      <c r="K43" s="146">
        <v>6566.89</v>
      </c>
      <c r="L43" s="79" t="e">
        <f>#REF!</f>
        <v>#REF!</v>
      </c>
      <c r="M43" s="293" t="e">
        <f t="shared" si="8"/>
        <v>#REF!</v>
      </c>
      <c r="N43" s="153">
        <f t="shared" si="4"/>
        <v>378130.81000000052</v>
      </c>
      <c r="O43" s="153" t="e">
        <f t="shared" si="5"/>
        <v>#REF!</v>
      </c>
      <c r="P43" s="140" t="s">
        <v>120</v>
      </c>
      <c r="Q43" s="92"/>
      <c r="R43" s="140" t="s">
        <v>146</v>
      </c>
      <c r="S43" s="129" t="e">
        <f t="shared" si="7"/>
        <v>#REF!</v>
      </c>
      <c r="T43" s="25"/>
      <c r="U43" s="83"/>
      <c r="V43" s="25"/>
      <c r="W43" s="25"/>
      <c r="X43" s="25"/>
      <c r="Y43" s="25"/>
      <c r="Z43" s="25"/>
      <c r="AA43" s="25"/>
      <c r="AB43" s="25"/>
      <c r="AC43" s="25"/>
    </row>
    <row r="44" spans="1:29" s="37" customFormat="1" ht="11.25" customHeight="1">
      <c r="A44" s="80"/>
      <c r="B44" s="256">
        <v>45737</v>
      </c>
      <c r="C44" s="144" t="s">
        <v>29</v>
      </c>
      <c r="D44" s="149"/>
      <c r="E44" s="145">
        <v>19</v>
      </c>
      <c r="F44" s="253" t="s">
        <v>32</v>
      </c>
      <c r="G44" s="82" t="s">
        <v>33</v>
      </c>
      <c r="H44" s="187"/>
      <c r="I44" s="180"/>
      <c r="J44" s="187"/>
      <c r="K44" s="258">
        <v>385.71</v>
      </c>
      <c r="L44" s="79" t="e">
        <f>#REF!</f>
        <v>#REF!</v>
      </c>
      <c r="M44" s="293" t="e">
        <f t="shared" si="8"/>
        <v>#REF!</v>
      </c>
      <c r="N44" s="153">
        <f t="shared" si="4"/>
        <v>377745.1000000005</v>
      </c>
      <c r="O44" s="153" t="e">
        <f t="shared" si="5"/>
        <v>#REF!</v>
      </c>
      <c r="P44" s="140" t="s">
        <v>120</v>
      </c>
      <c r="Q44" s="92"/>
      <c r="R44" s="140" t="s">
        <v>146</v>
      </c>
      <c r="S44" s="129" t="e">
        <f t="shared" si="7"/>
        <v>#REF!</v>
      </c>
      <c r="T44" s="25"/>
      <c r="U44" s="83"/>
      <c r="V44" s="25"/>
      <c r="W44" s="25"/>
      <c r="X44" s="25"/>
      <c r="Y44" s="25"/>
      <c r="Z44" s="25"/>
      <c r="AA44" s="25"/>
      <c r="AB44" s="25"/>
      <c r="AC44" s="25"/>
    </row>
    <row r="45" spans="1:29" s="37" customFormat="1" ht="11.25" customHeight="1">
      <c r="A45" s="80"/>
      <c r="B45" s="256">
        <v>45737</v>
      </c>
      <c r="C45" s="144" t="s">
        <v>8</v>
      </c>
      <c r="D45" s="149"/>
      <c r="E45" s="145">
        <v>20</v>
      </c>
      <c r="F45" s="253" t="s">
        <v>27</v>
      </c>
      <c r="G45" s="82" t="s">
        <v>30</v>
      </c>
      <c r="H45" s="187"/>
      <c r="I45" s="180"/>
      <c r="J45" s="187"/>
      <c r="K45" s="146">
        <v>316.79000000000002</v>
      </c>
      <c r="L45" s="79" t="e">
        <f>#REF!</f>
        <v>#REF!</v>
      </c>
      <c r="M45" s="293" t="e">
        <f t="shared" si="8"/>
        <v>#REF!</v>
      </c>
      <c r="N45" s="153">
        <f t="shared" si="4"/>
        <v>377428.31000000052</v>
      </c>
      <c r="O45" s="153" t="e">
        <f t="shared" si="5"/>
        <v>#REF!</v>
      </c>
      <c r="P45" s="140" t="s">
        <v>120</v>
      </c>
      <c r="Q45" s="92"/>
      <c r="R45" s="140" t="s">
        <v>146</v>
      </c>
      <c r="S45" s="129" t="e">
        <f t="shared" si="7"/>
        <v>#REF!</v>
      </c>
      <c r="T45" s="25"/>
      <c r="U45" s="83"/>
      <c r="V45" s="25"/>
      <c r="W45" s="25"/>
      <c r="X45" s="25"/>
      <c r="Y45" s="25"/>
      <c r="Z45" s="25"/>
      <c r="AA45" s="25"/>
      <c r="AB45" s="25"/>
      <c r="AC45" s="25"/>
    </row>
    <row r="46" spans="1:29" s="37" customFormat="1" ht="11.25" customHeight="1">
      <c r="A46" s="80"/>
      <c r="B46" s="256">
        <v>45737</v>
      </c>
      <c r="C46" s="144" t="s">
        <v>2</v>
      </c>
      <c r="D46" s="149"/>
      <c r="E46" s="145">
        <v>21</v>
      </c>
      <c r="F46" s="253" t="s">
        <v>28</v>
      </c>
      <c r="G46" s="82" t="s">
        <v>31</v>
      </c>
      <c r="H46" s="187"/>
      <c r="I46" s="180"/>
      <c r="J46" s="187"/>
      <c r="K46" s="146">
        <v>97</v>
      </c>
      <c r="L46" s="79" t="e">
        <f>#REF!</f>
        <v>#REF!</v>
      </c>
      <c r="M46" s="293" t="e">
        <f t="shared" si="8"/>
        <v>#REF!</v>
      </c>
      <c r="N46" s="153">
        <f t="shared" si="4"/>
        <v>377331.31000000052</v>
      </c>
      <c r="O46" s="153" t="e">
        <f t="shared" si="5"/>
        <v>#REF!</v>
      </c>
      <c r="P46" s="140" t="s">
        <v>120</v>
      </c>
      <c r="Q46" s="92"/>
      <c r="R46" s="140" t="s">
        <v>146</v>
      </c>
      <c r="S46" s="129" t="e">
        <f t="shared" si="7"/>
        <v>#REF!</v>
      </c>
      <c r="T46" s="25"/>
      <c r="U46" s="83"/>
      <c r="V46" s="25"/>
      <c r="W46" s="25"/>
      <c r="X46" s="25"/>
      <c r="Y46" s="25"/>
      <c r="Z46" s="25"/>
      <c r="AA46" s="25"/>
      <c r="AB46" s="25"/>
      <c r="AC46" s="25"/>
    </row>
    <row r="47" spans="1:29" s="37" customFormat="1" ht="11.25" customHeight="1">
      <c r="A47" s="80"/>
      <c r="B47" s="256">
        <v>45737</v>
      </c>
      <c r="C47" s="144" t="s">
        <v>142</v>
      </c>
      <c r="D47" s="149"/>
      <c r="E47" s="145">
        <v>22</v>
      </c>
      <c r="F47" s="253" t="s">
        <v>25</v>
      </c>
      <c r="G47" s="82"/>
      <c r="H47" s="187"/>
      <c r="I47" s="180"/>
      <c r="J47" s="187"/>
      <c r="K47" s="146">
        <v>100.4</v>
      </c>
      <c r="L47" s="79" t="e">
        <f>#REF!</f>
        <v>#REF!</v>
      </c>
      <c r="M47" s="293" t="e">
        <f t="shared" si="8"/>
        <v>#REF!</v>
      </c>
      <c r="N47" s="153">
        <f t="shared" si="4"/>
        <v>377230.9100000005</v>
      </c>
      <c r="O47" s="153" t="e">
        <f t="shared" si="5"/>
        <v>#REF!</v>
      </c>
      <c r="P47" s="140" t="s">
        <v>120</v>
      </c>
      <c r="Q47" s="92"/>
      <c r="R47" s="140" t="s">
        <v>146</v>
      </c>
      <c r="S47" s="129" t="e">
        <f t="shared" si="7"/>
        <v>#REF!</v>
      </c>
      <c r="T47" s="25"/>
      <c r="U47" s="83"/>
      <c r="V47" s="25"/>
      <c r="W47" s="25"/>
      <c r="X47" s="25"/>
      <c r="Y47" s="25"/>
      <c r="Z47" s="25"/>
      <c r="AA47" s="25"/>
      <c r="AB47" s="25"/>
      <c r="AC47" s="25"/>
    </row>
    <row r="48" spans="1:29" s="37" customFormat="1" ht="11.25" customHeight="1">
      <c r="A48" s="80"/>
      <c r="B48" s="256">
        <v>45737</v>
      </c>
      <c r="C48" s="144" t="s">
        <v>41</v>
      </c>
      <c r="D48" s="149"/>
      <c r="E48" s="145">
        <v>23</v>
      </c>
      <c r="F48" s="253" t="s">
        <v>25</v>
      </c>
      <c r="G48" s="82"/>
      <c r="H48" s="187"/>
      <c r="I48" s="180"/>
      <c r="J48" s="187"/>
      <c r="K48" s="146">
        <v>3.6</v>
      </c>
      <c r="L48" s="79" t="e">
        <f>#REF!</f>
        <v>#REF!</v>
      </c>
      <c r="M48" s="293" t="e">
        <f t="shared" si="8"/>
        <v>#REF!</v>
      </c>
      <c r="N48" s="153">
        <f t="shared" si="4"/>
        <v>377227.31000000052</v>
      </c>
      <c r="O48" s="153" t="e">
        <f t="shared" si="5"/>
        <v>#REF!</v>
      </c>
      <c r="P48" s="140" t="s">
        <v>120</v>
      </c>
      <c r="Q48" s="92"/>
      <c r="R48" s="140" t="s">
        <v>146</v>
      </c>
      <c r="S48" s="129" t="e">
        <f t="shared" si="7"/>
        <v>#REF!</v>
      </c>
      <c r="T48" s="25"/>
      <c r="U48" s="83"/>
      <c r="V48" s="25"/>
      <c r="W48" s="25"/>
      <c r="X48" s="25"/>
      <c r="Y48" s="25"/>
      <c r="Z48" s="25"/>
      <c r="AA48" s="25"/>
      <c r="AB48" s="25"/>
      <c r="AC48" s="25"/>
    </row>
    <row r="49" spans="1:29" s="37" customFormat="1" ht="11.25" customHeight="1">
      <c r="A49" s="80"/>
      <c r="B49" s="256">
        <v>45737</v>
      </c>
      <c r="C49" s="144" t="s">
        <v>184</v>
      </c>
      <c r="D49" s="149"/>
      <c r="E49" s="145">
        <v>24</v>
      </c>
      <c r="F49" s="253" t="s">
        <v>32</v>
      </c>
      <c r="G49" s="82" t="s">
        <v>33</v>
      </c>
      <c r="H49" s="187"/>
      <c r="I49" s="180"/>
      <c r="J49" s="187"/>
      <c r="K49" s="258">
        <v>677.37</v>
      </c>
      <c r="L49" s="79" t="e">
        <f>#REF!</f>
        <v>#REF!</v>
      </c>
      <c r="M49" s="293" t="e">
        <f t="shared" si="8"/>
        <v>#REF!</v>
      </c>
      <c r="N49" s="153">
        <f t="shared" si="4"/>
        <v>376549.94000000053</v>
      </c>
      <c r="O49" s="153" t="e">
        <f t="shared" si="5"/>
        <v>#REF!</v>
      </c>
      <c r="P49" s="140" t="s">
        <v>120</v>
      </c>
      <c r="Q49" s="92"/>
      <c r="R49" s="140" t="s">
        <v>147</v>
      </c>
      <c r="S49" s="129" t="e">
        <f t="shared" si="7"/>
        <v>#REF!</v>
      </c>
      <c r="T49" s="25"/>
      <c r="U49" s="83"/>
      <c r="V49" s="25"/>
      <c r="W49" s="25"/>
      <c r="X49" s="25"/>
      <c r="Y49" s="25"/>
      <c r="Z49" s="25"/>
      <c r="AA49" s="25"/>
      <c r="AB49" s="25"/>
      <c r="AC49" s="25"/>
    </row>
    <row r="50" spans="1:29" s="37" customFormat="1" ht="11.25" customHeight="1">
      <c r="A50" s="80"/>
      <c r="B50" s="256">
        <v>45737</v>
      </c>
      <c r="C50" s="144" t="s">
        <v>8</v>
      </c>
      <c r="D50" s="149"/>
      <c r="E50" s="145">
        <v>25</v>
      </c>
      <c r="F50" s="253" t="s">
        <v>27</v>
      </c>
      <c r="G50" s="82" t="s">
        <v>30</v>
      </c>
      <c r="H50" s="187"/>
      <c r="I50" s="180"/>
      <c r="J50" s="187"/>
      <c r="K50" s="146">
        <v>299</v>
      </c>
      <c r="L50" s="79" t="e">
        <f>#REF!</f>
        <v>#REF!</v>
      </c>
      <c r="M50" s="293" t="e">
        <f t="shared" si="8"/>
        <v>#REF!</v>
      </c>
      <c r="N50" s="153">
        <f t="shared" si="4"/>
        <v>376250.94000000053</v>
      </c>
      <c r="O50" s="153" t="e">
        <f t="shared" si="5"/>
        <v>#REF!</v>
      </c>
      <c r="P50" s="140" t="s">
        <v>120</v>
      </c>
      <c r="Q50" s="92"/>
      <c r="R50" s="140" t="s">
        <v>147</v>
      </c>
      <c r="S50" s="129" t="e">
        <f t="shared" si="7"/>
        <v>#REF!</v>
      </c>
      <c r="T50" s="25"/>
      <c r="U50" s="83"/>
      <c r="V50" s="25"/>
      <c r="W50" s="25"/>
      <c r="X50" s="25"/>
      <c r="Y50" s="25"/>
      <c r="Z50" s="25"/>
      <c r="AA50" s="25"/>
      <c r="AB50" s="25"/>
      <c r="AC50" s="25"/>
    </row>
    <row r="51" spans="1:29" s="37" customFormat="1" ht="11.25" customHeight="1">
      <c r="A51" s="80"/>
      <c r="B51" s="256">
        <v>45737</v>
      </c>
      <c r="C51" s="144" t="s">
        <v>161</v>
      </c>
      <c r="D51" s="149"/>
      <c r="E51" s="145">
        <v>26</v>
      </c>
      <c r="F51" s="253" t="s">
        <v>25</v>
      </c>
      <c r="G51" s="82"/>
      <c r="H51" s="187"/>
      <c r="I51" s="180"/>
      <c r="J51" s="187"/>
      <c r="K51" s="146">
        <v>12</v>
      </c>
      <c r="L51" s="79" t="e">
        <f>#REF!</f>
        <v>#REF!</v>
      </c>
      <c r="M51" s="293" t="e">
        <f t="shared" si="8"/>
        <v>#REF!</v>
      </c>
      <c r="N51" s="153">
        <f t="shared" si="4"/>
        <v>376238.94000000053</v>
      </c>
      <c r="O51" s="153" t="e">
        <f t="shared" si="5"/>
        <v>#REF!</v>
      </c>
      <c r="P51" s="140" t="s">
        <v>120</v>
      </c>
      <c r="Q51" s="92"/>
      <c r="R51" s="140" t="s">
        <v>147</v>
      </c>
      <c r="S51" s="129" t="e">
        <f t="shared" si="7"/>
        <v>#REF!</v>
      </c>
      <c r="T51" s="25"/>
      <c r="U51" s="83"/>
      <c r="V51" s="25"/>
      <c r="W51" s="25"/>
      <c r="X51" s="25"/>
      <c r="Y51" s="25"/>
      <c r="Z51" s="25"/>
      <c r="AA51" s="25"/>
      <c r="AB51" s="25"/>
      <c r="AC51" s="25"/>
    </row>
    <row r="52" spans="1:29" s="37" customFormat="1" ht="11.25" customHeight="1">
      <c r="A52" s="80"/>
      <c r="B52" s="256">
        <v>45737</v>
      </c>
      <c r="C52" s="144" t="s">
        <v>159</v>
      </c>
      <c r="D52" s="149"/>
      <c r="E52" s="145">
        <v>27</v>
      </c>
      <c r="F52" s="253" t="s">
        <v>32</v>
      </c>
      <c r="G52" s="82" t="s">
        <v>33</v>
      </c>
      <c r="H52" s="187"/>
      <c r="I52" s="180"/>
      <c r="J52" s="187"/>
      <c r="K52" s="146">
        <v>255</v>
      </c>
      <c r="L52" s="79" t="e">
        <f>#REF!</f>
        <v>#REF!</v>
      </c>
      <c r="M52" s="293" t="e">
        <f t="shared" si="8"/>
        <v>#REF!</v>
      </c>
      <c r="N52" s="153">
        <f t="shared" ref="N52:N83" si="9">N51+H52-K52</f>
        <v>375983.94000000053</v>
      </c>
      <c r="O52" s="153" t="e">
        <f t="shared" ref="O52:O83" si="10">O51+J52-M52</f>
        <v>#REF!</v>
      </c>
      <c r="P52" s="140" t="s">
        <v>120</v>
      </c>
      <c r="Q52" s="92"/>
      <c r="R52" s="140" t="s">
        <v>147</v>
      </c>
      <c r="S52" s="129" t="e">
        <f t="shared" si="7"/>
        <v>#REF!</v>
      </c>
      <c r="T52" s="25"/>
      <c r="U52" s="83"/>
      <c r="V52" s="25"/>
      <c r="W52" s="25"/>
      <c r="X52" s="25"/>
      <c r="Y52" s="25"/>
      <c r="Z52" s="25"/>
      <c r="AA52" s="25"/>
      <c r="AB52" s="25"/>
      <c r="AC52" s="25"/>
    </row>
    <row r="53" spans="1:29" s="37" customFormat="1" ht="11.25" customHeight="1">
      <c r="A53" s="80"/>
      <c r="B53" s="256">
        <v>45737</v>
      </c>
      <c r="C53" s="144" t="s">
        <v>165</v>
      </c>
      <c r="D53" s="149"/>
      <c r="E53" s="145">
        <v>28</v>
      </c>
      <c r="F53" s="253" t="s">
        <v>25</v>
      </c>
      <c r="G53" s="82"/>
      <c r="H53" s="187"/>
      <c r="I53" s="180"/>
      <c r="J53" s="187"/>
      <c r="K53" s="146">
        <v>912.7</v>
      </c>
      <c r="L53" s="79" t="e">
        <f>#REF!</f>
        <v>#REF!</v>
      </c>
      <c r="M53" s="293" t="e">
        <f t="shared" si="8"/>
        <v>#REF!</v>
      </c>
      <c r="N53" s="153">
        <f t="shared" si="9"/>
        <v>375071.24000000051</v>
      </c>
      <c r="O53" s="153" t="e">
        <f t="shared" si="10"/>
        <v>#REF!</v>
      </c>
      <c r="P53" s="140" t="s">
        <v>120</v>
      </c>
      <c r="Q53" s="92"/>
      <c r="R53" s="140" t="s">
        <v>147</v>
      </c>
      <c r="S53" s="129" t="e">
        <f t="shared" si="7"/>
        <v>#REF!</v>
      </c>
      <c r="T53" s="25"/>
      <c r="U53" s="83"/>
      <c r="V53" s="25"/>
      <c r="W53" s="25"/>
      <c r="X53" s="25"/>
      <c r="Y53" s="25"/>
      <c r="Z53" s="25"/>
      <c r="AA53" s="25"/>
      <c r="AB53" s="25"/>
      <c r="AC53" s="25"/>
    </row>
    <row r="54" spans="1:29" s="37" customFormat="1" ht="11.25" customHeight="1">
      <c r="A54" s="80"/>
      <c r="B54" s="256">
        <v>45737</v>
      </c>
      <c r="C54" s="144" t="s">
        <v>2</v>
      </c>
      <c r="D54" s="149"/>
      <c r="E54" s="145">
        <v>29</v>
      </c>
      <c r="F54" s="253" t="s">
        <v>28</v>
      </c>
      <c r="G54" s="82" t="s">
        <v>31</v>
      </c>
      <c r="H54" s="187"/>
      <c r="I54" s="180"/>
      <c r="J54" s="187"/>
      <c r="K54" s="146">
        <v>6325.68</v>
      </c>
      <c r="L54" s="79" t="e">
        <f>#REF!</f>
        <v>#REF!</v>
      </c>
      <c r="M54" s="293" t="e">
        <f t="shared" si="8"/>
        <v>#REF!</v>
      </c>
      <c r="N54" s="153">
        <f t="shared" si="9"/>
        <v>368745.56000000052</v>
      </c>
      <c r="O54" s="153" t="e">
        <f t="shared" si="10"/>
        <v>#REF!</v>
      </c>
      <c r="P54" s="140" t="s">
        <v>120</v>
      </c>
      <c r="Q54" s="92"/>
      <c r="R54" s="140" t="s">
        <v>147</v>
      </c>
      <c r="S54" s="129" t="e">
        <f t="shared" si="7"/>
        <v>#REF!</v>
      </c>
      <c r="T54" s="25"/>
      <c r="U54" s="83"/>
      <c r="V54" s="25"/>
      <c r="W54" s="25"/>
      <c r="X54" s="25"/>
      <c r="Y54" s="25"/>
      <c r="Z54" s="25"/>
      <c r="AA54" s="25"/>
      <c r="AB54" s="25"/>
      <c r="AC54" s="25"/>
    </row>
    <row r="55" spans="1:29" s="37" customFormat="1" ht="11.25" customHeight="1">
      <c r="A55" s="80"/>
      <c r="B55" s="256">
        <v>45737</v>
      </c>
      <c r="C55" s="144" t="s">
        <v>41</v>
      </c>
      <c r="D55" s="149"/>
      <c r="E55" s="145">
        <v>30</v>
      </c>
      <c r="F55" s="253" t="s">
        <v>25</v>
      </c>
      <c r="G55" s="82"/>
      <c r="H55" s="187"/>
      <c r="I55" s="180"/>
      <c r="J55" s="187"/>
      <c r="K55" s="146">
        <v>3.6</v>
      </c>
      <c r="L55" s="79" t="e">
        <f>#REF!</f>
        <v>#REF!</v>
      </c>
      <c r="M55" s="293" t="e">
        <f t="shared" si="8"/>
        <v>#REF!</v>
      </c>
      <c r="N55" s="153">
        <f t="shared" si="9"/>
        <v>368741.96000000054</v>
      </c>
      <c r="O55" s="153" t="e">
        <f t="shared" si="10"/>
        <v>#REF!</v>
      </c>
      <c r="P55" s="140" t="s">
        <v>120</v>
      </c>
      <c r="Q55" s="92"/>
      <c r="R55" s="140" t="s">
        <v>147</v>
      </c>
      <c r="S55" s="129" t="e">
        <f t="shared" si="7"/>
        <v>#REF!</v>
      </c>
      <c r="T55" s="25"/>
      <c r="U55" s="83"/>
      <c r="V55" s="25"/>
      <c r="W55" s="25"/>
      <c r="X55" s="25"/>
      <c r="Y55" s="25"/>
      <c r="Z55" s="25"/>
      <c r="AA55" s="25"/>
      <c r="AB55" s="25"/>
      <c r="AC55" s="25"/>
    </row>
    <row r="56" spans="1:29" s="37" customFormat="1" ht="11.25" customHeight="1">
      <c r="A56" s="80"/>
      <c r="B56" s="256">
        <v>45737</v>
      </c>
      <c r="C56" s="144" t="s">
        <v>159</v>
      </c>
      <c r="D56" s="149"/>
      <c r="E56" s="145">
        <v>31</v>
      </c>
      <c r="F56" s="253" t="s">
        <v>32</v>
      </c>
      <c r="G56" s="82" t="s">
        <v>33</v>
      </c>
      <c r="H56" s="187"/>
      <c r="I56" s="180"/>
      <c r="J56" s="187"/>
      <c r="K56" s="146">
        <v>6381.8</v>
      </c>
      <c r="L56" s="79" t="e">
        <f>#REF!</f>
        <v>#REF!</v>
      </c>
      <c r="M56" s="293" t="e">
        <f t="shared" si="8"/>
        <v>#REF!</v>
      </c>
      <c r="N56" s="153">
        <f t="shared" si="9"/>
        <v>362360.16000000056</v>
      </c>
      <c r="O56" s="153" t="e">
        <f t="shared" si="10"/>
        <v>#REF!</v>
      </c>
      <c r="P56" s="140" t="s">
        <v>120</v>
      </c>
      <c r="Q56" s="92"/>
      <c r="R56" s="140" t="s">
        <v>37</v>
      </c>
      <c r="S56" s="129" t="e">
        <f t="shared" si="7"/>
        <v>#REF!</v>
      </c>
      <c r="T56" s="25"/>
      <c r="U56" s="83"/>
      <c r="V56" s="25"/>
      <c r="W56" s="25"/>
      <c r="X56" s="25"/>
      <c r="Y56" s="25"/>
      <c r="Z56" s="25"/>
      <c r="AA56" s="25"/>
      <c r="AB56" s="25"/>
      <c r="AC56" s="25"/>
    </row>
    <row r="57" spans="1:29" s="37" customFormat="1" ht="11.25" customHeight="1">
      <c r="A57" s="80"/>
      <c r="B57" s="256">
        <v>45737</v>
      </c>
      <c r="C57" s="144" t="s">
        <v>2</v>
      </c>
      <c r="D57" s="149"/>
      <c r="E57" s="145">
        <v>32</v>
      </c>
      <c r="F57" s="253" t="s">
        <v>28</v>
      </c>
      <c r="G57" s="82" t="s">
        <v>31</v>
      </c>
      <c r="H57" s="187"/>
      <c r="I57" s="180"/>
      <c r="J57" s="187"/>
      <c r="K57" s="146">
        <v>8423</v>
      </c>
      <c r="L57" s="79" t="e">
        <f>#REF!</f>
        <v>#REF!</v>
      </c>
      <c r="M57" s="293">
        <v>1154.7</v>
      </c>
      <c r="N57" s="153">
        <f t="shared" si="9"/>
        <v>353937.16000000056</v>
      </c>
      <c r="O57" s="153" t="e">
        <f t="shared" si="10"/>
        <v>#REF!</v>
      </c>
      <c r="P57" s="140" t="s">
        <v>120</v>
      </c>
      <c r="Q57" s="92"/>
      <c r="R57" s="140" t="s">
        <v>37</v>
      </c>
      <c r="S57" s="129" t="e">
        <f t="shared" si="7"/>
        <v>#REF!</v>
      </c>
      <c r="T57" s="25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s="37" customFormat="1" ht="11.25" customHeight="1">
      <c r="A58" s="80"/>
      <c r="B58" s="256">
        <v>45737</v>
      </c>
      <c r="C58" s="144" t="s">
        <v>8</v>
      </c>
      <c r="D58" s="149"/>
      <c r="E58" s="145">
        <v>33</v>
      </c>
      <c r="F58" s="253" t="s">
        <v>27</v>
      </c>
      <c r="G58" s="82" t="s">
        <v>30</v>
      </c>
      <c r="H58" s="187"/>
      <c r="I58" s="180"/>
      <c r="J58" s="187"/>
      <c r="K58" s="146">
        <v>300</v>
      </c>
      <c r="L58" s="79" t="e">
        <f>#REF!</f>
        <v>#REF!</v>
      </c>
      <c r="M58" s="293">
        <v>41.125999999999998</v>
      </c>
      <c r="N58" s="153">
        <f t="shared" si="9"/>
        <v>353637.16000000056</v>
      </c>
      <c r="O58" s="153" t="e">
        <f t="shared" si="10"/>
        <v>#REF!</v>
      </c>
      <c r="P58" s="140" t="s">
        <v>120</v>
      </c>
      <c r="Q58" s="92"/>
      <c r="R58" s="140" t="s">
        <v>37</v>
      </c>
      <c r="S58" s="129" t="e">
        <f t="shared" si="7"/>
        <v>#REF!</v>
      </c>
      <c r="T58" s="25"/>
      <c r="U58" s="83"/>
      <c r="V58" s="25"/>
      <c r="W58" s="25"/>
      <c r="X58" s="25"/>
      <c r="Y58" s="25"/>
      <c r="Z58" s="25"/>
      <c r="AA58" s="25"/>
      <c r="AB58" s="25"/>
      <c r="AC58" s="25"/>
    </row>
    <row r="59" spans="1:29" s="37" customFormat="1" ht="11.25" customHeight="1">
      <c r="A59" s="80"/>
      <c r="B59" s="256">
        <v>45737</v>
      </c>
      <c r="C59" s="144" t="s">
        <v>180</v>
      </c>
      <c r="D59" s="149"/>
      <c r="E59" s="145">
        <v>34</v>
      </c>
      <c r="F59" s="253" t="s">
        <v>25</v>
      </c>
      <c r="G59" s="82"/>
      <c r="H59" s="187"/>
      <c r="I59" s="180"/>
      <c r="J59" s="187"/>
      <c r="K59" s="146" t="e">
        <f>L59*M59</f>
        <v>#REF!</v>
      </c>
      <c r="L59" s="79" t="e">
        <f>#REF!</f>
        <v>#REF!</v>
      </c>
      <c r="M59" s="293">
        <v>1035.8240610959388</v>
      </c>
      <c r="N59" s="153" t="e">
        <f t="shared" si="9"/>
        <v>#REF!</v>
      </c>
      <c r="O59" s="153" t="e">
        <f t="shared" si="10"/>
        <v>#REF!</v>
      </c>
      <c r="P59" s="140" t="s">
        <v>120</v>
      </c>
      <c r="Q59" s="92"/>
      <c r="R59" s="140" t="s">
        <v>37</v>
      </c>
      <c r="S59" s="129" t="e">
        <f t="shared" si="7"/>
        <v>#REF!</v>
      </c>
      <c r="T59" s="25"/>
      <c r="U59" s="83"/>
      <c r="V59" s="25"/>
      <c r="W59" s="25"/>
      <c r="X59" s="25"/>
      <c r="Y59" s="25"/>
      <c r="Z59" s="25"/>
      <c r="AA59" s="25"/>
      <c r="AB59" s="25"/>
      <c r="AC59" s="25"/>
    </row>
    <row r="60" spans="1:29" s="37" customFormat="1" ht="11.25" customHeight="1">
      <c r="A60" s="80"/>
      <c r="B60" s="256">
        <v>45737</v>
      </c>
      <c r="C60" s="144" t="s">
        <v>180</v>
      </c>
      <c r="D60" s="149"/>
      <c r="E60" s="145">
        <v>34</v>
      </c>
      <c r="F60" s="253" t="s">
        <v>25</v>
      </c>
      <c r="G60" s="82"/>
      <c r="H60" s="187"/>
      <c r="I60" s="180"/>
      <c r="J60" s="187"/>
      <c r="K60" s="146" t="e">
        <f>65100-K59</f>
        <v>#REF!</v>
      </c>
      <c r="L60" s="79" t="e">
        <f>#REF!</f>
        <v>#REF!</v>
      </c>
      <c r="M60" s="294" t="e">
        <f t="shared" ref="M60:M94" si="11">K60/L60</f>
        <v>#REF!</v>
      </c>
      <c r="N60" s="153" t="e">
        <f t="shared" si="9"/>
        <v>#REF!</v>
      </c>
      <c r="O60" s="153" t="e">
        <f t="shared" si="10"/>
        <v>#REF!</v>
      </c>
      <c r="P60" s="140" t="s">
        <v>126</v>
      </c>
      <c r="Q60" s="92"/>
      <c r="R60" s="140" t="s">
        <v>37</v>
      </c>
      <c r="S60" s="129" t="e">
        <f>47952-M60</f>
        <v>#REF!</v>
      </c>
      <c r="T60" s="25"/>
      <c r="U60" s="83"/>
      <c r="V60" s="25"/>
      <c r="W60" s="25"/>
      <c r="X60" s="25"/>
      <c r="Y60" s="25"/>
      <c r="Z60" s="25"/>
      <c r="AA60" s="25"/>
      <c r="AB60" s="25"/>
      <c r="AC60" s="25"/>
    </row>
    <row r="61" spans="1:29" s="37" customFormat="1" ht="11.25" customHeight="1">
      <c r="A61" s="80"/>
      <c r="B61" s="256">
        <v>45737</v>
      </c>
      <c r="C61" s="144" t="s">
        <v>41</v>
      </c>
      <c r="D61" s="149"/>
      <c r="E61" s="145">
        <v>35</v>
      </c>
      <c r="F61" s="253" t="s">
        <v>25</v>
      </c>
      <c r="G61" s="82"/>
      <c r="H61" s="187"/>
      <c r="I61" s="180"/>
      <c r="J61" s="187"/>
      <c r="K61" s="146">
        <v>14.4</v>
      </c>
      <c r="L61" s="79" t="e">
        <f>#REF!</f>
        <v>#REF!</v>
      </c>
      <c r="M61" s="294" t="e">
        <f t="shared" si="11"/>
        <v>#REF!</v>
      </c>
      <c r="N61" s="153" t="e">
        <f t="shared" si="9"/>
        <v>#REF!</v>
      </c>
      <c r="O61" s="153" t="e">
        <f t="shared" si="10"/>
        <v>#REF!</v>
      </c>
      <c r="P61" s="140" t="s">
        <v>126</v>
      </c>
      <c r="Q61" s="92"/>
      <c r="R61" s="140" t="s">
        <v>37</v>
      </c>
      <c r="S61" s="129" t="e">
        <f>S60-M61</f>
        <v>#REF!</v>
      </c>
      <c r="T61" s="25"/>
      <c r="U61" s="83"/>
      <c r="V61" s="25"/>
      <c r="W61" s="25"/>
      <c r="X61" s="25"/>
      <c r="Y61" s="25"/>
      <c r="Z61" s="25"/>
      <c r="AA61" s="25"/>
      <c r="AB61" s="25"/>
      <c r="AC61" s="25"/>
    </row>
    <row r="62" spans="1:29" s="37" customFormat="1" ht="11.25" customHeight="1">
      <c r="A62" s="80"/>
      <c r="B62" s="256">
        <v>45737</v>
      </c>
      <c r="C62" s="144" t="s">
        <v>161</v>
      </c>
      <c r="D62" s="149"/>
      <c r="E62" s="145">
        <v>36</v>
      </c>
      <c r="F62" s="253" t="s">
        <v>25</v>
      </c>
      <c r="G62" s="82"/>
      <c r="H62" s="187"/>
      <c r="I62" s="180"/>
      <c r="J62" s="187"/>
      <c r="K62" s="146">
        <v>413.9</v>
      </c>
      <c r="L62" s="79" t="e">
        <f>#REF!</f>
        <v>#REF!</v>
      </c>
      <c r="M62" s="294" t="e">
        <f t="shared" si="11"/>
        <v>#REF!</v>
      </c>
      <c r="N62" s="153" t="e">
        <f t="shared" si="9"/>
        <v>#REF!</v>
      </c>
      <c r="O62" s="153" t="e">
        <f t="shared" si="10"/>
        <v>#REF!</v>
      </c>
      <c r="P62" s="140" t="s">
        <v>126</v>
      </c>
      <c r="Q62" s="92"/>
      <c r="R62" s="140" t="s">
        <v>150</v>
      </c>
      <c r="S62" s="129" t="e">
        <f t="shared" ref="S62:S104" si="12">S61-M62</f>
        <v>#REF!</v>
      </c>
      <c r="T62" s="25"/>
      <c r="U62" s="83"/>
      <c r="V62" s="25"/>
      <c r="W62" s="25"/>
      <c r="X62" s="25"/>
      <c r="Y62" s="25"/>
      <c r="Z62" s="25"/>
      <c r="AA62" s="25"/>
      <c r="AB62" s="25"/>
      <c r="AC62" s="25"/>
    </row>
    <row r="63" spans="1:29" s="37" customFormat="1" ht="11.25" customHeight="1">
      <c r="A63" s="80"/>
      <c r="B63" s="256">
        <v>45737</v>
      </c>
      <c r="C63" s="144" t="s">
        <v>165</v>
      </c>
      <c r="D63" s="149"/>
      <c r="E63" s="145">
        <v>37</v>
      </c>
      <c r="F63" s="253" t="s">
        <v>25</v>
      </c>
      <c r="G63" s="82"/>
      <c r="H63" s="187"/>
      <c r="I63" s="180"/>
      <c r="J63" s="187"/>
      <c r="K63" s="146">
        <v>13.8</v>
      </c>
      <c r="L63" s="79" t="e">
        <f>#REF!</f>
        <v>#REF!</v>
      </c>
      <c r="M63" s="294" t="e">
        <f t="shared" si="11"/>
        <v>#REF!</v>
      </c>
      <c r="N63" s="153" t="e">
        <f t="shared" si="9"/>
        <v>#REF!</v>
      </c>
      <c r="O63" s="153" t="e">
        <f t="shared" si="10"/>
        <v>#REF!</v>
      </c>
      <c r="P63" s="140" t="s">
        <v>126</v>
      </c>
      <c r="Q63" s="92"/>
      <c r="R63" s="140" t="s">
        <v>150</v>
      </c>
      <c r="S63" s="129" t="e">
        <f t="shared" si="12"/>
        <v>#REF!</v>
      </c>
      <c r="T63" s="25"/>
      <c r="U63" s="83"/>
      <c r="V63" s="25"/>
      <c r="W63" s="25"/>
      <c r="X63" s="25"/>
      <c r="Y63" s="25"/>
      <c r="Z63" s="25"/>
      <c r="AA63" s="25"/>
      <c r="AB63" s="25"/>
      <c r="AC63" s="25"/>
    </row>
    <row r="64" spans="1:29" s="37" customFormat="1" ht="11.25" customHeight="1">
      <c r="A64" s="80"/>
      <c r="B64" s="256">
        <v>45737</v>
      </c>
      <c r="C64" s="144" t="s">
        <v>53</v>
      </c>
      <c r="D64" s="149"/>
      <c r="E64" s="145">
        <v>38</v>
      </c>
      <c r="F64" s="253" t="s">
        <v>25</v>
      </c>
      <c r="G64" s="82"/>
      <c r="H64" s="187"/>
      <c r="I64" s="180"/>
      <c r="J64" s="187"/>
      <c r="K64" s="258">
        <v>359</v>
      </c>
      <c r="L64" s="79" t="e">
        <f>#REF!</f>
        <v>#REF!</v>
      </c>
      <c r="M64" s="294" t="e">
        <f t="shared" si="11"/>
        <v>#REF!</v>
      </c>
      <c r="N64" s="153" t="e">
        <f t="shared" si="9"/>
        <v>#REF!</v>
      </c>
      <c r="O64" s="153" t="e">
        <f t="shared" si="10"/>
        <v>#REF!</v>
      </c>
      <c r="P64" s="140" t="s">
        <v>126</v>
      </c>
      <c r="Q64" s="92"/>
      <c r="R64" s="140" t="s">
        <v>150</v>
      </c>
      <c r="S64" s="129" t="e">
        <f t="shared" si="12"/>
        <v>#REF!</v>
      </c>
      <c r="T64" s="25"/>
      <c r="U64" s="83"/>
      <c r="V64" s="25"/>
      <c r="W64" s="25"/>
      <c r="X64" s="25"/>
      <c r="Y64" s="25"/>
      <c r="Z64" s="25"/>
      <c r="AA64" s="25"/>
      <c r="AB64" s="25"/>
      <c r="AC64" s="25"/>
    </row>
    <row r="65" spans="1:29" s="37" customFormat="1" ht="11.25" customHeight="1">
      <c r="A65" s="80"/>
      <c r="B65" s="256">
        <v>45737</v>
      </c>
      <c r="C65" s="144" t="s">
        <v>8</v>
      </c>
      <c r="D65" s="149"/>
      <c r="E65" s="145">
        <v>39</v>
      </c>
      <c r="F65" s="253" t="s">
        <v>27</v>
      </c>
      <c r="G65" s="82" t="s">
        <v>30</v>
      </c>
      <c r="H65" s="187"/>
      <c r="I65" s="180"/>
      <c r="J65" s="187"/>
      <c r="K65" s="146">
        <v>169</v>
      </c>
      <c r="L65" s="79" t="e">
        <f>#REF!</f>
        <v>#REF!</v>
      </c>
      <c r="M65" s="294" t="e">
        <f t="shared" si="11"/>
        <v>#REF!</v>
      </c>
      <c r="N65" s="153" t="e">
        <f t="shared" si="9"/>
        <v>#REF!</v>
      </c>
      <c r="O65" s="153" t="e">
        <f t="shared" si="10"/>
        <v>#REF!</v>
      </c>
      <c r="P65" s="140" t="s">
        <v>126</v>
      </c>
      <c r="Q65" s="92"/>
      <c r="R65" s="140" t="s">
        <v>150</v>
      </c>
      <c r="S65" s="129" t="e">
        <f t="shared" si="12"/>
        <v>#REF!</v>
      </c>
      <c r="T65" s="25"/>
      <c r="U65" s="83"/>
      <c r="V65" s="25"/>
      <c r="W65" s="25"/>
      <c r="X65" s="25"/>
      <c r="Y65" s="25"/>
      <c r="Z65" s="25"/>
      <c r="AA65" s="25"/>
      <c r="AB65" s="25"/>
      <c r="AC65" s="25"/>
    </row>
    <row r="66" spans="1:29" s="37" customFormat="1" ht="11.25" customHeight="1">
      <c r="A66" s="80"/>
      <c r="B66" s="256">
        <v>45737</v>
      </c>
      <c r="C66" s="144" t="s">
        <v>160</v>
      </c>
      <c r="D66" s="149"/>
      <c r="E66" s="145">
        <v>40</v>
      </c>
      <c r="F66" s="253" t="s">
        <v>32</v>
      </c>
      <c r="G66" s="82" t="s">
        <v>33</v>
      </c>
      <c r="H66" s="187"/>
      <c r="I66" s="180"/>
      <c r="J66" s="187"/>
      <c r="K66" s="146">
        <v>432.12</v>
      </c>
      <c r="L66" s="79" t="e">
        <f>#REF!</f>
        <v>#REF!</v>
      </c>
      <c r="M66" s="294" t="e">
        <f t="shared" si="11"/>
        <v>#REF!</v>
      </c>
      <c r="N66" s="153" t="e">
        <f t="shared" si="9"/>
        <v>#REF!</v>
      </c>
      <c r="O66" s="153" t="e">
        <f t="shared" si="10"/>
        <v>#REF!</v>
      </c>
      <c r="P66" s="140" t="s">
        <v>126</v>
      </c>
      <c r="Q66" s="92"/>
      <c r="R66" s="140" t="s">
        <v>150</v>
      </c>
      <c r="S66" s="129" t="e">
        <f t="shared" si="12"/>
        <v>#REF!</v>
      </c>
      <c r="T66" s="25"/>
      <c r="U66" s="83"/>
      <c r="V66" s="25"/>
      <c r="W66" s="25"/>
      <c r="X66" s="25"/>
      <c r="Y66" s="25"/>
      <c r="Z66" s="25"/>
      <c r="AA66" s="25"/>
      <c r="AB66" s="25"/>
      <c r="AC66" s="25"/>
    </row>
    <row r="67" spans="1:29" s="37" customFormat="1" ht="11.25" customHeight="1">
      <c r="A67" s="80"/>
      <c r="B67" s="256">
        <v>45737</v>
      </c>
      <c r="C67" s="144" t="s">
        <v>159</v>
      </c>
      <c r="D67" s="149"/>
      <c r="E67" s="145">
        <v>41</v>
      </c>
      <c r="F67" s="253" t="s">
        <v>32</v>
      </c>
      <c r="G67" s="82" t="s">
        <v>33</v>
      </c>
      <c r="H67" s="187"/>
      <c r="I67" s="180"/>
      <c r="J67" s="187"/>
      <c r="K67" s="146">
        <v>10460.81</v>
      </c>
      <c r="L67" s="79" t="e">
        <f>#REF!</f>
        <v>#REF!</v>
      </c>
      <c r="M67" s="294" t="e">
        <f t="shared" si="11"/>
        <v>#REF!</v>
      </c>
      <c r="N67" s="153" t="e">
        <f t="shared" si="9"/>
        <v>#REF!</v>
      </c>
      <c r="O67" s="153" t="e">
        <f t="shared" si="10"/>
        <v>#REF!</v>
      </c>
      <c r="P67" s="140" t="s">
        <v>126</v>
      </c>
      <c r="Q67" s="92"/>
      <c r="R67" s="140" t="s">
        <v>150</v>
      </c>
      <c r="S67" s="129" t="e">
        <f t="shared" si="12"/>
        <v>#REF!</v>
      </c>
      <c r="T67" s="25"/>
      <c r="U67" s="83"/>
      <c r="V67" s="25"/>
      <c r="W67" s="25"/>
      <c r="X67" s="25"/>
      <c r="Y67" s="25"/>
      <c r="Z67" s="25"/>
      <c r="AA67" s="25"/>
      <c r="AB67" s="25"/>
      <c r="AC67" s="25"/>
    </row>
    <row r="68" spans="1:29" s="37" customFormat="1" ht="11.25" customHeight="1">
      <c r="A68" s="80"/>
      <c r="B68" s="256">
        <v>45737</v>
      </c>
      <c r="C68" s="144" t="s">
        <v>41</v>
      </c>
      <c r="D68" s="149"/>
      <c r="E68" s="145">
        <v>42</v>
      </c>
      <c r="F68" s="253" t="s">
        <v>25</v>
      </c>
      <c r="G68" s="82"/>
      <c r="H68" s="187"/>
      <c r="I68" s="180"/>
      <c r="J68" s="187"/>
      <c r="K68" s="146">
        <v>7.2</v>
      </c>
      <c r="L68" s="79" t="e">
        <f>#REF!</f>
        <v>#REF!</v>
      </c>
      <c r="M68" s="294" t="e">
        <f t="shared" si="11"/>
        <v>#REF!</v>
      </c>
      <c r="N68" s="153" t="e">
        <f t="shared" si="9"/>
        <v>#REF!</v>
      </c>
      <c r="O68" s="153" t="e">
        <f t="shared" si="10"/>
        <v>#REF!</v>
      </c>
      <c r="P68" s="140" t="s">
        <v>126</v>
      </c>
      <c r="Q68" s="92"/>
      <c r="R68" s="140" t="s">
        <v>150</v>
      </c>
      <c r="S68" s="129" t="e">
        <f t="shared" si="12"/>
        <v>#REF!</v>
      </c>
      <c r="T68" s="25"/>
      <c r="U68" s="83"/>
      <c r="V68" s="25"/>
      <c r="W68" s="25"/>
      <c r="X68" s="25"/>
      <c r="Y68" s="25"/>
      <c r="Z68" s="25"/>
      <c r="AA68" s="25"/>
      <c r="AB68" s="25"/>
      <c r="AC68" s="25"/>
    </row>
    <row r="69" spans="1:29" ht="11.25" customHeight="1">
      <c r="B69" s="256">
        <v>45737</v>
      </c>
      <c r="C69" s="144" t="s">
        <v>162</v>
      </c>
      <c r="D69" s="149"/>
      <c r="E69" s="145">
        <v>43</v>
      </c>
      <c r="F69" s="253" t="s">
        <v>32</v>
      </c>
      <c r="G69" s="82" t="s">
        <v>33</v>
      </c>
      <c r="H69" s="187"/>
      <c r="I69" s="180"/>
      <c r="J69" s="187"/>
      <c r="K69" s="146">
        <v>2800</v>
      </c>
      <c r="L69" s="79" t="e">
        <f>#REF!</f>
        <v>#REF!</v>
      </c>
      <c r="M69" s="294" t="e">
        <f t="shared" si="11"/>
        <v>#REF!</v>
      </c>
      <c r="N69" s="153" t="e">
        <f t="shared" si="9"/>
        <v>#REF!</v>
      </c>
      <c r="O69" s="153" t="e">
        <f t="shared" si="10"/>
        <v>#REF!</v>
      </c>
      <c r="P69" s="140" t="s">
        <v>126</v>
      </c>
      <c r="Q69" s="92"/>
      <c r="R69" s="140" t="s">
        <v>148</v>
      </c>
      <c r="S69" s="129" t="e">
        <f t="shared" si="12"/>
        <v>#REF!</v>
      </c>
    </row>
    <row r="70" spans="1:29" ht="11.25" customHeight="1">
      <c r="B70" s="256">
        <v>45737</v>
      </c>
      <c r="C70" s="144" t="s">
        <v>163</v>
      </c>
      <c r="D70" s="149"/>
      <c r="E70" s="145">
        <v>44</v>
      </c>
      <c r="F70" s="253" t="s">
        <v>32</v>
      </c>
      <c r="G70" s="82" t="s">
        <v>33</v>
      </c>
      <c r="H70" s="187"/>
      <c r="I70" s="180"/>
      <c r="J70" s="187"/>
      <c r="K70" s="146">
        <v>191</v>
      </c>
      <c r="L70" s="79" t="e">
        <f>#REF!</f>
        <v>#REF!</v>
      </c>
      <c r="M70" s="294" t="e">
        <f t="shared" si="11"/>
        <v>#REF!</v>
      </c>
      <c r="N70" s="153" t="e">
        <f t="shared" si="9"/>
        <v>#REF!</v>
      </c>
      <c r="O70" s="153" t="e">
        <f t="shared" si="10"/>
        <v>#REF!</v>
      </c>
      <c r="P70" s="140" t="s">
        <v>126</v>
      </c>
      <c r="Q70" s="92"/>
      <c r="R70" s="140" t="s">
        <v>148</v>
      </c>
      <c r="S70" s="129" t="e">
        <f t="shared" si="12"/>
        <v>#REF!</v>
      </c>
    </row>
    <row r="71" spans="1:29" ht="11.25" customHeight="1">
      <c r="B71" s="256">
        <v>45737</v>
      </c>
      <c r="C71" s="144" t="s">
        <v>181</v>
      </c>
      <c r="D71" s="149"/>
      <c r="E71" s="145">
        <v>45</v>
      </c>
      <c r="F71" s="253" t="s">
        <v>32</v>
      </c>
      <c r="G71" s="82" t="s">
        <v>33</v>
      </c>
      <c r="H71" s="187"/>
      <c r="I71" s="180"/>
      <c r="J71" s="187"/>
      <c r="K71" s="146">
        <v>98</v>
      </c>
      <c r="L71" s="79" t="e">
        <f>#REF!</f>
        <v>#REF!</v>
      </c>
      <c r="M71" s="294" t="e">
        <f t="shared" si="11"/>
        <v>#REF!</v>
      </c>
      <c r="N71" s="153" t="e">
        <f t="shared" si="9"/>
        <v>#REF!</v>
      </c>
      <c r="O71" s="153" t="e">
        <f t="shared" si="10"/>
        <v>#REF!</v>
      </c>
      <c r="P71" s="140" t="s">
        <v>126</v>
      </c>
      <c r="Q71" s="92"/>
      <c r="R71" s="140" t="s">
        <v>148</v>
      </c>
      <c r="S71" s="129" t="e">
        <f t="shared" si="12"/>
        <v>#REF!</v>
      </c>
    </row>
    <row r="72" spans="1:29" ht="11.25" customHeight="1">
      <c r="B72" s="256">
        <v>45737</v>
      </c>
      <c r="C72" s="144" t="s">
        <v>164</v>
      </c>
      <c r="D72" s="149"/>
      <c r="E72" s="145">
        <v>46</v>
      </c>
      <c r="F72" s="253" t="s">
        <v>32</v>
      </c>
      <c r="G72" s="82" t="s">
        <v>33</v>
      </c>
      <c r="H72" s="187"/>
      <c r="I72" s="180"/>
      <c r="J72" s="187"/>
      <c r="K72" s="146">
        <v>800</v>
      </c>
      <c r="L72" s="79" t="e">
        <f>#REF!</f>
        <v>#REF!</v>
      </c>
      <c r="M72" s="294" t="e">
        <f t="shared" si="11"/>
        <v>#REF!</v>
      </c>
      <c r="N72" s="153" t="e">
        <f t="shared" si="9"/>
        <v>#REF!</v>
      </c>
      <c r="O72" s="153" t="e">
        <f t="shared" si="10"/>
        <v>#REF!</v>
      </c>
      <c r="P72" s="140" t="s">
        <v>126</v>
      </c>
      <c r="Q72" s="92"/>
      <c r="R72" s="140" t="s">
        <v>148</v>
      </c>
      <c r="S72" s="129" t="e">
        <f t="shared" si="12"/>
        <v>#REF!</v>
      </c>
    </row>
    <row r="73" spans="1:29" ht="11.25" customHeight="1">
      <c r="B73" s="256">
        <v>45737</v>
      </c>
      <c r="C73" s="144" t="s">
        <v>41</v>
      </c>
      <c r="D73" s="149"/>
      <c r="E73" s="145">
        <v>47</v>
      </c>
      <c r="F73" s="253" t="s">
        <v>25</v>
      </c>
      <c r="G73" s="82"/>
      <c r="H73" s="187"/>
      <c r="I73" s="180"/>
      <c r="J73" s="187"/>
      <c r="K73" s="146">
        <v>3.6</v>
      </c>
      <c r="L73" s="79" t="e">
        <f>#REF!</f>
        <v>#REF!</v>
      </c>
      <c r="M73" s="294" t="e">
        <f t="shared" si="11"/>
        <v>#REF!</v>
      </c>
      <c r="N73" s="153" t="e">
        <f t="shared" si="9"/>
        <v>#REF!</v>
      </c>
      <c r="O73" s="153" t="e">
        <f t="shared" si="10"/>
        <v>#REF!</v>
      </c>
      <c r="P73" s="140" t="s">
        <v>126</v>
      </c>
      <c r="Q73" s="92"/>
      <c r="R73" s="140" t="s">
        <v>148</v>
      </c>
      <c r="S73" s="129" t="e">
        <f t="shared" si="12"/>
        <v>#REF!</v>
      </c>
    </row>
    <row r="74" spans="1:29" ht="11.25" customHeight="1">
      <c r="B74" s="256">
        <v>45737</v>
      </c>
      <c r="C74" s="144" t="s">
        <v>162</v>
      </c>
      <c r="D74" s="149"/>
      <c r="E74" s="145">
        <v>48</v>
      </c>
      <c r="F74" s="253" t="s">
        <v>32</v>
      </c>
      <c r="G74" s="82" t="s">
        <v>33</v>
      </c>
      <c r="H74" s="187"/>
      <c r="I74" s="180"/>
      <c r="J74" s="187"/>
      <c r="K74" s="146">
        <v>2779</v>
      </c>
      <c r="L74" s="79" t="e">
        <f>#REF!</f>
        <v>#REF!</v>
      </c>
      <c r="M74" s="294" t="e">
        <f t="shared" si="11"/>
        <v>#REF!</v>
      </c>
      <c r="N74" s="153" t="e">
        <f t="shared" si="9"/>
        <v>#REF!</v>
      </c>
      <c r="O74" s="153" t="e">
        <f t="shared" si="10"/>
        <v>#REF!</v>
      </c>
      <c r="P74" s="140" t="s">
        <v>126</v>
      </c>
      <c r="Q74" s="92"/>
      <c r="R74" s="140" t="s">
        <v>149</v>
      </c>
      <c r="S74" s="129" t="e">
        <f t="shared" si="12"/>
        <v>#REF!</v>
      </c>
    </row>
    <row r="75" spans="1:29" ht="11.25" customHeight="1">
      <c r="B75" s="256">
        <v>45737</v>
      </c>
      <c r="C75" s="144" t="s">
        <v>181</v>
      </c>
      <c r="D75" s="149"/>
      <c r="E75" s="145">
        <v>49</v>
      </c>
      <c r="F75" s="253" t="s">
        <v>32</v>
      </c>
      <c r="G75" s="82" t="s">
        <v>33</v>
      </c>
      <c r="H75" s="187"/>
      <c r="I75" s="180"/>
      <c r="J75" s="187"/>
      <c r="K75" s="146">
        <v>98</v>
      </c>
      <c r="L75" s="79" t="e">
        <f>#REF!</f>
        <v>#REF!</v>
      </c>
      <c r="M75" s="294" t="e">
        <f t="shared" si="11"/>
        <v>#REF!</v>
      </c>
      <c r="N75" s="153" t="e">
        <f t="shared" si="9"/>
        <v>#REF!</v>
      </c>
      <c r="O75" s="153" t="e">
        <f t="shared" si="10"/>
        <v>#REF!</v>
      </c>
      <c r="P75" s="140" t="s">
        <v>126</v>
      </c>
      <c r="Q75" s="92"/>
      <c r="R75" s="140" t="s">
        <v>149</v>
      </c>
      <c r="S75" s="129" t="e">
        <f t="shared" si="12"/>
        <v>#REF!</v>
      </c>
    </row>
    <row r="76" spans="1:29" ht="11.25" customHeight="1">
      <c r="B76" s="256">
        <v>45737</v>
      </c>
      <c r="C76" s="144" t="s">
        <v>164</v>
      </c>
      <c r="D76" s="149"/>
      <c r="E76" s="145">
        <v>50</v>
      </c>
      <c r="F76" s="253" t="s">
        <v>32</v>
      </c>
      <c r="G76" s="82" t="s">
        <v>33</v>
      </c>
      <c r="H76" s="187"/>
      <c r="I76" s="180"/>
      <c r="J76" s="187"/>
      <c r="K76" s="146">
        <v>743</v>
      </c>
      <c r="L76" s="79" t="e">
        <f>#REF!</f>
        <v>#REF!</v>
      </c>
      <c r="M76" s="294" t="e">
        <f t="shared" si="11"/>
        <v>#REF!</v>
      </c>
      <c r="N76" s="153" t="e">
        <f t="shared" si="9"/>
        <v>#REF!</v>
      </c>
      <c r="O76" s="153" t="e">
        <f t="shared" si="10"/>
        <v>#REF!</v>
      </c>
      <c r="P76" s="140" t="s">
        <v>126</v>
      </c>
      <c r="Q76" s="92"/>
      <c r="R76" s="140" t="s">
        <v>149</v>
      </c>
      <c r="S76" s="129" t="e">
        <f t="shared" si="12"/>
        <v>#REF!</v>
      </c>
    </row>
    <row r="77" spans="1:29" ht="11.25" customHeight="1">
      <c r="B77" s="256">
        <v>45737</v>
      </c>
      <c r="C77" s="144" t="s">
        <v>163</v>
      </c>
      <c r="D77" s="149"/>
      <c r="E77" s="145">
        <v>51</v>
      </c>
      <c r="F77" s="253" t="s">
        <v>32</v>
      </c>
      <c r="G77" s="82" t="s">
        <v>33</v>
      </c>
      <c r="H77" s="187"/>
      <c r="I77" s="180"/>
      <c r="J77" s="187"/>
      <c r="K77" s="146">
        <v>291</v>
      </c>
      <c r="L77" s="79" t="e">
        <f>#REF!</f>
        <v>#REF!</v>
      </c>
      <c r="M77" s="294" t="e">
        <f t="shared" si="11"/>
        <v>#REF!</v>
      </c>
      <c r="N77" s="153" t="e">
        <f t="shared" si="9"/>
        <v>#REF!</v>
      </c>
      <c r="O77" s="153" t="e">
        <f t="shared" si="10"/>
        <v>#REF!</v>
      </c>
      <c r="P77" s="140" t="s">
        <v>126</v>
      </c>
      <c r="Q77" s="92"/>
      <c r="R77" s="140" t="s">
        <v>149</v>
      </c>
      <c r="S77" s="129" t="e">
        <f t="shared" si="12"/>
        <v>#REF!</v>
      </c>
    </row>
    <row r="78" spans="1:29" ht="11.25" customHeight="1">
      <c r="B78" s="256">
        <v>45737</v>
      </c>
      <c r="C78" s="144" t="s">
        <v>41</v>
      </c>
      <c r="D78" s="149"/>
      <c r="E78" s="145">
        <v>52</v>
      </c>
      <c r="F78" s="253" t="s">
        <v>25</v>
      </c>
      <c r="G78" s="82"/>
      <c r="H78" s="187"/>
      <c r="I78" s="180"/>
      <c r="J78" s="187"/>
      <c r="K78" s="146">
        <v>3.6</v>
      </c>
      <c r="L78" s="79" t="e">
        <f>#REF!</f>
        <v>#REF!</v>
      </c>
      <c r="M78" s="294" t="e">
        <f t="shared" si="11"/>
        <v>#REF!</v>
      </c>
      <c r="N78" s="153" t="e">
        <f t="shared" si="9"/>
        <v>#REF!</v>
      </c>
      <c r="O78" s="153" t="e">
        <f t="shared" si="10"/>
        <v>#REF!</v>
      </c>
      <c r="P78" s="140" t="s">
        <v>126</v>
      </c>
      <c r="Q78" s="92"/>
      <c r="R78" s="140" t="s">
        <v>149</v>
      </c>
      <c r="S78" s="129" t="e">
        <f t="shared" si="12"/>
        <v>#REF!</v>
      </c>
    </row>
    <row r="79" spans="1:29" ht="11.25" customHeight="1">
      <c r="B79" s="256">
        <v>45740</v>
      </c>
      <c r="C79" s="144" t="s">
        <v>69</v>
      </c>
      <c r="D79" s="149"/>
      <c r="E79" s="145">
        <v>53</v>
      </c>
      <c r="F79" s="253" t="s">
        <v>25</v>
      </c>
      <c r="G79" s="82"/>
      <c r="H79" s="187"/>
      <c r="I79" s="180"/>
      <c r="J79" s="187"/>
      <c r="K79" s="146">
        <v>16000</v>
      </c>
      <c r="L79" s="79" t="e">
        <f>#REF!</f>
        <v>#REF!</v>
      </c>
      <c r="M79" s="294" t="e">
        <f t="shared" si="11"/>
        <v>#REF!</v>
      </c>
      <c r="N79" s="153" t="e">
        <f t="shared" si="9"/>
        <v>#REF!</v>
      </c>
      <c r="O79" s="153" t="e">
        <f t="shared" si="10"/>
        <v>#REF!</v>
      </c>
      <c r="P79" s="140" t="s">
        <v>126</v>
      </c>
      <c r="Q79" s="92"/>
      <c r="R79" s="140" t="s">
        <v>37</v>
      </c>
      <c r="S79" s="129" t="e">
        <f t="shared" si="12"/>
        <v>#REF!</v>
      </c>
    </row>
    <row r="80" spans="1:29" ht="11.25" customHeight="1">
      <c r="B80" s="256">
        <v>45740</v>
      </c>
      <c r="C80" s="144" t="s">
        <v>75</v>
      </c>
      <c r="D80" s="149"/>
      <c r="E80" s="145">
        <v>53</v>
      </c>
      <c r="F80" s="253" t="s">
        <v>25</v>
      </c>
      <c r="G80" s="82"/>
      <c r="H80" s="187"/>
      <c r="I80" s="180"/>
      <c r="J80" s="187"/>
      <c r="K80" s="146">
        <v>24000</v>
      </c>
      <c r="L80" s="79" t="e">
        <f>#REF!</f>
        <v>#REF!</v>
      </c>
      <c r="M80" s="294" t="e">
        <f t="shared" si="11"/>
        <v>#REF!</v>
      </c>
      <c r="N80" s="153" t="e">
        <f t="shared" si="9"/>
        <v>#REF!</v>
      </c>
      <c r="O80" s="153" t="e">
        <f t="shared" si="10"/>
        <v>#REF!</v>
      </c>
      <c r="P80" s="140" t="s">
        <v>126</v>
      </c>
      <c r="Q80" s="92"/>
      <c r="R80" s="140" t="s">
        <v>37</v>
      </c>
      <c r="S80" s="129" t="e">
        <f t="shared" si="12"/>
        <v>#REF!</v>
      </c>
    </row>
    <row r="81" spans="2:19" ht="11.25" customHeight="1">
      <c r="B81" s="256">
        <v>45740</v>
      </c>
      <c r="C81" s="144" t="s">
        <v>70</v>
      </c>
      <c r="D81" s="149"/>
      <c r="E81" s="145">
        <v>53</v>
      </c>
      <c r="F81" s="253" t="s">
        <v>25</v>
      </c>
      <c r="G81" s="82"/>
      <c r="H81" s="187"/>
      <c r="I81" s="180"/>
      <c r="J81" s="187"/>
      <c r="K81" s="146">
        <v>5305.1900000000005</v>
      </c>
      <c r="L81" s="79" t="e">
        <f>#REF!</f>
        <v>#REF!</v>
      </c>
      <c r="M81" s="294" t="e">
        <f t="shared" si="11"/>
        <v>#REF!</v>
      </c>
      <c r="N81" s="153" t="e">
        <f t="shared" si="9"/>
        <v>#REF!</v>
      </c>
      <c r="O81" s="153" t="e">
        <f t="shared" si="10"/>
        <v>#REF!</v>
      </c>
      <c r="P81" s="140" t="s">
        <v>126</v>
      </c>
      <c r="Q81" s="92"/>
      <c r="R81" s="140" t="s">
        <v>37</v>
      </c>
      <c r="S81" s="129" t="e">
        <f t="shared" si="12"/>
        <v>#REF!</v>
      </c>
    </row>
    <row r="82" spans="2:19" ht="11.25" customHeight="1">
      <c r="B82" s="256">
        <v>45740</v>
      </c>
      <c r="C82" s="144" t="s">
        <v>71</v>
      </c>
      <c r="D82" s="149"/>
      <c r="E82" s="145">
        <v>53</v>
      </c>
      <c r="F82" s="253" t="s">
        <v>25</v>
      </c>
      <c r="G82" s="82"/>
      <c r="H82" s="187"/>
      <c r="I82" s="180"/>
      <c r="J82" s="187"/>
      <c r="K82" s="146">
        <v>3336.7999999999993</v>
      </c>
      <c r="L82" s="79" t="e">
        <f>#REF!</f>
        <v>#REF!</v>
      </c>
      <c r="M82" s="294" t="e">
        <f t="shared" si="11"/>
        <v>#REF!</v>
      </c>
      <c r="N82" s="153" t="e">
        <f t="shared" si="9"/>
        <v>#REF!</v>
      </c>
      <c r="O82" s="153" t="e">
        <f t="shared" si="10"/>
        <v>#REF!</v>
      </c>
      <c r="P82" s="140" t="s">
        <v>126</v>
      </c>
      <c r="Q82" s="92"/>
      <c r="R82" s="140" t="s">
        <v>37</v>
      </c>
      <c r="S82" s="129" t="e">
        <f t="shared" si="12"/>
        <v>#REF!</v>
      </c>
    </row>
    <row r="83" spans="2:19" ht="11.25" customHeight="1">
      <c r="B83" s="256">
        <v>45740</v>
      </c>
      <c r="C83" s="144" t="s">
        <v>73</v>
      </c>
      <c r="D83" s="149"/>
      <c r="E83" s="145">
        <v>53</v>
      </c>
      <c r="F83" s="253" t="s">
        <v>25</v>
      </c>
      <c r="G83" s="82"/>
      <c r="H83" s="187"/>
      <c r="I83" s="180"/>
      <c r="J83" s="187"/>
      <c r="K83" s="146">
        <v>300</v>
      </c>
      <c r="L83" s="79" t="e">
        <f>#REF!</f>
        <v>#REF!</v>
      </c>
      <c r="M83" s="294" t="e">
        <f t="shared" si="11"/>
        <v>#REF!</v>
      </c>
      <c r="N83" s="153" t="e">
        <f t="shared" si="9"/>
        <v>#REF!</v>
      </c>
      <c r="O83" s="153" t="e">
        <f t="shared" si="10"/>
        <v>#REF!</v>
      </c>
      <c r="P83" s="140" t="s">
        <v>126</v>
      </c>
      <c r="Q83" s="92"/>
      <c r="R83" s="140" t="s">
        <v>37</v>
      </c>
      <c r="S83" s="129" t="e">
        <f t="shared" si="12"/>
        <v>#REF!</v>
      </c>
    </row>
    <row r="84" spans="2:19" ht="11.25" customHeight="1">
      <c r="B84" s="256">
        <v>45740</v>
      </c>
      <c r="C84" s="144" t="s">
        <v>69</v>
      </c>
      <c r="D84" s="149"/>
      <c r="E84" s="145">
        <v>53</v>
      </c>
      <c r="F84" s="253" t="s">
        <v>25</v>
      </c>
      <c r="G84" s="82"/>
      <c r="H84" s="187"/>
      <c r="I84" s="180"/>
      <c r="J84" s="187"/>
      <c r="K84" s="146">
        <v>16000</v>
      </c>
      <c r="L84" s="79" t="e">
        <f>#REF!</f>
        <v>#REF!</v>
      </c>
      <c r="M84" s="294" t="e">
        <f t="shared" si="11"/>
        <v>#REF!</v>
      </c>
      <c r="N84" s="153" t="e">
        <f t="shared" ref="N84:N104" si="13">N83+H84-K84</f>
        <v>#REF!</v>
      </c>
      <c r="O84" s="153" t="e">
        <f t="shared" ref="O84:O104" si="14">O83+J84-M84</f>
        <v>#REF!</v>
      </c>
      <c r="P84" s="140" t="s">
        <v>126</v>
      </c>
      <c r="Q84" s="92"/>
      <c r="R84" s="140" t="s">
        <v>36</v>
      </c>
      <c r="S84" s="129" t="e">
        <f t="shared" si="12"/>
        <v>#REF!</v>
      </c>
    </row>
    <row r="85" spans="2:19" ht="11.25" customHeight="1">
      <c r="B85" s="256">
        <v>45740</v>
      </c>
      <c r="C85" s="144" t="s">
        <v>75</v>
      </c>
      <c r="D85" s="149"/>
      <c r="E85" s="145">
        <v>53</v>
      </c>
      <c r="F85" s="253" t="s">
        <v>25</v>
      </c>
      <c r="G85" s="82"/>
      <c r="H85" s="187"/>
      <c r="I85" s="180"/>
      <c r="J85" s="187"/>
      <c r="K85" s="146">
        <v>24000</v>
      </c>
      <c r="L85" s="79" t="e">
        <f>#REF!</f>
        <v>#REF!</v>
      </c>
      <c r="M85" s="294" t="e">
        <f t="shared" si="11"/>
        <v>#REF!</v>
      </c>
      <c r="N85" s="153" t="e">
        <f t="shared" si="13"/>
        <v>#REF!</v>
      </c>
      <c r="O85" s="153" t="e">
        <f t="shared" si="14"/>
        <v>#REF!</v>
      </c>
      <c r="P85" s="140" t="s">
        <v>126</v>
      </c>
      <c r="Q85" s="92"/>
      <c r="R85" s="140" t="s">
        <v>36</v>
      </c>
      <c r="S85" s="129" t="e">
        <f t="shared" si="12"/>
        <v>#REF!</v>
      </c>
    </row>
    <row r="86" spans="2:19" ht="11.25" customHeight="1">
      <c r="B86" s="256">
        <v>45740</v>
      </c>
      <c r="C86" s="144" t="s">
        <v>70</v>
      </c>
      <c r="D86" s="149"/>
      <c r="E86" s="145">
        <v>53</v>
      </c>
      <c r="F86" s="253" t="s">
        <v>25</v>
      </c>
      <c r="G86" s="82"/>
      <c r="H86" s="187"/>
      <c r="I86" s="180"/>
      <c r="J86" s="187"/>
      <c r="K86" s="146">
        <v>10463.189999999999</v>
      </c>
      <c r="L86" s="79" t="e">
        <f>#REF!</f>
        <v>#REF!</v>
      </c>
      <c r="M86" s="294" t="e">
        <f t="shared" si="11"/>
        <v>#REF!</v>
      </c>
      <c r="N86" s="153" t="e">
        <f t="shared" si="13"/>
        <v>#REF!</v>
      </c>
      <c r="O86" s="153" t="e">
        <f t="shared" si="14"/>
        <v>#REF!</v>
      </c>
      <c r="P86" s="140" t="s">
        <v>126</v>
      </c>
      <c r="Q86" s="92"/>
      <c r="R86" s="140" t="s">
        <v>36</v>
      </c>
      <c r="S86" s="129" t="e">
        <f t="shared" si="12"/>
        <v>#REF!</v>
      </c>
    </row>
    <row r="87" spans="2:19" ht="11.25" customHeight="1">
      <c r="B87" s="256">
        <v>45740</v>
      </c>
      <c r="C87" s="144" t="s">
        <v>71</v>
      </c>
      <c r="D87" s="149"/>
      <c r="E87" s="145">
        <v>53</v>
      </c>
      <c r="F87" s="253" t="s">
        <v>25</v>
      </c>
      <c r="G87" s="82"/>
      <c r="H87" s="187"/>
      <c r="I87" s="180"/>
      <c r="J87" s="187"/>
      <c r="K87" s="146">
        <v>3100.3999999999996</v>
      </c>
      <c r="L87" s="79" t="e">
        <f>#REF!</f>
        <v>#REF!</v>
      </c>
      <c r="M87" s="294" t="e">
        <f t="shared" si="11"/>
        <v>#REF!</v>
      </c>
      <c r="N87" s="153" t="e">
        <f t="shared" si="13"/>
        <v>#REF!</v>
      </c>
      <c r="O87" s="153" t="e">
        <f t="shared" si="14"/>
        <v>#REF!</v>
      </c>
      <c r="P87" s="140" t="s">
        <v>126</v>
      </c>
      <c r="Q87" s="92"/>
      <c r="R87" s="140" t="s">
        <v>36</v>
      </c>
      <c r="S87" s="129" t="e">
        <f t="shared" si="12"/>
        <v>#REF!</v>
      </c>
    </row>
    <row r="88" spans="2:19" ht="11.25" customHeight="1">
      <c r="B88" s="256">
        <v>45740</v>
      </c>
      <c r="C88" s="144" t="s">
        <v>73</v>
      </c>
      <c r="D88" s="149"/>
      <c r="E88" s="145">
        <v>53</v>
      </c>
      <c r="F88" s="253" t="s">
        <v>25</v>
      </c>
      <c r="G88" s="82"/>
      <c r="H88" s="187"/>
      <c r="I88" s="180"/>
      <c r="J88" s="187"/>
      <c r="K88" s="146">
        <v>300</v>
      </c>
      <c r="L88" s="79" t="e">
        <f>#REF!</f>
        <v>#REF!</v>
      </c>
      <c r="M88" s="294" t="e">
        <f t="shared" si="11"/>
        <v>#REF!</v>
      </c>
      <c r="N88" s="153" t="e">
        <f t="shared" si="13"/>
        <v>#REF!</v>
      </c>
      <c r="O88" s="153" t="e">
        <f t="shared" si="14"/>
        <v>#REF!</v>
      </c>
      <c r="P88" s="140" t="s">
        <v>126</v>
      </c>
      <c r="Q88" s="92"/>
      <c r="R88" s="140" t="s">
        <v>36</v>
      </c>
      <c r="S88" s="129" t="e">
        <f t="shared" si="12"/>
        <v>#REF!</v>
      </c>
    </row>
    <row r="89" spans="2:19" ht="11.25" customHeight="1">
      <c r="B89" s="256">
        <v>45740</v>
      </c>
      <c r="C89" s="144" t="s">
        <v>72</v>
      </c>
      <c r="D89" s="149"/>
      <c r="E89" s="145">
        <v>53</v>
      </c>
      <c r="F89" s="253" t="s">
        <v>25</v>
      </c>
      <c r="G89" s="82"/>
      <c r="H89" s="187"/>
      <c r="I89" s="180"/>
      <c r="J89" s="187"/>
      <c r="K89" s="146">
        <v>25750</v>
      </c>
      <c r="L89" s="79" t="e">
        <f>#REF!</f>
        <v>#REF!</v>
      </c>
      <c r="M89" s="294" t="e">
        <f t="shared" si="11"/>
        <v>#REF!</v>
      </c>
      <c r="N89" s="153" t="e">
        <f t="shared" si="13"/>
        <v>#REF!</v>
      </c>
      <c r="O89" s="153" t="e">
        <f t="shared" si="14"/>
        <v>#REF!</v>
      </c>
      <c r="P89" s="140" t="s">
        <v>126</v>
      </c>
      <c r="Q89" s="92"/>
      <c r="R89" s="140" t="s">
        <v>145</v>
      </c>
      <c r="S89" s="129" t="e">
        <f t="shared" si="12"/>
        <v>#REF!</v>
      </c>
    </row>
    <row r="90" spans="2:19" ht="11.25" customHeight="1">
      <c r="B90" s="256">
        <v>45740</v>
      </c>
      <c r="C90" s="144" t="s">
        <v>76</v>
      </c>
      <c r="D90" s="149"/>
      <c r="E90" s="145">
        <v>53</v>
      </c>
      <c r="F90" s="253" t="s">
        <v>25</v>
      </c>
      <c r="G90" s="82"/>
      <c r="H90" s="187"/>
      <c r="I90" s="180"/>
      <c r="J90" s="187"/>
      <c r="K90" s="146">
        <v>7431.44</v>
      </c>
      <c r="L90" s="79" t="e">
        <f>#REF!</f>
        <v>#REF!</v>
      </c>
      <c r="M90" s="294" t="e">
        <f t="shared" si="11"/>
        <v>#REF!</v>
      </c>
      <c r="N90" s="153" t="e">
        <f t="shared" si="13"/>
        <v>#REF!</v>
      </c>
      <c r="O90" s="153" t="e">
        <f t="shared" si="14"/>
        <v>#REF!</v>
      </c>
      <c r="P90" s="140" t="s">
        <v>126</v>
      </c>
      <c r="Q90" s="92"/>
      <c r="R90" s="140" t="s">
        <v>145</v>
      </c>
      <c r="S90" s="129" t="e">
        <f t="shared" si="12"/>
        <v>#REF!</v>
      </c>
    </row>
    <row r="91" spans="2:19" ht="11.25" customHeight="1">
      <c r="B91" s="256">
        <v>45740</v>
      </c>
      <c r="C91" s="144" t="s">
        <v>73</v>
      </c>
      <c r="D91" s="149"/>
      <c r="E91" s="145">
        <v>53</v>
      </c>
      <c r="F91" s="253" t="s">
        <v>25</v>
      </c>
      <c r="G91" s="82"/>
      <c r="H91" s="187"/>
      <c r="I91" s="180"/>
      <c r="J91" s="187"/>
      <c r="K91" s="146">
        <v>300</v>
      </c>
      <c r="L91" s="79" t="e">
        <f>#REF!</f>
        <v>#REF!</v>
      </c>
      <c r="M91" s="294" t="e">
        <f t="shared" si="11"/>
        <v>#REF!</v>
      </c>
      <c r="N91" s="153" t="e">
        <f t="shared" si="13"/>
        <v>#REF!</v>
      </c>
      <c r="O91" s="153" t="e">
        <f t="shared" si="14"/>
        <v>#REF!</v>
      </c>
      <c r="P91" s="140" t="s">
        <v>126</v>
      </c>
      <c r="Q91" s="92"/>
      <c r="R91" s="140" t="s">
        <v>145</v>
      </c>
      <c r="S91" s="129" t="e">
        <f t="shared" si="12"/>
        <v>#REF!</v>
      </c>
    </row>
    <row r="92" spans="2:19" ht="11.25" customHeight="1">
      <c r="B92" s="256">
        <v>45740</v>
      </c>
      <c r="C92" s="144" t="s">
        <v>77</v>
      </c>
      <c r="D92" s="149"/>
      <c r="E92" s="145">
        <v>53</v>
      </c>
      <c r="F92" s="253" t="s">
        <v>25</v>
      </c>
      <c r="G92" s="82"/>
      <c r="H92" s="187"/>
      <c r="I92" s="180"/>
      <c r="J92" s="187"/>
      <c r="K92" s="146">
        <v>300</v>
      </c>
      <c r="L92" s="79" t="e">
        <f>#REF!</f>
        <v>#REF!</v>
      </c>
      <c r="M92" s="294" t="e">
        <f t="shared" si="11"/>
        <v>#REF!</v>
      </c>
      <c r="N92" s="153" t="e">
        <f t="shared" si="13"/>
        <v>#REF!</v>
      </c>
      <c r="O92" s="153" t="e">
        <f t="shared" si="14"/>
        <v>#REF!</v>
      </c>
      <c r="P92" s="140" t="s">
        <v>126</v>
      </c>
      <c r="Q92" s="92"/>
      <c r="R92" s="140" t="s">
        <v>145</v>
      </c>
      <c r="S92" s="129" t="e">
        <f t="shared" si="12"/>
        <v>#REF!</v>
      </c>
    </row>
    <row r="93" spans="2:19" ht="11.25" customHeight="1">
      <c r="B93" s="256">
        <v>45740</v>
      </c>
      <c r="C93" s="144" t="s">
        <v>72</v>
      </c>
      <c r="D93" s="149"/>
      <c r="E93" s="145">
        <v>53</v>
      </c>
      <c r="F93" s="253" t="s">
        <v>25</v>
      </c>
      <c r="G93" s="82"/>
      <c r="H93" s="187"/>
      <c r="I93" s="180"/>
      <c r="J93" s="187"/>
      <c r="K93" s="146">
        <v>13390</v>
      </c>
      <c r="L93" s="79" t="e">
        <f>#REF!</f>
        <v>#REF!</v>
      </c>
      <c r="M93" s="294" t="e">
        <f t="shared" si="11"/>
        <v>#REF!</v>
      </c>
      <c r="N93" s="153" t="e">
        <f t="shared" si="13"/>
        <v>#REF!</v>
      </c>
      <c r="O93" s="153" t="e">
        <f t="shared" si="14"/>
        <v>#REF!</v>
      </c>
      <c r="P93" s="140" t="s">
        <v>126</v>
      </c>
      <c r="Q93" s="92"/>
      <c r="R93" s="140" t="s">
        <v>146</v>
      </c>
      <c r="S93" s="129" t="e">
        <f t="shared" si="12"/>
        <v>#REF!</v>
      </c>
    </row>
    <row r="94" spans="2:19" ht="11.25" customHeight="1">
      <c r="B94" s="256">
        <v>45740</v>
      </c>
      <c r="C94" s="144" t="s">
        <v>76</v>
      </c>
      <c r="D94" s="149"/>
      <c r="E94" s="145">
        <v>53</v>
      </c>
      <c r="F94" s="253" t="s">
        <v>25</v>
      </c>
      <c r="G94" s="82"/>
      <c r="H94" s="187"/>
      <c r="I94" s="180"/>
      <c r="J94" s="187"/>
      <c r="K94" s="146">
        <v>3281.57</v>
      </c>
      <c r="L94" s="79" t="e">
        <f>#REF!</f>
        <v>#REF!</v>
      </c>
      <c r="M94" s="294" t="e">
        <f t="shared" si="11"/>
        <v>#REF!</v>
      </c>
      <c r="N94" s="153" t="e">
        <f t="shared" si="13"/>
        <v>#REF!</v>
      </c>
      <c r="O94" s="153" t="e">
        <f t="shared" si="14"/>
        <v>#REF!</v>
      </c>
      <c r="P94" s="140" t="s">
        <v>126</v>
      </c>
      <c r="Q94" s="92"/>
      <c r="R94" s="140" t="s">
        <v>146</v>
      </c>
      <c r="S94" s="129" t="e">
        <f t="shared" si="12"/>
        <v>#REF!</v>
      </c>
    </row>
    <row r="95" spans="2:19" ht="11.25" customHeight="1">
      <c r="B95" s="256">
        <v>45740</v>
      </c>
      <c r="C95" s="144" t="s">
        <v>73</v>
      </c>
      <c r="D95" s="149"/>
      <c r="E95" s="145">
        <v>53</v>
      </c>
      <c r="F95" s="253" t="s">
        <v>25</v>
      </c>
      <c r="G95" s="82"/>
      <c r="H95" s="187"/>
      <c r="I95" s="180"/>
      <c r="J95" s="187"/>
      <c r="K95" s="146">
        <v>300</v>
      </c>
      <c r="L95" s="79" t="e">
        <f>#REF!</f>
        <v>#REF!</v>
      </c>
      <c r="M95" s="294">
        <v>41.56</v>
      </c>
      <c r="N95" s="153" t="e">
        <f t="shared" si="13"/>
        <v>#REF!</v>
      </c>
      <c r="O95" s="153" t="e">
        <f t="shared" si="14"/>
        <v>#REF!</v>
      </c>
      <c r="P95" s="140" t="s">
        <v>126</v>
      </c>
      <c r="Q95" s="92"/>
      <c r="R95" s="140" t="s">
        <v>146</v>
      </c>
      <c r="S95" s="129" t="e">
        <f t="shared" si="12"/>
        <v>#REF!</v>
      </c>
    </row>
    <row r="96" spans="2:19" ht="11.25" customHeight="1">
      <c r="B96" s="256">
        <v>45740</v>
      </c>
      <c r="C96" s="144" t="s">
        <v>77</v>
      </c>
      <c r="D96" s="149"/>
      <c r="E96" s="145">
        <v>53</v>
      </c>
      <c r="F96" s="253" t="s">
        <v>25</v>
      </c>
      <c r="G96" s="82"/>
      <c r="H96" s="187"/>
      <c r="I96" s="180"/>
      <c r="J96" s="187"/>
      <c r="K96" s="146">
        <v>900</v>
      </c>
      <c r="L96" s="79" t="e">
        <f>#REF!</f>
        <v>#REF!</v>
      </c>
      <c r="M96" s="294" t="e">
        <f t="shared" ref="M96:M104" si="15">K96/L96</f>
        <v>#REF!</v>
      </c>
      <c r="N96" s="153" t="e">
        <f t="shared" si="13"/>
        <v>#REF!</v>
      </c>
      <c r="O96" s="153" t="e">
        <f t="shared" si="14"/>
        <v>#REF!</v>
      </c>
      <c r="P96" s="140" t="s">
        <v>126</v>
      </c>
      <c r="Q96" s="92"/>
      <c r="R96" s="140" t="s">
        <v>146</v>
      </c>
      <c r="S96" s="129" t="e">
        <f t="shared" si="12"/>
        <v>#REF!</v>
      </c>
    </row>
    <row r="97" spans="2:19" ht="11.25" customHeight="1">
      <c r="B97" s="256">
        <v>45740</v>
      </c>
      <c r="C97" s="144" t="s">
        <v>72</v>
      </c>
      <c r="D97" s="149"/>
      <c r="E97" s="145">
        <v>53</v>
      </c>
      <c r="F97" s="253" t="s">
        <v>25</v>
      </c>
      <c r="G97" s="82"/>
      <c r="H97" s="187"/>
      <c r="I97" s="180"/>
      <c r="J97" s="187"/>
      <c r="K97" s="146">
        <v>25750</v>
      </c>
      <c r="L97" s="79" t="e">
        <f>#REF!</f>
        <v>#REF!</v>
      </c>
      <c r="M97" s="294" t="e">
        <f t="shared" si="15"/>
        <v>#REF!</v>
      </c>
      <c r="N97" s="153" t="e">
        <f t="shared" si="13"/>
        <v>#REF!</v>
      </c>
      <c r="O97" s="153" t="e">
        <f t="shared" si="14"/>
        <v>#REF!</v>
      </c>
      <c r="P97" s="140" t="s">
        <v>126</v>
      </c>
      <c r="Q97" s="92"/>
      <c r="R97" s="140" t="s">
        <v>128</v>
      </c>
      <c r="S97" s="129" t="e">
        <f t="shared" si="12"/>
        <v>#REF!</v>
      </c>
    </row>
    <row r="98" spans="2:19" ht="11.25" customHeight="1">
      <c r="B98" s="256">
        <v>45740</v>
      </c>
      <c r="C98" s="144" t="s">
        <v>76</v>
      </c>
      <c r="D98" s="149"/>
      <c r="E98" s="145">
        <v>53</v>
      </c>
      <c r="F98" s="253" t="s">
        <v>25</v>
      </c>
      <c r="G98" s="82"/>
      <c r="H98" s="187"/>
      <c r="I98" s="180"/>
      <c r="J98" s="187"/>
      <c r="K98" s="146">
        <v>7431.44</v>
      </c>
      <c r="L98" s="79" t="e">
        <f>#REF!</f>
        <v>#REF!</v>
      </c>
      <c r="M98" s="294" t="e">
        <f t="shared" si="15"/>
        <v>#REF!</v>
      </c>
      <c r="N98" s="153" t="e">
        <f t="shared" si="13"/>
        <v>#REF!</v>
      </c>
      <c r="O98" s="153" t="e">
        <f t="shared" si="14"/>
        <v>#REF!</v>
      </c>
      <c r="P98" s="140" t="s">
        <v>126</v>
      </c>
      <c r="Q98" s="92"/>
      <c r="R98" s="140" t="s">
        <v>128</v>
      </c>
      <c r="S98" s="129" t="e">
        <f t="shared" si="12"/>
        <v>#REF!</v>
      </c>
    </row>
    <row r="99" spans="2:19" ht="11.25" customHeight="1">
      <c r="B99" s="256">
        <v>45740</v>
      </c>
      <c r="C99" s="144" t="s">
        <v>73</v>
      </c>
      <c r="D99" s="149"/>
      <c r="E99" s="145">
        <v>53</v>
      </c>
      <c r="F99" s="253" t="s">
        <v>25</v>
      </c>
      <c r="G99" s="82"/>
      <c r="H99" s="187"/>
      <c r="I99" s="180"/>
      <c r="J99" s="187"/>
      <c r="K99" s="146">
        <v>300</v>
      </c>
      <c r="L99" s="79" t="e">
        <f>#REF!</f>
        <v>#REF!</v>
      </c>
      <c r="M99" s="294" t="e">
        <f t="shared" si="15"/>
        <v>#REF!</v>
      </c>
      <c r="N99" s="153" t="e">
        <f t="shared" si="13"/>
        <v>#REF!</v>
      </c>
      <c r="O99" s="153" t="e">
        <f t="shared" si="14"/>
        <v>#REF!</v>
      </c>
      <c r="P99" s="140" t="s">
        <v>126</v>
      </c>
      <c r="Q99" s="92"/>
      <c r="R99" s="140" t="s">
        <v>128</v>
      </c>
      <c r="S99" s="129" t="e">
        <f t="shared" si="12"/>
        <v>#REF!</v>
      </c>
    </row>
    <row r="100" spans="2:19" ht="11.25" customHeight="1">
      <c r="B100" s="256">
        <v>45740</v>
      </c>
      <c r="C100" s="144" t="s">
        <v>72</v>
      </c>
      <c r="D100" s="149"/>
      <c r="E100" s="145">
        <v>53</v>
      </c>
      <c r="F100" s="253" t="s">
        <v>25</v>
      </c>
      <c r="G100" s="82"/>
      <c r="H100" s="187"/>
      <c r="I100" s="180"/>
      <c r="J100" s="187"/>
      <c r="K100" s="146">
        <v>21300</v>
      </c>
      <c r="L100" s="79" t="e">
        <f>#REF!</f>
        <v>#REF!</v>
      </c>
      <c r="M100" s="294" t="e">
        <f t="shared" si="15"/>
        <v>#REF!</v>
      </c>
      <c r="N100" s="153" t="e">
        <f t="shared" si="13"/>
        <v>#REF!</v>
      </c>
      <c r="O100" s="153" t="e">
        <f t="shared" si="14"/>
        <v>#REF!</v>
      </c>
      <c r="P100" s="140" t="s">
        <v>126</v>
      </c>
      <c r="Q100" s="92"/>
      <c r="R100" s="140" t="s">
        <v>183</v>
      </c>
      <c r="S100" s="129" t="e">
        <f t="shared" si="12"/>
        <v>#REF!</v>
      </c>
    </row>
    <row r="101" spans="2:19" ht="11.25" customHeight="1">
      <c r="B101" s="256">
        <v>45740</v>
      </c>
      <c r="C101" s="144" t="s">
        <v>76</v>
      </c>
      <c r="D101" s="149"/>
      <c r="E101" s="145">
        <v>53</v>
      </c>
      <c r="F101" s="253" t="s">
        <v>25</v>
      </c>
      <c r="G101" s="82"/>
      <c r="H101" s="187"/>
      <c r="I101" s="180"/>
      <c r="J101" s="187"/>
      <c r="K101" s="146">
        <v>5941.29</v>
      </c>
      <c r="L101" s="79" t="e">
        <f>#REF!</f>
        <v>#REF!</v>
      </c>
      <c r="M101" s="294" t="e">
        <f t="shared" si="15"/>
        <v>#REF!</v>
      </c>
      <c r="N101" s="153" t="e">
        <f t="shared" si="13"/>
        <v>#REF!</v>
      </c>
      <c r="O101" s="153" t="e">
        <f t="shared" si="14"/>
        <v>#REF!</v>
      </c>
      <c r="P101" s="140" t="s">
        <v>126</v>
      </c>
      <c r="Q101" s="92"/>
      <c r="R101" s="140" t="s">
        <v>183</v>
      </c>
      <c r="S101" s="129" t="e">
        <f t="shared" si="12"/>
        <v>#REF!</v>
      </c>
    </row>
    <row r="102" spans="2:19" ht="11.25" customHeight="1">
      <c r="B102" s="256">
        <v>45740</v>
      </c>
      <c r="C102" s="144" t="s">
        <v>73</v>
      </c>
      <c r="D102" s="149"/>
      <c r="E102" s="145">
        <v>53</v>
      </c>
      <c r="F102" s="253" t="s">
        <v>25</v>
      </c>
      <c r="G102" s="82"/>
      <c r="H102" s="187"/>
      <c r="I102" s="180"/>
      <c r="J102" s="187"/>
      <c r="K102" s="146">
        <v>300</v>
      </c>
      <c r="L102" s="79" t="e">
        <f>#REF!</f>
        <v>#REF!</v>
      </c>
      <c r="M102" s="294" t="e">
        <f t="shared" si="15"/>
        <v>#REF!</v>
      </c>
      <c r="N102" s="153" t="e">
        <f t="shared" si="13"/>
        <v>#REF!</v>
      </c>
      <c r="O102" s="153" t="e">
        <f t="shared" si="14"/>
        <v>#REF!</v>
      </c>
      <c r="P102" s="140" t="s">
        <v>126</v>
      </c>
      <c r="Q102" s="92"/>
      <c r="R102" s="140" t="s">
        <v>183</v>
      </c>
      <c r="S102" s="129" t="e">
        <f t="shared" si="12"/>
        <v>#REF!</v>
      </c>
    </row>
    <row r="103" spans="2:19" ht="11.25" customHeight="1">
      <c r="B103" s="256">
        <v>45740</v>
      </c>
      <c r="C103" s="144" t="s">
        <v>77</v>
      </c>
      <c r="D103" s="149"/>
      <c r="E103" s="145">
        <v>53</v>
      </c>
      <c r="F103" s="253" t="s">
        <v>25</v>
      </c>
      <c r="G103" s="82"/>
      <c r="H103" s="187"/>
      <c r="I103" s="180"/>
      <c r="J103" s="187"/>
      <c r="K103" s="146">
        <v>1000</v>
      </c>
      <c r="L103" s="79" t="e">
        <f>#REF!</f>
        <v>#REF!</v>
      </c>
      <c r="M103" s="294" t="e">
        <f t="shared" si="15"/>
        <v>#REF!</v>
      </c>
      <c r="N103" s="153" t="e">
        <f t="shared" si="13"/>
        <v>#REF!</v>
      </c>
      <c r="O103" s="153" t="e">
        <f t="shared" si="14"/>
        <v>#REF!</v>
      </c>
      <c r="P103" s="140" t="s">
        <v>126</v>
      </c>
      <c r="Q103" s="92"/>
      <c r="R103" s="140" t="s">
        <v>183</v>
      </c>
      <c r="S103" s="129" t="e">
        <f t="shared" si="12"/>
        <v>#REF!</v>
      </c>
    </row>
    <row r="104" spans="2:19" ht="11.25" customHeight="1">
      <c r="B104" s="256">
        <v>45740</v>
      </c>
      <c r="C104" s="144" t="s">
        <v>41</v>
      </c>
      <c r="D104" s="149"/>
      <c r="E104" s="145">
        <v>54</v>
      </c>
      <c r="F104" s="253" t="s">
        <v>25</v>
      </c>
      <c r="G104" s="82"/>
      <c r="H104" s="187"/>
      <c r="I104" s="180"/>
      <c r="J104" s="187"/>
      <c r="K104" s="146">
        <v>12</v>
      </c>
      <c r="L104" s="79" t="e">
        <f>#REF!</f>
        <v>#REF!</v>
      </c>
      <c r="M104" s="294" t="e">
        <f t="shared" si="15"/>
        <v>#REF!</v>
      </c>
      <c r="N104" s="138" t="e">
        <f t="shared" si="13"/>
        <v>#REF!</v>
      </c>
      <c r="O104" s="138" t="e">
        <f t="shared" si="14"/>
        <v>#REF!</v>
      </c>
      <c r="P104" s="140" t="s">
        <v>126</v>
      </c>
      <c r="Q104" s="92"/>
      <c r="R104" s="92"/>
      <c r="S104" s="287" t="e">
        <f t="shared" si="12"/>
        <v>#REF!</v>
      </c>
    </row>
    <row r="105" spans="2:19" ht="11.25" customHeight="1">
      <c r="M105" s="118"/>
    </row>
    <row r="106" spans="2:19" ht="11.25" customHeight="1">
      <c r="M106" s="118"/>
    </row>
  </sheetData>
  <autoFilter ref="B18:R104" xr:uid="{00000000-0009-0000-0000-000001000000}">
    <filterColumn colId="14" showButton="0"/>
    <sortState xmlns:xlrd2="http://schemas.microsoft.com/office/spreadsheetml/2017/richdata2" ref="B19:R104">
      <sortCondition sortBy="cellColor" ref="M18:M104" dxfId="5"/>
    </sortState>
  </autoFilter>
  <mergeCells count="5">
    <mergeCell ref="H17:J17"/>
    <mergeCell ref="K17:M17"/>
    <mergeCell ref="N17:O17"/>
    <mergeCell ref="P17:Q17"/>
    <mergeCell ref="P18:Q18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5B26-74E3-42DD-8E91-4C195E9DC0DB}">
  <sheetPr filterMode="1">
    <tabColor rgb="FFFFC000"/>
  </sheetPr>
  <dimension ref="A1:AC106"/>
  <sheetViews>
    <sheetView showGridLines="0" zoomScaleNormal="100" workbookViewId="0">
      <pane ySplit="19" topLeftCell="A20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61" customWidth="1"/>
    <col min="4" max="4" width="9.75" style="25" customWidth="1"/>
    <col min="5" max="5" width="12.125" style="25" customWidth="1"/>
    <col min="6" max="6" width="12.5" style="25" customWidth="1"/>
    <col min="7" max="7" width="9.875" style="37" customWidth="1"/>
    <col min="8" max="8" width="9.75" style="25" customWidth="1"/>
    <col min="9" max="9" width="9.875" style="25" customWidth="1"/>
    <col min="10" max="10" width="10.5" style="37" customWidth="1"/>
    <col min="11" max="11" width="11" style="131" customWidth="1"/>
    <col min="12" max="12" width="11.125" style="25" customWidth="1"/>
    <col min="13" max="13" width="9.75" style="25" customWidth="1"/>
    <col min="14" max="14" width="12.375" style="25" customWidth="1"/>
    <col min="15" max="15" width="9.875" style="25" customWidth="1"/>
    <col min="16" max="16" width="10.75" style="25" customWidth="1"/>
    <col min="17" max="17" width="9.625" style="25" customWidth="1"/>
    <col min="18" max="18" width="31.5" style="37" customWidth="1"/>
    <col min="19" max="19" width="10.5" style="39" bestFit="1" customWidth="1"/>
    <col min="20" max="20" width="9" style="25"/>
    <col min="21" max="21" width="9" style="83"/>
    <col min="22" max="16384" width="9" style="25"/>
  </cols>
  <sheetData>
    <row r="1" spans="1:29" ht="4.5" customHeight="1">
      <c r="A1" s="14"/>
      <c r="B1" s="15"/>
      <c r="C1" s="267"/>
      <c r="D1" s="16"/>
      <c r="E1" s="17"/>
      <c r="F1" s="17"/>
      <c r="G1" s="18"/>
      <c r="H1" s="17"/>
      <c r="I1" s="17"/>
      <c r="J1" s="19"/>
      <c r="K1" s="273"/>
      <c r="L1" s="20"/>
      <c r="M1" s="21"/>
      <c r="N1" s="21"/>
      <c r="O1" s="16"/>
      <c r="P1" s="22"/>
      <c r="Q1" s="22"/>
      <c r="R1" s="23"/>
      <c r="S1" s="24"/>
    </row>
    <row r="2" spans="1:29" ht="15" customHeight="1">
      <c r="B2" s="254" t="s">
        <v>186</v>
      </c>
      <c r="D2" s="61"/>
      <c r="F2" s="205"/>
      <c r="G2" s="37" t="s">
        <v>89</v>
      </c>
      <c r="H2" s="206" t="s">
        <v>154</v>
      </c>
      <c r="I2" s="64"/>
      <c r="J2" s="64"/>
      <c r="K2" s="274"/>
      <c r="L2" s="64"/>
      <c r="M2" s="64"/>
      <c r="N2" s="112"/>
      <c r="O2" s="207"/>
      <c r="Q2" s="208"/>
    </row>
    <row r="3" spans="1:29" s="31" customFormat="1" ht="11.25" customHeight="1">
      <c r="A3" s="26"/>
      <c r="B3" s="27" t="s">
        <v>179</v>
      </c>
      <c r="C3" s="28"/>
      <c r="D3" s="28"/>
      <c r="E3" s="28"/>
      <c r="F3" s="184">
        <v>1446.3</v>
      </c>
      <c r="G3" s="30"/>
      <c r="H3" s="27" t="s">
        <v>187</v>
      </c>
      <c r="I3" s="28"/>
      <c r="K3" s="275"/>
      <c r="L3" s="184">
        <v>1482.9</v>
      </c>
      <c r="N3" s="27"/>
      <c r="O3" s="27"/>
      <c r="P3" s="27"/>
      <c r="Q3" s="27"/>
      <c r="R3" s="27"/>
      <c r="T3" s="27"/>
      <c r="U3" s="28"/>
      <c r="V3" s="29"/>
      <c r="W3" s="29"/>
      <c r="X3" s="107">
        <v>1327.2</v>
      </c>
    </row>
    <row r="4" spans="1:29" ht="11.25" customHeight="1">
      <c r="A4" s="14"/>
      <c r="B4" s="32" t="s">
        <v>0</v>
      </c>
      <c r="C4" s="268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27"/>
      <c r="O4" s="27"/>
      <c r="P4" s="27"/>
      <c r="Q4" s="27"/>
      <c r="R4" s="27"/>
      <c r="U4" s="25"/>
    </row>
    <row r="5" spans="1:29" ht="11.25" customHeight="1">
      <c r="A5" s="39">
        <v>51131050</v>
      </c>
      <c r="B5" s="40" t="s">
        <v>93</v>
      </c>
      <c r="C5" s="41" t="s">
        <v>3</v>
      </c>
      <c r="D5" s="47"/>
      <c r="E5" s="43"/>
      <c r="F5" s="44">
        <f>ROUND(E5*$F$3,0)</f>
        <v>0</v>
      </c>
      <c r="G5" s="45"/>
      <c r="H5" s="46" t="s">
        <v>2</v>
      </c>
      <c r="I5" s="46" t="s">
        <v>3</v>
      </c>
      <c r="J5" s="103">
        <v>19195.400000000001</v>
      </c>
      <c r="K5" s="276">
        <v>2619.0300000000002</v>
      </c>
      <c r="L5" s="93">
        <f>ROUND(K5*$L$3,0)</f>
        <v>3883760</v>
      </c>
      <c r="M5" s="117">
        <f>L5+F5</f>
        <v>3883760</v>
      </c>
      <c r="N5" s="27"/>
      <c r="O5" s="27"/>
      <c r="P5" s="27"/>
      <c r="Q5" s="27"/>
      <c r="R5" s="27"/>
      <c r="S5" s="237">
        <f>F5+L5+R5</f>
        <v>3883760</v>
      </c>
      <c r="U5" s="25"/>
    </row>
    <row r="6" spans="1:29" ht="11.25" customHeight="1">
      <c r="A6" s="39">
        <v>51061030</v>
      </c>
      <c r="B6" s="40" t="s">
        <v>94</v>
      </c>
      <c r="C6" s="41" t="s">
        <v>95</v>
      </c>
      <c r="D6" s="47"/>
      <c r="E6" s="47"/>
      <c r="F6" s="44">
        <f t="shared" ref="F6:F12" si="0">ROUND(E6*$F$3,0)</f>
        <v>0</v>
      </c>
      <c r="G6" s="48"/>
      <c r="H6" s="46" t="s">
        <v>4</v>
      </c>
      <c r="I6" s="46" t="s">
        <v>5</v>
      </c>
      <c r="J6" s="103">
        <v>30648.809999999998</v>
      </c>
      <c r="K6" s="276">
        <v>4181.74</v>
      </c>
      <c r="L6" s="93">
        <f t="shared" ref="L6:L12" si="1">ROUND(K6*$L$3,0)</f>
        <v>6201102</v>
      </c>
      <c r="M6" s="117">
        <f t="shared" ref="M6:M13" si="2">L6+F6</f>
        <v>6201102</v>
      </c>
      <c r="N6" s="27"/>
      <c r="O6" s="27"/>
      <c r="P6" s="27"/>
      <c r="Q6" s="27"/>
      <c r="R6" s="27"/>
      <c r="S6" s="237">
        <f t="shared" ref="S6:S13" si="3">F6+L6+R6</f>
        <v>6201102</v>
      </c>
      <c r="U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142.16999999999999</v>
      </c>
      <c r="E7" s="47">
        <v>19.7</v>
      </c>
      <c r="F7" s="44">
        <f t="shared" si="0"/>
        <v>28492</v>
      </c>
      <c r="G7" s="49"/>
      <c r="H7" s="46" t="s">
        <v>6</v>
      </c>
      <c r="I7" s="46" t="s">
        <v>96</v>
      </c>
      <c r="J7" s="104">
        <v>24914.83</v>
      </c>
      <c r="K7" s="277">
        <v>3399.39</v>
      </c>
      <c r="L7" s="93">
        <f t="shared" si="1"/>
        <v>5040955</v>
      </c>
      <c r="M7" s="117">
        <f t="shared" si="2"/>
        <v>5069447</v>
      </c>
      <c r="N7" s="27"/>
      <c r="O7" s="27"/>
      <c r="P7" s="27"/>
      <c r="Q7" s="27"/>
      <c r="R7" s="27"/>
      <c r="S7" s="237">
        <f t="shared" si="3"/>
        <v>5069447</v>
      </c>
      <c r="U7" s="25"/>
    </row>
    <row r="8" spans="1:29" ht="15" customHeight="1">
      <c r="A8" s="39">
        <v>51201030</v>
      </c>
      <c r="B8" s="40" t="s">
        <v>97</v>
      </c>
      <c r="C8" s="41" t="s">
        <v>7</v>
      </c>
      <c r="D8" s="47"/>
      <c r="E8" s="47"/>
      <c r="F8" s="44">
        <f t="shared" si="0"/>
        <v>0</v>
      </c>
      <c r="G8" s="49"/>
      <c r="H8" s="46" t="s">
        <v>6</v>
      </c>
      <c r="I8" s="41" t="s">
        <v>7</v>
      </c>
      <c r="J8" s="104">
        <v>17500</v>
      </c>
      <c r="K8" s="277">
        <v>2387.71</v>
      </c>
      <c r="L8" s="93">
        <f t="shared" si="1"/>
        <v>3540735</v>
      </c>
      <c r="M8" s="117">
        <f t="shared" si="2"/>
        <v>3540735</v>
      </c>
      <c r="N8" s="27"/>
      <c r="O8" s="27"/>
      <c r="P8" s="27"/>
      <c r="Q8" s="27"/>
      <c r="R8" s="27"/>
      <c r="S8" s="237">
        <f t="shared" si="3"/>
        <v>3540735</v>
      </c>
      <c r="U8" s="25"/>
    </row>
    <row r="9" spans="1:29" ht="11.25" customHeight="1">
      <c r="A9" s="39">
        <v>51071700</v>
      </c>
      <c r="B9" s="40" t="s">
        <v>8</v>
      </c>
      <c r="C9" s="41" t="s">
        <v>9</v>
      </c>
      <c r="D9" s="47"/>
      <c r="E9" s="47"/>
      <c r="F9" s="44">
        <f t="shared" si="0"/>
        <v>0</v>
      </c>
      <c r="G9" s="50"/>
      <c r="H9" s="46" t="s">
        <v>8</v>
      </c>
      <c r="I9" s="41" t="s">
        <v>9</v>
      </c>
      <c r="J9" s="104">
        <v>1469.1</v>
      </c>
      <c r="K9" s="277">
        <v>200.44</v>
      </c>
      <c r="L9" s="93">
        <f t="shared" si="1"/>
        <v>297232</v>
      </c>
      <c r="M9" s="117">
        <f t="shared" si="2"/>
        <v>297232</v>
      </c>
      <c r="N9" s="27"/>
      <c r="O9" s="27"/>
      <c r="P9" s="27"/>
      <c r="Q9" s="27"/>
      <c r="R9" s="27"/>
      <c r="S9" s="237">
        <f t="shared" si="3"/>
        <v>297232</v>
      </c>
      <c r="U9" s="25"/>
    </row>
    <row r="10" spans="1:29" ht="11.25" customHeight="1">
      <c r="A10" s="39">
        <v>51321010</v>
      </c>
      <c r="B10" s="40" t="s">
        <v>10</v>
      </c>
      <c r="C10" s="41"/>
      <c r="D10" s="47">
        <v>52250.879999999997</v>
      </c>
      <c r="E10" s="47">
        <v>7239.17</v>
      </c>
      <c r="F10" s="44">
        <f t="shared" si="0"/>
        <v>10470012</v>
      </c>
      <c r="G10" s="51"/>
      <c r="H10" s="46" t="s">
        <v>10</v>
      </c>
      <c r="I10" s="46"/>
      <c r="J10" s="103">
        <v>265516.81</v>
      </c>
      <c r="K10" s="276">
        <v>36252.26</v>
      </c>
      <c r="L10" s="93">
        <f t="shared" si="1"/>
        <v>53758476</v>
      </c>
      <c r="M10" s="117">
        <f t="shared" si="2"/>
        <v>64228488</v>
      </c>
      <c r="N10" s="27"/>
      <c r="O10" s="27"/>
      <c r="P10" s="27"/>
      <c r="Q10" s="27"/>
      <c r="R10" s="27"/>
      <c r="S10" s="237">
        <f t="shared" si="3"/>
        <v>64228488</v>
      </c>
      <c r="U10" s="25"/>
      <c r="AB10" s="64"/>
      <c r="AC10" s="37"/>
    </row>
    <row r="11" spans="1:29" ht="11.25" customHeight="1">
      <c r="A11" s="39">
        <v>51031020</v>
      </c>
      <c r="B11" s="52" t="s">
        <v>98</v>
      </c>
      <c r="C11" s="269" t="s">
        <v>99</v>
      </c>
      <c r="D11" s="52"/>
      <c r="E11" s="52"/>
      <c r="F11" s="54"/>
      <c r="G11" s="55">
        <f>G13/G12</f>
        <v>1446.3000439462342</v>
      </c>
      <c r="H11" s="52" t="s">
        <v>98</v>
      </c>
      <c r="I11" s="52" t="s">
        <v>130</v>
      </c>
      <c r="J11" s="56"/>
      <c r="K11" s="278"/>
      <c r="L11" s="119">
        <f t="shared" si="1"/>
        <v>0</v>
      </c>
      <c r="M11" s="117">
        <f t="shared" si="2"/>
        <v>0</v>
      </c>
      <c r="N11" s="27"/>
      <c r="O11" s="113"/>
      <c r="P11" s="113"/>
      <c r="Q11" s="113"/>
      <c r="R11" s="27"/>
      <c r="S11" s="237">
        <f t="shared" si="3"/>
        <v>0</v>
      </c>
      <c r="U11" s="25"/>
      <c r="AB11" s="64"/>
      <c r="AC11" s="37"/>
    </row>
    <row r="12" spans="1:29" ht="11.25" customHeight="1">
      <c r="A12" s="39">
        <v>52981010</v>
      </c>
      <c r="B12" s="46" t="s">
        <v>100</v>
      </c>
      <c r="C12" s="41" t="s">
        <v>101</v>
      </c>
      <c r="D12" s="151"/>
      <c r="E12" s="47"/>
      <c r="F12" s="44">
        <f t="shared" si="0"/>
        <v>0</v>
      </c>
      <c r="G12" s="57">
        <f>E13+Q13+AB13</f>
        <v>7258.87</v>
      </c>
      <c r="H12" s="46" t="s">
        <v>100</v>
      </c>
      <c r="I12" s="46" t="s">
        <v>101</v>
      </c>
      <c r="J12" s="42"/>
      <c r="K12" s="279"/>
      <c r="L12" s="93">
        <f t="shared" si="1"/>
        <v>0</v>
      </c>
      <c r="M12" s="117">
        <f t="shared" si="2"/>
        <v>0</v>
      </c>
      <c r="N12" s="27"/>
      <c r="O12" s="113"/>
      <c r="P12" s="113"/>
      <c r="Q12" s="113"/>
      <c r="R12" s="27"/>
      <c r="S12" s="237">
        <f t="shared" si="3"/>
        <v>0</v>
      </c>
      <c r="U12" s="25"/>
      <c r="AB12" s="64"/>
      <c r="AC12" s="37"/>
    </row>
    <row r="13" spans="1:29" s="37" customFormat="1" ht="11.25" customHeight="1">
      <c r="A13" s="124"/>
      <c r="B13" s="125" t="s">
        <v>11</v>
      </c>
      <c r="C13" s="270"/>
      <c r="D13" s="58">
        <f>SUM(D5:D11)-D12</f>
        <v>52393.049999999996</v>
      </c>
      <c r="E13" s="290">
        <f>SUM(E5:E11)-E12</f>
        <v>7258.87</v>
      </c>
      <c r="F13" s="127">
        <f>SUM(F5:F11)-F12</f>
        <v>10498504</v>
      </c>
      <c r="G13" s="59">
        <f>F13+R13+AC13</f>
        <v>10498504</v>
      </c>
      <c r="H13" s="125" t="s">
        <v>11</v>
      </c>
      <c r="I13" s="126"/>
      <c r="J13" s="58">
        <f>SUM(J5:J11)-J12</f>
        <v>359244.95</v>
      </c>
      <c r="K13" s="38">
        <f>SUM(K5:K11)-K12</f>
        <v>49040.57</v>
      </c>
      <c r="L13" s="127">
        <f>SUM(L5:L11)-L12</f>
        <v>72722260</v>
      </c>
      <c r="M13" s="130">
        <f t="shared" si="2"/>
        <v>83220764</v>
      </c>
      <c r="N13" s="27"/>
      <c r="O13" s="113"/>
      <c r="P13" s="113"/>
      <c r="Q13" s="113"/>
      <c r="R13" s="27"/>
      <c r="S13" s="237">
        <f t="shared" si="3"/>
        <v>83220764</v>
      </c>
      <c r="U13" s="116"/>
      <c r="X13" s="113">
        <f>F13+R13</f>
        <v>10498504</v>
      </c>
      <c r="Y13" s="128"/>
      <c r="Z13" s="131"/>
      <c r="AB13" s="65"/>
    </row>
    <row r="14" spans="1:29" ht="14.25" customHeight="1">
      <c r="A14" s="14"/>
      <c r="D14" s="289"/>
      <c r="E14" s="289"/>
      <c r="F14" s="291"/>
      <c r="G14" s="63"/>
      <c r="J14" s="154">
        <f>J13+D13+P13</f>
        <v>411638</v>
      </c>
      <c r="K14" s="280">
        <f>K13+E13+Q13</f>
        <v>56299.44</v>
      </c>
      <c r="L14" s="133">
        <f>L13+F13+R13</f>
        <v>83220764</v>
      </c>
      <c r="M14" s="122" t="e">
        <f>M16-E12</f>
        <v>#REF!</v>
      </c>
      <c r="N14" s="27"/>
      <c r="O14" s="113"/>
      <c r="P14" s="113"/>
      <c r="Q14" s="113"/>
      <c r="R14" s="27"/>
      <c r="X14" s="64"/>
      <c r="Y14" s="64"/>
      <c r="AB14" s="64"/>
      <c r="AC14" s="37"/>
    </row>
    <row r="15" spans="1:29" ht="14.25" customHeight="1">
      <c r="A15" s="14"/>
      <c r="D15" s="289"/>
      <c r="E15" s="289"/>
      <c r="F15" s="289"/>
      <c r="G15" s="63"/>
      <c r="J15" s="122" t="e">
        <f>J16-#REF!</f>
        <v>#REF!</v>
      </c>
      <c r="K15" s="122" t="e">
        <f>K16-#REF!</f>
        <v>#REF!</v>
      </c>
      <c r="L15" s="122" t="e">
        <f>L16-#REF!</f>
        <v>#REF!</v>
      </c>
      <c r="M15" s="122" t="e">
        <f>M16-#REF!</f>
        <v>#REF!</v>
      </c>
      <c r="O15" s="113"/>
      <c r="P15" s="113"/>
      <c r="Q15" s="113"/>
      <c r="R15" s="114"/>
      <c r="X15" s="64"/>
      <c r="Y15" s="64"/>
      <c r="AB15" s="64"/>
      <c r="AC15" s="37"/>
    </row>
    <row r="16" spans="1:29" ht="18.75" customHeight="1">
      <c r="A16" s="14"/>
      <c r="D16" s="61"/>
      <c r="E16" s="62"/>
      <c r="F16" s="62"/>
      <c r="G16" s="63"/>
      <c r="I16" s="64"/>
      <c r="J16" s="65"/>
      <c r="K16" s="281">
        <f>SUBTOTAL(9,K19:K105)</f>
        <v>123285</v>
      </c>
      <c r="L16" s="210"/>
      <c r="M16" s="281" t="e">
        <f>SUBTOTAL(9,M19:M105)</f>
        <v>#REF!</v>
      </c>
      <c r="N16" s="64"/>
      <c r="Q16" s="64"/>
    </row>
    <row r="17" spans="1:29" ht="11.25" customHeight="1">
      <c r="A17" s="14"/>
      <c r="B17" s="239" t="s">
        <v>12</v>
      </c>
      <c r="C17" s="271" t="s">
        <v>13</v>
      </c>
      <c r="D17" s="240" t="s">
        <v>102</v>
      </c>
      <c r="E17" s="241" t="s">
        <v>14</v>
      </c>
      <c r="F17" s="240" t="s">
        <v>0</v>
      </c>
      <c r="G17" s="242" t="s">
        <v>1</v>
      </c>
      <c r="H17" s="634" t="s">
        <v>15</v>
      </c>
      <c r="I17" s="634"/>
      <c r="J17" s="634"/>
      <c r="K17" s="634" t="s">
        <v>16</v>
      </c>
      <c r="L17" s="634"/>
      <c r="M17" s="635"/>
      <c r="N17" s="636" t="s">
        <v>17</v>
      </c>
      <c r="O17" s="636"/>
      <c r="P17" s="637"/>
      <c r="Q17" s="637"/>
      <c r="R17" s="242" t="s">
        <v>103</v>
      </c>
    </row>
    <row r="18" spans="1:29" ht="11.25" customHeight="1">
      <c r="A18" s="14"/>
      <c r="B18" s="243" t="s">
        <v>104</v>
      </c>
      <c r="C18" s="272" t="s">
        <v>105</v>
      </c>
      <c r="D18" s="244" t="s">
        <v>106</v>
      </c>
      <c r="E18" s="245" t="s">
        <v>107</v>
      </c>
      <c r="F18" s="244" t="s">
        <v>108</v>
      </c>
      <c r="G18" s="246" t="s">
        <v>109</v>
      </c>
      <c r="H18" s="247" t="s">
        <v>110</v>
      </c>
      <c r="I18" s="247" t="s">
        <v>111</v>
      </c>
      <c r="J18" s="248" t="s">
        <v>19</v>
      </c>
      <c r="K18" s="248" t="s">
        <v>110</v>
      </c>
      <c r="L18" s="247" t="s">
        <v>111</v>
      </c>
      <c r="M18" s="286" t="s">
        <v>19</v>
      </c>
      <c r="N18" s="249" t="s">
        <v>110</v>
      </c>
      <c r="O18" s="249" t="s">
        <v>19</v>
      </c>
      <c r="P18" s="638" t="s">
        <v>18</v>
      </c>
      <c r="Q18" s="638"/>
      <c r="R18" s="246" t="s">
        <v>103</v>
      </c>
    </row>
    <row r="19" spans="1:29" ht="11.25" hidden="1" customHeight="1">
      <c r="B19" s="94">
        <v>45747</v>
      </c>
      <c r="C19" s="96"/>
      <c r="D19" s="95"/>
      <c r="E19" s="96"/>
      <c r="F19" s="121"/>
      <c r="G19" s="97"/>
      <c r="H19" s="98"/>
      <c r="I19" s="95"/>
      <c r="J19" s="97"/>
      <c r="K19" s="308"/>
      <c r="L19" s="99"/>
      <c r="M19" s="135"/>
      <c r="N19" s="136">
        <v>52366.410000000564</v>
      </c>
      <c r="O19" s="136">
        <v>7258.8679692091628</v>
      </c>
      <c r="P19" s="137"/>
      <c r="Q19" s="96"/>
      <c r="R19" s="101"/>
      <c r="S19" s="115">
        <v>7258.866444387002</v>
      </c>
    </row>
    <row r="20" spans="1:29" s="83" customFormat="1" ht="12" hidden="1" customHeight="1">
      <c r="A20" s="80"/>
      <c r="B20" s="256">
        <v>45757</v>
      </c>
      <c r="C20" s="298" t="s">
        <v>188</v>
      </c>
      <c r="D20" s="407"/>
      <c r="E20" s="145">
        <v>1</v>
      </c>
      <c r="F20" s="187" t="s">
        <v>25</v>
      </c>
      <c r="G20" s="187"/>
      <c r="H20" s="187"/>
      <c r="I20" s="187"/>
      <c r="J20" s="187"/>
      <c r="K20" s="309">
        <v>52250.879999999997</v>
      </c>
      <c r="L20" s="79" t="e">
        <f>#REF!</f>
        <v>#REF!</v>
      </c>
      <c r="M20" s="294" t="e">
        <f>K20/L20</f>
        <v>#REF!</v>
      </c>
      <c r="N20" s="153">
        <f>N19+H20-K20</f>
        <v>115.53000000056636</v>
      </c>
      <c r="O20" s="153" t="e">
        <f>O19+J20-M20</f>
        <v>#REF!</v>
      </c>
      <c r="P20" s="140" t="s">
        <v>126</v>
      </c>
      <c r="Q20" s="92"/>
      <c r="R20" s="92"/>
      <c r="S20" s="129" t="e">
        <f>S19-M20+J20</f>
        <v>#REF!</v>
      </c>
      <c r="T20" s="25"/>
      <c r="V20" s="25"/>
      <c r="W20" s="25"/>
      <c r="X20" s="25"/>
      <c r="Y20" s="25"/>
      <c r="Z20" s="25"/>
      <c r="AA20" s="25"/>
      <c r="AB20" s="25"/>
      <c r="AC20" s="25"/>
    </row>
    <row r="21" spans="1:29" s="83" customFormat="1" ht="12" hidden="1" customHeight="1">
      <c r="A21" s="80"/>
      <c r="B21" s="295">
        <v>45757</v>
      </c>
      <c r="C21" s="299" t="s">
        <v>62</v>
      </c>
      <c r="D21" s="296"/>
      <c r="E21" s="143">
        <v>2</v>
      </c>
      <c r="F21" s="283"/>
      <c r="G21" s="283"/>
      <c r="H21" s="300">
        <v>404322.65</v>
      </c>
      <c r="I21" s="301"/>
      <c r="J21" s="300">
        <v>55191</v>
      </c>
      <c r="K21" s="310"/>
      <c r="L21" s="105"/>
      <c r="M21" s="164"/>
      <c r="N21" s="153">
        <f>N20+H21-K21</f>
        <v>404438.18000000058</v>
      </c>
      <c r="O21" s="153" t="e">
        <f>O20+J21-M21</f>
        <v>#REF!</v>
      </c>
      <c r="P21" s="152"/>
      <c r="Q21" s="106"/>
      <c r="R21" s="106"/>
      <c r="S21" s="129"/>
      <c r="T21" s="25"/>
      <c r="V21" s="25"/>
      <c r="W21" s="25"/>
      <c r="X21" s="25"/>
      <c r="Y21" s="25"/>
      <c r="Z21" s="25"/>
      <c r="AA21" s="25"/>
      <c r="AB21" s="25"/>
      <c r="AC21" s="25"/>
    </row>
    <row r="22" spans="1:29" s="83" customFormat="1" ht="12" hidden="1" customHeight="1">
      <c r="A22" s="80"/>
      <c r="B22" s="295">
        <v>45757</v>
      </c>
      <c r="C22" s="163" t="s">
        <v>41</v>
      </c>
      <c r="D22" s="296"/>
      <c r="E22" s="143"/>
      <c r="F22" s="283" t="s">
        <v>25</v>
      </c>
      <c r="G22" s="283"/>
      <c r="H22" s="300"/>
      <c r="I22" s="301"/>
      <c r="J22" s="300"/>
      <c r="K22" s="310"/>
      <c r="L22" s="105"/>
      <c r="M22" s="297">
        <v>25</v>
      </c>
      <c r="N22" s="153">
        <f>N21+H22-K22</f>
        <v>404438.18000000058</v>
      </c>
      <c r="O22" s="153" t="e">
        <f>O21+J22-M22</f>
        <v>#REF!</v>
      </c>
      <c r="P22" s="152" t="s">
        <v>201</v>
      </c>
      <c r="Q22" s="106"/>
      <c r="R22" s="106"/>
      <c r="S22" s="129"/>
      <c r="T22" s="25"/>
      <c r="V22" s="25"/>
      <c r="W22" s="25"/>
      <c r="X22" s="25"/>
      <c r="Y22" s="25"/>
      <c r="Z22" s="25"/>
      <c r="AA22" s="25"/>
      <c r="AB22" s="25"/>
      <c r="AC22" s="25"/>
    </row>
    <row r="23" spans="1:29" s="83" customFormat="1" ht="12" hidden="1" customHeight="1">
      <c r="A23" s="80"/>
      <c r="B23" s="256">
        <v>45762</v>
      </c>
      <c r="C23" s="177" t="s">
        <v>135</v>
      </c>
      <c r="D23" s="149"/>
      <c r="E23" s="145">
        <v>3</v>
      </c>
      <c r="F23" s="187" t="s">
        <v>24</v>
      </c>
      <c r="G23" s="187" t="s">
        <v>117</v>
      </c>
      <c r="H23" s="187"/>
      <c r="I23" s="187"/>
      <c r="J23" s="187"/>
      <c r="K23" s="284" t="e">
        <f>L23*M23</f>
        <v>#REF!</v>
      </c>
      <c r="L23" s="79" t="e">
        <f>#REF!</f>
        <v>#REF!</v>
      </c>
      <c r="M23" s="294">
        <v>19.696706274948156</v>
      </c>
      <c r="N23" s="153" t="e">
        <f>N22+H23-K23</f>
        <v>#REF!</v>
      </c>
      <c r="O23" s="153" t="e">
        <f>O22+J23-M23</f>
        <v>#REF!</v>
      </c>
      <c r="P23" s="140" t="s">
        <v>126</v>
      </c>
      <c r="Q23" s="92"/>
      <c r="R23" s="92"/>
      <c r="S23" s="129"/>
      <c r="T23" s="25"/>
      <c r="V23" s="25"/>
      <c r="W23" s="25"/>
      <c r="X23" s="25"/>
      <c r="Y23" s="25"/>
      <c r="Z23" s="25"/>
      <c r="AA23" s="25"/>
      <c r="AB23" s="25"/>
      <c r="AC23" s="25"/>
    </row>
    <row r="24" spans="1:29" s="83" customFormat="1" ht="12" hidden="1" customHeight="1">
      <c r="A24" s="80"/>
      <c r="B24" s="256">
        <v>45762</v>
      </c>
      <c r="C24" s="177" t="s">
        <v>135</v>
      </c>
      <c r="D24" s="149"/>
      <c r="E24" s="145">
        <v>3</v>
      </c>
      <c r="F24" s="187" t="s">
        <v>24</v>
      </c>
      <c r="G24" s="187" t="s">
        <v>117</v>
      </c>
      <c r="H24" s="187"/>
      <c r="I24" s="187"/>
      <c r="J24" s="187"/>
      <c r="K24" s="284" t="e">
        <f>25057-K23</f>
        <v>#REF!</v>
      </c>
      <c r="L24" s="79" t="e">
        <f>#REF!</f>
        <v>#REF!</v>
      </c>
      <c r="M24" s="297" t="e">
        <f>K24/L24</f>
        <v>#REF!</v>
      </c>
      <c r="N24" s="153" t="e">
        <f t="shared" ref="N24:N87" si="4">N23+H24-K24</f>
        <v>#REF!</v>
      </c>
      <c r="O24" s="153" t="e">
        <f t="shared" ref="O24:O87" si="5">O23+J24-M24</f>
        <v>#REF!</v>
      </c>
      <c r="P24" s="140" t="s">
        <v>201</v>
      </c>
      <c r="Q24" s="92"/>
      <c r="R24" s="303"/>
      <c r="S24" s="129" t="e">
        <f>55166-M24</f>
        <v>#REF!</v>
      </c>
      <c r="T24" s="25"/>
      <c r="V24" s="25"/>
      <c r="W24" s="25"/>
      <c r="X24" s="25"/>
      <c r="Y24" s="25"/>
      <c r="Z24" s="25"/>
      <c r="AA24" s="25"/>
      <c r="AB24" s="25"/>
      <c r="AC24" s="25"/>
    </row>
    <row r="25" spans="1:29" s="83" customFormat="1" ht="12" hidden="1" customHeight="1">
      <c r="A25" s="80"/>
      <c r="B25" s="256">
        <v>45762</v>
      </c>
      <c r="C25" s="144" t="s">
        <v>41</v>
      </c>
      <c r="D25" s="407"/>
      <c r="E25" s="145">
        <v>4</v>
      </c>
      <c r="F25" s="187" t="s">
        <v>25</v>
      </c>
      <c r="G25" s="187"/>
      <c r="H25" s="187"/>
      <c r="I25" s="187"/>
      <c r="J25" s="187"/>
      <c r="K25" s="309">
        <v>7.2</v>
      </c>
      <c r="L25" s="79" t="e">
        <f>#REF!</f>
        <v>#REF!</v>
      </c>
      <c r="M25" s="297" t="e">
        <f t="shared" ref="M25:M88" si="6">K25/L25</f>
        <v>#REF!</v>
      </c>
      <c r="N25" s="153" t="e">
        <f t="shared" si="4"/>
        <v>#REF!</v>
      </c>
      <c r="O25" s="153" t="e">
        <f t="shared" si="5"/>
        <v>#REF!</v>
      </c>
      <c r="P25" s="140" t="s">
        <v>201</v>
      </c>
      <c r="Q25" s="92"/>
      <c r="R25" s="303"/>
      <c r="S25" s="129" t="e">
        <f>S24-M25+J25</f>
        <v>#REF!</v>
      </c>
      <c r="T25" s="25"/>
      <c r="V25" s="25"/>
      <c r="W25" s="25"/>
      <c r="X25" s="25"/>
      <c r="Y25" s="25"/>
      <c r="Z25" s="25"/>
      <c r="AA25" s="25"/>
      <c r="AB25" s="25"/>
      <c r="AC25" s="25"/>
    </row>
    <row r="26" spans="1:29" s="83" customFormat="1" ht="12" hidden="1" customHeight="1">
      <c r="A26" s="80"/>
      <c r="B26" s="256">
        <v>45762</v>
      </c>
      <c r="C26" s="177" t="s">
        <v>127</v>
      </c>
      <c r="D26" s="149"/>
      <c r="E26" s="145">
        <v>5</v>
      </c>
      <c r="F26" s="253" t="s">
        <v>32</v>
      </c>
      <c r="G26" s="82" t="s">
        <v>33</v>
      </c>
      <c r="H26" s="187"/>
      <c r="I26" s="187"/>
      <c r="J26" s="187"/>
      <c r="K26" s="284">
        <v>1600</v>
      </c>
      <c r="L26" s="79" t="e">
        <f>#REF!</f>
        <v>#REF!</v>
      </c>
      <c r="M26" s="297" t="e">
        <f t="shared" si="6"/>
        <v>#REF!</v>
      </c>
      <c r="N26" s="153" t="e">
        <f t="shared" si="4"/>
        <v>#REF!</v>
      </c>
      <c r="O26" s="153" t="e">
        <f t="shared" si="5"/>
        <v>#REF!</v>
      </c>
      <c r="P26" s="140" t="s">
        <v>201</v>
      </c>
      <c r="Q26" s="92"/>
      <c r="R26" s="303"/>
      <c r="S26" s="129" t="e">
        <f t="shared" ref="S26:S89" si="7">S25-M26+J26</f>
        <v>#REF!</v>
      </c>
      <c r="T26" s="25"/>
      <c r="V26" s="25"/>
      <c r="W26" s="25"/>
      <c r="X26" s="25"/>
      <c r="Y26" s="25"/>
      <c r="Z26" s="25"/>
      <c r="AA26" s="25"/>
      <c r="AB26" s="25"/>
      <c r="AC26" s="25"/>
    </row>
    <row r="27" spans="1:29" s="83" customFormat="1" ht="12" hidden="1" customHeight="1">
      <c r="A27" s="80"/>
      <c r="B27" s="256">
        <v>45762</v>
      </c>
      <c r="C27" s="144" t="s">
        <v>41</v>
      </c>
      <c r="D27" s="407"/>
      <c r="E27" s="145">
        <v>6</v>
      </c>
      <c r="F27" s="187" t="s">
        <v>25</v>
      </c>
      <c r="G27" s="187"/>
      <c r="H27" s="187"/>
      <c r="I27" s="187"/>
      <c r="J27" s="187"/>
      <c r="K27" s="284">
        <v>3.6</v>
      </c>
      <c r="L27" s="79" t="e">
        <f>#REF!</f>
        <v>#REF!</v>
      </c>
      <c r="M27" s="297" t="e">
        <f t="shared" si="6"/>
        <v>#REF!</v>
      </c>
      <c r="N27" s="153" t="e">
        <f t="shared" si="4"/>
        <v>#REF!</v>
      </c>
      <c r="O27" s="153" t="e">
        <f t="shared" si="5"/>
        <v>#REF!</v>
      </c>
      <c r="P27" s="140" t="s">
        <v>201</v>
      </c>
      <c r="Q27" s="92"/>
      <c r="R27" s="303"/>
      <c r="S27" s="129" t="e">
        <f t="shared" si="7"/>
        <v>#REF!</v>
      </c>
      <c r="T27" s="25"/>
      <c r="V27" s="25"/>
      <c r="W27" s="25"/>
      <c r="X27" s="25"/>
      <c r="Y27" s="25"/>
      <c r="Z27" s="25"/>
      <c r="AA27" s="25"/>
      <c r="AB27" s="25"/>
      <c r="AC27" s="25"/>
    </row>
    <row r="28" spans="1:29" s="83" customFormat="1" ht="12" hidden="1" customHeight="1">
      <c r="A28" s="80"/>
      <c r="B28" s="256">
        <v>45768</v>
      </c>
      <c r="C28" s="177" t="s">
        <v>39</v>
      </c>
      <c r="D28" s="407"/>
      <c r="E28" s="145">
        <v>7</v>
      </c>
      <c r="F28" s="187" t="s">
        <v>25</v>
      </c>
      <c r="G28" s="187"/>
      <c r="H28" s="187"/>
      <c r="I28" s="187"/>
      <c r="J28" s="187"/>
      <c r="K28" s="284">
        <v>1010</v>
      </c>
      <c r="L28" s="79" t="e">
        <f>#REF!</f>
        <v>#REF!</v>
      </c>
      <c r="M28" s="297" t="e">
        <f t="shared" si="6"/>
        <v>#REF!</v>
      </c>
      <c r="N28" s="153" t="e">
        <f t="shared" si="4"/>
        <v>#REF!</v>
      </c>
      <c r="O28" s="153" t="e">
        <f t="shared" si="5"/>
        <v>#REF!</v>
      </c>
      <c r="P28" s="140" t="s">
        <v>201</v>
      </c>
      <c r="Q28" s="92"/>
      <c r="R28" s="303"/>
      <c r="S28" s="129" t="e">
        <f t="shared" si="7"/>
        <v>#REF!</v>
      </c>
      <c r="T28" s="25"/>
      <c r="V28" s="25"/>
      <c r="W28" s="25"/>
      <c r="X28" s="25"/>
      <c r="Y28" s="25"/>
      <c r="Z28" s="25"/>
      <c r="AA28" s="25"/>
      <c r="AB28" s="25"/>
      <c r="AC28" s="25"/>
    </row>
    <row r="29" spans="1:29" s="83" customFormat="1" ht="12" hidden="1" customHeight="1">
      <c r="A29" s="80"/>
      <c r="B29" s="256">
        <v>45768</v>
      </c>
      <c r="C29" s="144" t="s">
        <v>41</v>
      </c>
      <c r="D29" s="407"/>
      <c r="E29" s="145">
        <v>8</v>
      </c>
      <c r="F29" s="187" t="s">
        <v>25</v>
      </c>
      <c r="G29" s="187"/>
      <c r="H29" s="187"/>
      <c r="I29" s="187"/>
      <c r="J29" s="187"/>
      <c r="K29" s="284">
        <v>3.6</v>
      </c>
      <c r="L29" s="79" t="e">
        <f>#REF!</f>
        <v>#REF!</v>
      </c>
      <c r="M29" s="297" t="e">
        <f t="shared" si="6"/>
        <v>#REF!</v>
      </c>
      <c r="N29" s="153" t="e">
        <f t="shared" si="4"/>
        <v>#REF!</v>
      </c>
      <c r="O29" s="153" t="e">
        <f t="shared" si="5"/>
        <v>#REF!</v>
      </c>
      <c r="P29" s="140" t="s">
        <v>201</v>
      </c>
      <c r="Q29" s="92"/>
      <c r="R29" s="303"/>
      <c r="S29" s="129" t="e">
        <f t="shared" si="7"/>
        <v>#REF!</v>
      </c>
      <c r="T29" s="25"/>
      <c r="V29" s="25"/>
      <c r="W29" s="25"/>
      <c r="X29" s="25"/>
      <c r="Y29" s="25"/>
      <c r="Z29" s="25"/>
      <c r="AA29" s="25"/>
      <c r="AB29" s="25"/>
      <c r="AC29" s="25"/>
    </row>
    <row r="30" spans="1:29" s="37" customFormat="1" ht="11.25" hidden="1" customHeight="1">
      <c r="A30" s="80"/>
      <c r="B30" s="256">
        <v>45768</v>
      </c>
      <c r="C30" s="144" t="s">
        <v>51</v>
      </c>
      <c r="D30" s="149"/>
      <c r="E30" s="149">
        <v>9</v>
      </c>
      <c r="F30" s="253" t="s">
        <v>24</v>
      </c>
      <c r="G30" s="82" t="s">
        <v>38</v>
      </c>
      <c r="H30" s="150"/>
      <c r="I30" s="189"/>
      <c r="J30" s="189"/>
      <c r="K30" s="146">
        <v>10500</v>
      </c>
      <c r="L30" s="79" t="e">
        <f>#REF!</f>
        <v>#REF!</v>
      </c>
      <c r="M30" s="297" t="e">
        <f t="shared" si="6"/>
        <v>#REF!</v>
      </c>
      <c r="N30" s="153" t="e">
        <f t="shared" si="4"/>
        <v>#REF!</v>
      </c>
      <c r="O30" s="153" t="e">
        <f t="shared" si="5"/>
        <v>#REF!</v>
      </c>
      <c r="P30" s="140" t="s">
        <v>201</v>
      </c>
      <c r="Q30" s="92"/>
      <c r="R30" s="303"/>
      <c r="S30" s="129" t="e">
        <f t="shared" si="7"/>
        <v>#REF!</v>
      </c>
      <c r="T30" s="25"/>
      <c r="U30" s="83"/>
      <c r="V30" s="25"/>
      <c r="W30" s="25"/>
      <c r="X30" s="25"/>
      <c r="Y30" s="25"/>
      <c r="Z30" s="25"/>
      <c r="AA30" s="25"/>
      <c r="AB30" s="25"/>
      <c r="AC30" s="25"/>
    </row>
    <row r="31" spans="1:29" s="37" customFormat="1" ht="11.25" hidden="1" customHeight="1">
      <c r="A31" s="80"/>
      <c r="B31" s="256">
        <v>45768</v>
      </c>
      <c r="C31" s="144" t="s">
        <v>112</v>
      </c>
      <c r="D31" s="407"/>
      <c r="E31" s="149">
        <v>9</v>
      </c>
      <c r="F31" s="253" t="s">
        <v>25</v>
      </c>
      <c r="G31" s="82"/>
      <c r="H31" s="150"/>
      <c r="I31" s="189"/>
      <c r="J31" s="189"/>
      <c r="K31" s="146">
        <v>6000</v>
      </c>
      <c r="L31" s="79" t="e">
        <f>#REF!</f>
        <v>#REF!</v>
      </c>
      <c r="M31" s="297" t="e">
        <f t="shared" si="6"/>
        <v>#REF!</v>
      </c>
      <c r="N31" s="153" t="e">
        <f t="shared" si="4"/>
        <v>#REF!</v>
      </c>
      <c r="O31" s="153" t="e">
        <f t="shared" si="5"/>
        <v>#REF!</v>
      </c>
      <c r="P31" s="140" t="s">
        <v>201</v>
      </c>
      <c r="Q31" s="92"/>
      <c r="R31" s="303"/>
      <c r="S31" s="129" t="e">
        <f t="shared" si="7"/>
        <v>#REF!</v>
      </c>
      <c r="T31" s="25"/>
      <c r="U31" s="83"/>
      <c r="V31" s="25"/>
      <c r="W31" s="25"/>
      <c r="X31" s="25"/>
      <c r="Y31" s="25"/>
      <c r="Z31" s="25"/>
      <c r="AA31" s="25"/>
      <c r="AB31" s="25"/>
      <c r="AC31" s="25"/>
    </row>
    <row r="32" spans="1:29" s="37" customFormat="1" ht="11.25" hidden="1" customHeight="1">
      <c r="A32" s="80"/>
      <c r="B32" s="256">
        <v>45768</v>
      </c>
      <c r="C32" s="144" t="s">
        <v>113</v>
      </c>
      <c r="D32" s="407"/>
      <c r="E32" s="149">
        <v>9</v>
      </c>
      <c r="F32" s="253" t="s">
        <v>25</v>
      </c>
      <c r="G32" s="82"/>
      <c r="H32" s="150"/>
      <c r="I32" s="189"/>
      <c r="J32" s="189"/>
      <c r="K32" s="146">
        <v>470</v>
      </c>
      <c r="L32" s="79" t="e">
        <f>#REF!</f>
        <v>#REF!</v>
      </c>
      <c r="M32" s="297" t="e">
        <f t="shared" si="6"/>
        <v>#REF!</v>
      </c>
      <c r="N32" s="153" t="e">
        <f t="shared" si="4"/>
        <v>#REF!</v>
      </c>
      <c r="O32" s="153" t="e">
        <f t="shared" si="5"/>
        <v>#REF!</v>
      </c>
      <c r="P32" s="140" t="s">
        <v>201</v>
      </c>
      <c r="Q32" s="92"/>
      <c r="R32" s="303"/>
      <c r="S32" s="129" t="e">
        <f t="shared" si="7"/>
        <v>#REF!</v>
      </c>
      <c r="T32" s="25"/>
      <c r="U32" s="83"/>
      <c r="V32" s="25"/>
      <c r="W32" s="25"/>
      <c r="X32" s="25"/>
      <c r="Y32" s="25"/>
      <c r="Z32" s="25"/>
      <c r="AA32" s="25"/>
      <c r="AB32" s="25"/>
      <c r="AC32" s="25"/>
    </row>
    <row r="33" spans="1:29" s="37" customFormat="1" ht="11.25" hidden="1" customHeight="1">
      <c r="A33" s="80"/>
      <c r="B33" s="256">
        <v>45768</v>
      </c>
      <c r="C33" s="144" t="s">
        <v>51</v>
      </c>
      <c r="D33" s="149"/>
      <c r="E33" s="149">
        <v>9</v>
      </c>
      <c r="F33" s="253" t="s">
        <v>24</v>
      </c>
      <c r="G33" s="82" t="s">
        <v>38</v>
      </c>
      <c r="H33" s="150"/>
      <c r="I33" s="189"/>
      <c r="J33" s="189"/>
      <c r="K33" s="146">
        <v>7000</v>
      </c>
      <c r="L33" s="79" t="e">
        <f>#REF!</f>
        <v>#REF!</v>
      </c>
      <c r="M33" s="297" t="e">
        <f t="shared" si="6"/>
        <v>#REF!</v>
      </c>
      <c r="N33" s="153" t="e">
        <f t="shared" si="4"/>
        <v>#REF!</v>
      </c>
      <c r="O33" s="153" t="e">
        <f t="shared" si="5"/>
        <v>#REF!</v>
      </c>
      <c r="P33" s="140" t="s">
        <v>201</v>
      </c>
      <c r="Q33" s="92"/>
      <c r="R33" s="303"/>
      <c r="S33" s="129" t="e">
        <f t="shared" si="7"/>
        <v>#REF!</v>
      </c>
      <c r="T33" s="25"/>
      <c r="U33" s="83"/>
      <c r="V33" s="25"/>
      <c r="W33" s="25"/>
      <c r="X33" s="25"/>
      <c r="Y33" s="25"/>
      <c r="Z33" s="25"/>
      <c r="AA33" s="25"/>
      <c r="AB33" s="25"/>
      <c r="AC33" s="25"/>
    </row>
    <row r="34" spans="1:29" s="37" customFormat="1" ht="11.25" hidden="1" customHeight="1">
      <c r="A34" s="80"/>
      <c r="B34" s="256">
        <v>45768</v>
      </c>
      <c r="C34" s="144" t="s">
        <v>112</v>
      </c>
      <c r="D34" s="407"/>
      <c r="E34" s="149">
        <v>9</v>
      </c>
      <c r="F34" s="253" t="s">
        <v>25</v>
      </c>
      <c r="G34" s="82"/>
      <c r="H34" s="150"/>
      <c r="I34" s="189"/>
      <c r="J34" s="189"/>
      <c r="K34" s="146">
        <v>6000</v>
      </c>
      <c r="L34" s="79" t="e">
        <f>#REF!</f>
        <v>#REF!</v>
      </c>
      <c r="M34" s="297" t="e">
        <f t="shared" si="6"/>
        <v>#REF!</v>
      </c>
      <c r="N34" s="153" t="e">
        <f t="shared" si="4"/>
        <v>#REF!</v>
      </c>
      <c r="O34" s="153" t="e">
        <f t="shared" si="5"/>
        <v>#REF!</v>
      </c>
      <c r="P34" s="140" t="s">
        <v>201</v>
      </c>
      <c r="Q34" s="92"/>
      <c r="R34" s="303"/>
      <c r="S34" s="129" t="e">
        <f t="shared" si="7"/>
        <v>#REF!</v>
      </c>
      <c r="T34" s="25"/>
      <c r="U34" s="83"/>
      <c r="V34" s="25"/>
      <c r="W34" s="25"/>
      <c r="X34" s="25"/>
      <c r="Y34" s="25"/>
      <c r="Z34" s="25"/>
      <c r="AA34" s="25"/>
      <c r="AB34" s="25"/>
      <c r="AC34" s="25"/>
    </row>
    <row r="35" spans="1:29" s="37" customFormat="1" ht="11.25" hidden="1" customHeight="1">
      <c r="A35" s="80"/>
      <c r="B35" s="256">
        <v>45768</v>
      </c>
      <c r="C35" s="144" t="s">
        <v>113</v>
      </c>
      <c r="D35" s="407"/>
      <c r="E35" s="149">
        <v>9</v>
      </c>
      <c r="F35" s="253" t="s">
        <v>25</v>
      </c>
      <c r="G35" s="82"/>
      <c r="H35" s="150"/>
      <c r="I35" s="189"/>
      <c r="J35" s="189"/>
      <c r="K35" s="146">
        <v>400</v>
      </c>
      <c r="L35" s="79" t="e">
        <f>#REF!</f>
        <v>#REF!</v>
      </c>
      <c r="M35" s="297" t="e">
        <f t="shared" si="6"/>
        <v>#REF!</v>
      </c>
      <c r="N35" s="153" t="e">
        <f t="shared" si="4"/>
        <v>#REF!</v>
      </c>
      <c r="O35" s="153" t="e">
        <f t="shared" si="5"/>
        <v>#REF!</v>
      </c>
      <c r="P35" s="140" t="s">
        <v>201</v>
      </c>
      <c r="Q35" s="92"/>
      <c r="R35" s="303"/>
      <c r="S35" s="129" t="e">
        <f t="shared" si="7"/>
        <v>#REF!</v>
      </c>
      <c r="T35" s="25"/>
      <c r="U35" s="83"/>
      <c r="V35" s="25"/>
      <c r="W35" s="25"/>
      <c r="X35" s="25"/>
      <c r="Y35" s="25"/>
      <c r="Z35" s="25"/>
      <c r="AA35" s="25"/>
      <c r="AB35" s="25"/>
      <c r="AC35" s="25"/>
    </row>
    <row r="36" spans="1:29" s="37" customFormat="1" ht="11.25" hidden="1" customHeight="1">
      <c r="A36" s="80"/>
      <c r="B36" s="256">
        <v>45768</v>
      </c>
      <c r="C36" s="144" t="s">
        <v>41</v>
      </c>
      <c r="D36" s="407"/>
      <c r="E36" s="149">
        <v>10</v>
      </c>
      <c r="F36" s="253" t="s">
        <v>25</v>
      </c>
      <c r="G36" s="82"/>
      <c r="H36" s="150"/>
      <c r="I36" s="189"/>
      <c r="J36" s="189"/>
      <c r="K36" s="284">
        <v>7.2</v>
      </c>
      <c r="L36" s="79" t="e">
        <f>#REF!</f>
        <v>#REF!</v>
      </c>
      <c r="M36" s="297" t="e">
        <f t="shared" si="6"/>
        <v>#REF!</v>
      </c>
      <c r="N36" s="153" t="e">
        <f t="shared" si="4"/>
        <v>#REF!</v>
      </c>
      <c r="O36" s="153" t="e">
        <f t="shared" si="5"/>
        <v>#REF!</v>
      </c>
      <c r="P36" s="140" t="s">
        <v>201</v>
      </c>
      <c r="Q36" s="92"/>
      <c r="R36" s="303"/>
      <c r="S36" s="129" t="e">
        <f t="shared" si="7"/>
        <v>#REF!</v>
      </c>
      <c r="T36" s="25"/>
      <c r="U36" s="83"/>
      <c r="V36" s="25"/>
      <c r="W36" s="25"/>
      <c r="X36" s="25"/>
      <c r="Y36" s="25"/>
      <c r="Z36" s="25"/>
      <c r="AA36" s="25"/>
      <c r="AB36" s="25"/>
      <c r="AC36" s="25"/>
    </row>
    <row r="37" spans="1:29" s="37" customFormat="1" ht="11.25" hidden="1" customHeight="1">
      <c r="A37" s="80"/>
      <c r="B37" s="256">
        <v>45768</v>
      </c>
      <c r="C37" s="144" t="s">
        <v>170</v>
      </c>
      <c r="D37" s="302"/>
      <c r="E37" s="145">
        <v>11</v>
      </c>
      <c r="F37" s="187" t="s">
        <v>27</v>
      </c>
      <c r="G37" s="187" t="s">
        <v>30</v>
      </c>
      <c r="H37" s="187"/>
      <c r="I37" s="187"/>
      <c r="J37" s="187"/>
      <c r="K37" s="147">
        <v>418</v>
      </c>
      <c r="L37" s="79" t="e">
        <f>#REF!</f>
        <v>#REF!</v>
      </c>
      <c r="M37" s="297" t="e">
        <f t="shared" si="6"/>
        <v>#REF!</v>
      </c>
      <c r="N37" s="153" t="e">
        <f t="shared" si="4"/>
        <v>#REF!</v>
      </c>
      <c r="O37" s="153" t="e">
        <f t="shared" si="5"/>
        <v>#REF!</v>
      </c>
      <c r="P37" s="140" t="s">
        <v>201</v>
      </c>
      <c r="Q37" s="92"/>
      <c r="R37" s="304" t="s">
        <v>40</v>
      </c>
      <c r="S37" s="129" t="e">
        <f t="shared" si="7"/>
        <v>#REF!</v>
      </c>
      <c r="T37" s="25"/>
      <c r="U37" s="83"/>
      <c r="V37" s="25"/>
      <c r="W37" s="25"/>
      <c r="X37" s="25"/>
      <c r="Y37" s="25"/>
      <c r="Z37" s="25"/>
      <c r="AA37" s="25"/>
      <c r="AB37" s="25"/>
      <c r="AC37" s="25"/>
    </row>
    <row r="38" spans="1:29" s="37" customFormat="1" ht="11.25" hidden="1" customHeight="1">
      <c r="A38" s="80"/>
      <c r="B38" s="256">
        <v>45768</v>
      </c>
      <c r="C38" s="144" t="s">
        <v>41</v>
      </c>
      <c r="D38" s="407"/>
      <c r="E38" s="145">
        <v>12</v>
      </c>
      <c r="F38" s="187" t="s">
        <v>25</v>
      </c>
      <c r="G38" s="187"/>
      <c r="H38" s="187"/>
      <c r="I38" s="187"/>
      <c r="J38" s="187"/>
      <c r="K38" s="147">
        <v>3.6</v>
      </c>
      <c r="L38" s="79" t="e">
        <f>#REF!</f>
        <v>#REF!</v>
      </c>
      <c r="M38" s="297" t="e">
        <f t="shared" si="6"/>
        <v>#REF!</v>
      </c>
      <c r="N38" s="153" t="e">
        <f t="shared" si="4"/>
        <v>#REF!</v>
      </c>
      <c r="O38" s="153" t="e">
        <f t="shared" si="5"/>
        <v>#REF!</v>
      </c>
      <c r="P38" s="140" t="s">
        <v>201</v>
      </c>
      <c r="Q38" s="92"/>
      <c r="R38" s="304" t="s">
        <v>40</v>
      </c>
      <c r="S38" s="129" t="e">
        <f t="shared" si="7"/>
        <v>#REF!</v>
      </c>
      <c r="T38" s="25"/>
      <c r="U38" s="83"/>
      <c r="V38" s="25"/>
      <c r="W38" s="25"/>
      <c r="X38" s="25"/>
      <c r="Y38" s="25"/>
      <c r="Z38" s="25"/>
      <c r="AA38" s="25"/>
      <c r="AB38" s="25"/>
      <c r="AC38" s="25"/>
    </row>
    <row r="39" spans="1:29" s="37" customFormat="1" ht="11.25" hidden="1" customHeight="1">
      <c r="A39" s="80"/>
      <c r="B39" s="256">
        <v>45768</v>
      </c>
      <c r="C39" s="144" t="s">
        <v>67</v>
      </c>
      <c r="D39" s="149"/>
      <c r="E39" s="149">
        <v>13</v>
      </c>
      <c r="F39" s="253" t="s">
        <v>32</v>
      </c>
      <c r="G39" s="82" t="s">
        <v>33</v>
      </c>
      <c r="H39" s="187"/>
      <c r="I39" s="187"/>
      <c r="J39" s="187"/>
      <c r="K39" s="147">
        <v>128.41</v>
      </c>
      <c r="L39" s="79" t="e">
        <f>#REF!</f>
        <v>#REF!</v>
      </c>
      <c r="M39" s="297" t="e">
        <f t="shared" si="6"/>
        <v>#REF!</v>
      </c>
      <c r="N39" s="153" t="e">
        <f t="shared" si="4"/>
        <v>#REF!</v>
      </c>
      <c r="O39" s="153" t="e">
        <f t="shared" si="5"/>
        <v>#REF!</v>
      </c>
      <c r="P39" s="140" t="s">
        <v>201</v>
      </c>
      <c r="Q39" s="92"/>
      <c r="R39" s="177" t="s">
        <v>189</v>
      </c>
      <c r="S39" s="129" t="e">
        <f t="shared" si="7"/>
        <v>#REF!</v>
      </c>
      <c r="T39" s="25"/>
      <c r="U39" s="83"/>
      <c r="V39" s="25"/>
      <c r="W39" s="25"/>
      <c r="X39" s="25"/>
      <c r="Y39" s="25"/>
      <c r="Z39" s="25"/>
      <c r="AA39" s="25"/>
      <c r="AB39" s="25"/>
      <c r="AC39" s="25"/>
    </row>
    <row r="40" spans="1:29" s="37" customFormat="1" ht="11.25" hidden="1" customHeight="1">
      <c r="A40" s="80"/>
      <c r="B40" s="256">
        <v>45768</v>
      </c>
      <c r="C40" s="144" t="s">
        <v>121</v>
      </c>
      <c r="D40" s="149"/>
      <c r="E40" s="149">
        <v>14</v>
      </c>
      <c r="F40" s="253" t="s">
        <v>32</v>
      </c>
      <c r="G40" s="82" t="s">
        <v>33</v>
      </c>
      <c r="H40" s="187"/>
      <c r="I40" s="187"/>
      <c r="J40" s="187"/>
      <c r="K40" s="311">
        <v>4365.3599999999997</v>
      </c>
      <c r="L40" s="79" t="e">
        <f>#REF!</f>
        <v>#REF!</v>
      </c>
      <c r="M40" s="297" t="e">
        <f t="shared" si="6"/>
        <v>#REF!</v>
      </c>
      <c r="N40" s="153" t="e">
        <f t="shared" si="4"/>
        <v>#REF!</v>
      </c>
      <c r="O40" s="153" t="e">
        <f t="shared" si="5"/>
        <v>#REF!</v>
      </c>
      <c r="P40" s="140" t="s">
        <v>201</v>
      </c>
      <c r="Q40" s="92"/>
      <c r="R40" s="177" t="s">
        <v>189</v>
      </c>
      <c r="S40" s="129" t="e">
        <f t="shared" si="7"/>
        <v>#REF!</v>
      </c>
      <c r="T40" s="25"/>
      <c r="U40" s="83"/>
      <c r="V40" s="25"/>
      <c r="W40" s="25"/>
      <c r="X40" s="25"/>
      <c r="Y40" s="25"/>
      <c r="Z40" s="25"/>
      <c r="AA40" s="25"/>
      <c r="AB40" s="25"/>
      <c r="AC40" s="25"/>
    </row>
    <row r="41" spans="1:29" s="37" customFormat="1" ht="11.25" hidden="1" customHeight="1">
      <c r="A41" s="80"/>
      <c r="B41" s="256">
        <v>45768</v>
      </c>
      <c r="C41" s="144" t="s">
        <v>65</v>
      </c>
      <c r="D41" s="149"/>
      <c r="E41" s="149">
        <v>15</v>
      </c>
      <c r="F41" s="187" t="s">
        <v>27</v>
      </c>
      <c r="G41" s="187" t="s">
        <v>30</v>
      </c>
      <c r="H41" s="187"/>
      <c r="I41" s="187"/>
      <c r="J41" s="187"/>
      <c r="K41" s="311">
        <v>153.6</v>
      </c>
      <c r="L41" s="79" t="e">
        <f>#REF!</f>
        <v>#REF!</v>
      </c>
      <c r="M41" s="297" t="e">
        <f t="shared" si="6"/>
        <v>#REF!</v>
      </c>
      <c r="N41" s="153" t="e">
        <f t="shared" si="4"/>
        <v>#REF!</v>
      </c>
      <c r="O41" s="153" t="e">
        <f t="shared" si="5"/>
        <v>#REF!</v>
      </c>
      <c r="P41" s="140" t="s">
        <v>201</v>
      </c>
      <c r="Q41" s="92"/>
      <c r="R41" s="177" t="s">
        <v>189</v>
      </c>
      <c r="S41" s="129" t="e">
        <f t="shared" si="7"/>
        <v>#REF!</v>
      </c>
      <c r="T41" s="25"/>
      <c r="U41" s="83"/>
      <c r="V41" s="25"/>
      <c r="W41" s="25"/>
      <c r="X41" s="25"/>
      <c r="Y41" s="25"/>
      <c r="Z41" s="25"/>
      <c r="AA41" s="25"/>
      <c r="AB41" s="25"/>
      <c r="AC41" s="25"/>
    </row>
    <row r="42" spans="1:29" s="37" customFormat="1" ht="11.25" hidden="1" customHeight="1">
      <c r="A42" s="80"/>
      <c r="B42" s="256">
        <v>45768</v>
      </c>
      <c r="C42" s="144" t="s">
        <v>66</v>
      </c>
      <c r="D42" s="407"/>
      <c r="E42" s="149">
        <v>16</v>
      </c>
      <c r="F42" s="187" t="s">
        <v>25</v>
      </c>
      <c r="G42" s="187"/>
      <c r="H42" s="187"/>
      <c r="I42" s="187"/>
      <c r="J42" s="187"/>
      <c r="K42" s="311">
        <v>135</v>
      </c>
      <c r="L42" s="79" t="e">
        <f>#REF!</f>
        <v>#REF!</v>
      </c>
      <c r="M42" s="297" t="e">
        <f t="shared" si="6"/>
        <v>#REF!</v>
      </c>
      <c r="N42" s="153" t="e">
        <f t="shared" si="4"/>
        <v>#REF!</v>
      </c>
      <c r="O42" s="153" t="e">
        <f t="shared" si="5"/>
        <v>#REF!</v>
      </c>
      <c r="P42" s="140" t="s">
        <v>201</v>
      </c>
      <c r="Q42" s="92"/>
      <c r="R42" s="177" t="s">
        <v>189</v>
      </c>
      <c r="S42" s="129" t="e">
        <f t="shared" si="7"/>
        <v>#REF!</v>
      </c>
      <c r="T42" s="25"/>
      <c r="U42" s="83"/>
      <c r="V42" s="25"/>
      <c r="W42" s="25"/>
      <c r="X42" s="25"/>
      <c r="Y42" s="25"/>
      <c r="Z42" s="25"/>
      <c r="AA42" s="25"/>
      <c r="AB42" s="25"/>
      <c r="AC42" s="25"/>
    </row>
    <row r="43" spans="1:29" s="37" customFormat="1" ht="11.25" hidden="1" customHeight="1">
      <c r="A43" s="80"/>
      <c r="B43" s="256">
        <v>45768</v>
      </c>
      <c r="C43" s="144" t="s">
        <v>41</v>
      </c>
      <c r="D43" s="407"/>
      <c r="E43" s="149">
        <v>17</v>
      </c>
      <c r="F43" s="187" t="s">
        <v>25</v>
      </c>
      <c r="G43" s="187"/>
      <c r="H43" s="187"/>
      <c r="I43" s="187"/>
      <c r="J43" s="187"/>
      <c r="K43" s="311">
        <v>3.6</v>
      </c>
      <c r="L43" s="79" t="e">
        <f>#REF!</f>
        <v>#REF!</v>
      </c>
      <c r="M43" s="297" t="e">
        <f t="shared" si="6"/>
        <v>#REF!</v>
      </c>
      <c r="N43" s="153" t="e">
        <f t="shared" si="4"/>
        <v>#REF!</v>
      </c>
      <c r="O43" s="153" t="e">
        <f t="shared" si="5"/>
        <v>#REF!</v>
      </c>
      <c r="P43" s="140" t="s">
        <v>201</v>
      </c>
      <c r="Q43" s="92"/>
      <c r="R43" s="177" t="s">
        <v>189</v>
      </c>
      <c r="S43" s="129" t="e">
        <f t="shared" si="7"/>
        <v>#REF!</v>
      </c>
      <c r="T43" s="25"/>
      <c r="U43" s="83"/>
      <c r="V43" s="25"/>
      <c r="W43" s="25"/>
      <c r="X43" s="25"/>
      <c r="Y43" s="25"/>
      <c r="Z43" s="25"/>
      <c r="AA43" s="25"/>
      <c r="AB43" s="25"/>
      <c r="AC43" s="25"/>
    </row>
    <row r="44" spans="1:29" s="37" customFormat="1" ht="11.25" hidden="1" customHeight="1">
      <c r="A44" s="80"/>
      <c r="B44" s="256">
        <v>45768</v>
      </c>
      <c r="C44" s="142" t="s">
        <v>29</v>
      </c>
      <c r="D44" s="149"/>
      <c r="E44" s="149">
        <v>18</v>
      </c>
      <c r="F44" s="253" t="s">
        <v>32</v>
      </c>
      <c r="G44" s="82" t="s">
        <v>33</v>
      </c>
      <c r="H44" s="187"/>
      <c r="I44" s="187"/>
      <c r="J44" s="187"/>
      <c r="K44" s="147">
        <v>207.37</v>
      </c>
      <c r="L44" s="79" t="e">
        <f>#REF!</f>
        <v>#REF!</v>
      </c>
      <c r="M44" s="297" t="e">
        <f t="shared" si="6"/>
        <v>#REF!</v>
      </c>
      <c r="N44" s="153" t="e">
        <f t="shared" si="4"/>
        <v>#REF!</v>
      </c>
      <c r="O44" s="153" t="e">
        <f t="shared" si="5"/>
        <v>#REF!</v>
      </c>
      <c r="P44" s="140" t="s">
        <v>201</v>
      </c>
      <c r="Q44" s="92"/>
      <c r="R44" s="304" t="s">
        <v>190</v>
      </c>
      <c r="S44" s="129" t="e">
        <f t="shared" si="7"/>
        <v>#REF!</v>
      </c>
      <c r="T44" s="25"/>
      <c r="U44" s="83"/>
      <c r="V44" s="25"/>
      <c r="W44" s="25"/>
      <c r="X44" s="25"/>
      <c r="Y44" s="25"/>
      <c r="Z44" s="25"/>
      <c r="AA44" s="25"/>
      <c r="AB44" s="25"/>
      <c r="AC44" s="25"/>
    </row>
    <row r="45" spans="1:29" s="37" customFormat="1" ht="11.25" hidden="1" customHeight="1">
      <c r="A45" s="80"/>
      <c r="B45" s="256">
        <v>45768</v>
      </c>
      <c r="C45" s="177" t="s">
        <v>159</v>
      </c>
      <c r="D45" s="149"/>
      <c r="E45" s="149">
        <v>19</v>
      </c>
      <c r="F45" s="253" t="s">
        <v>32</v>
      </c>
      <c r="G45" s="82" t="s">
        <v>33</v>
      </c>
      <c r="H45" s="187"/>
      <c r="I45" s="187"/>
      <c r="J45" s="187"/>
      <c r="K45" s="311">
        <v>941.79</v>
      </c>
      <c r="L45" s="79" t="e">
        <f>#REF!</f>
        <v>#REF!</v>
      </c>
      <c r="M45" s="297" t="e">
        <f t="shared" si="6"/>
        <v>#REF!</v>
      </c>
      <c r="N45" s="153" t="e">
        <f t="shared" si="4"/>
        <v>#REF!</v>
      </c>
      <c r="O45" s="153" t="e">
        <f t="shared" si="5"/>
        <v>#REF!</v>
      </c>
      <c r="P45" s="140" t="s">
        <v>201</v>
      </c>
      <c r="Q45" s="92"/>
      <c r="R45" s="304" t="s">
        <v>190</v>
      </c>
      <c r="S45" s="129" t="e">
        <f t="shared" si="7"/>
        <v>#REF!</v>
      </c>
      <c r="T45" s="25"/>
      <c r="U45" s="83"/>
      <c r="V45" s="25"/>
      <c r="W45" s="25"/>
      <c r="X45" s="25"/>
      <c r="Y45" s="25"/>
      <c r="Z45" s="25"/>
      <c r="AA45" s="25"/>
      <c r="AB45" s="25"/>
      <c r="AC45" s="25"/>
    </row>
    <row r="46" spans="1:29" s="37" customFormat="1" ht="11.25" hidden="1" customHeight="1">
      <c r="A46" s="80"/>
      <c r="B46" s="256">
        <v>45768</v>
      </c>
      <c r="C46" s="177" t="s">
        <v>8</v>
      </c>
      <c r="D46" s="149"/>
      <c r="E46" s="149">
        <v>20</v>
      </c>
      <c r="F46" s="187" t="s">
        <v>27</v>
      </c>
      <c r="G46" s="187" t="s">
        <v>30</v>
      </c>
      <c r="H46" s="187"/>
      <c r="I46" s="187"/>
      <c r="J46" s="187"/>
      <c r="K46" s="258">
        <v>400</v>
      </c>
      <c r="L46" s="79" t="e">
        <f>#REF!</f>
        <v>#REF!</v>
      </c>
      <c r="M46" s="297" t="e">
        <f t="shared" si="6"/>
        <v>#REF!</v>
      </c>
      <c r="N46" s="153" t="e">
        <f t="shared" si="4"/>
        <v>#REF!</v>
      </c>
      <c r="O46" s="153" t="e">
        <f t="shared" si="5"/>
        <v>#REF!</v>
      </c>
      <c r="P46" s="140" t="s">
        <v>201</v>
      </c>
      <c r="Q46" s="92"/>
      <c r="R46" s="304" t="s">
        <v>190</v>
      </c>
      <c r="S46" s="129" t="e">
        <f t="shared" si="7"/>
        <v>#REF!</v>
      </c>
      <c r="T46" s="25"/>
      <c r="U46" s="83"/>
      <c r="V46" s="25"/>
      <c r="W46" s="25"/>
      <c r="X46" s="25"/>
      <c r="Y46" s="25"/>
      <c r="Z46" s="25"/>
      <c r="AA46" s="25"/>
      <c r="AB46" s="25"/>
      <c r="AC46" s="25"/>
    </row>
    <row r="47" spans="1:29" s="37" customFormat="1" ht="11.25" hidden="1" customHeight="1">
      <c r="A47" s="80"/>
      <c r="B47" s="256">
        <v>45768</v>
      </c>
      <c r="C47" s="177" t="s">
        <v>2</v>
      </c>
      <c r="D47" s="149"/>
      <c r="E47" s="149">
        <v>21</v>
      </c>
      <c r="F47" s="187" t="s">
        <v>28</v>
      </c>
      <c r="G47" s="187" t="s">
        <v>31</v>
      </c>
      <c r="H47" s="187"/>
      <c r="I47" s="187"/>
      <c r="J47" s="187"/>
      <c r="K47" s="258">
        <v>179</v>
      </c>
      <c r="L47" s="79" t="e">
        <f>#REF!</f>
        <v>#REF!</v>
      </c>
      <c r="M47" s="297" t="e">
        <f t="shared" si="6"/>
        <v>#REF!</v>
      </c>
      <c r="N47" s="153" t="e">
        <f t="shared" si="4"/>
        <v>#REF!</v>
      </c>
      <c r="O47" s="153" t="e">
        <f t="shared" si="5"/>
        <v>#REF!</v>
      </c>
      <c r="P47" s="140" t="s">
        <v>201</v>
      </c>
      <c r="Q47" s="92"/>
      <c r="R47" s="304" t="s">
        <v>190</v>
      </c>
      <c r="S47" s="129" t="e">
        <f t="shared" si="7"/>
        <v>#REF!</v>
      </c>
      <c r="T47" s="25"/>
      <c r="U47" s="83"/>
      <c r="V47" s="25"/>
      <c r="W47" s="25"/>
      <c r="X47" s="25"/>
      <c r="Y47" s="25"/>
      <c r="Z47" s="25"/>
      <c r="AA47" s="25"/>
      <c r="AB47" s="25"/>
      <c r="AC47" s="25"/>
    </row>
    <row r="48" spans="1:29" s="37" customFormat="1" ht="11.25" hidden="1" customHeight="1">
      <c r="A48" s="80"/>
      <c r="B48" s="256">
        <v>45768</v>
      </c>
      <c r="C48" s="177" t="s">
        <v>161</v>
      </c>
      <c r="D48" s="407"/>
      <c r="E48" s="149">
        <v>22</v>
      </c>
      <c r="F48" s="187" t="s">
        <v>25</v>
      </c>
      <c r="G48" s="187"/>
      <c r="H48" s="187"/>
      <c r="I48" s="187"/>
      <c r="J48" s="187"/>
      <c r="K48" s="258">
        <v>424.55</v>
      </c>
      <c r="L48" s="79" t="e">
        <f>#REF!</f>
        <v>#REF!</v>
      </c>
      <c r="M48" s="297" t="e">
        <f t="shared" si="6"/>
        <v>#REF!</v>
      </c>
      <c r="N48" s="153" t="e">
        <f t="shared" si="4"/>
        <v>#REF!</v>
      </c>
      <c r="O48" s="153" t="e">
        <f t="shared" si="5"/>
        <v>#REF!</v>
      </c>
      <c r="P48" s="140" t="s">
        <v>201</v>
      </c>
      <c r="Q48" s="92"/>
      <c r="R48" s="304" t="s">
        <v>190</v>
      </c>
      <c r="S48" s="129" t="e">
        <f t="shared" si="7"/>
        <v>#REF!</v>
      </c>
      <c r="T48" s="25"/>
      <c r="U48" s="83"/>
      <c r="V48" s="25"/>
      <c r="W48" s="25"/>
      <c r="X48" s="25"/>
      <c r="Y48" s="25"/>
      <c r="Z48" s="25"/>
      <c r="AA48" s="25"/>
      <c r="AB48" s="25"/>
      <c r="AC48" s="25"/>
    </row>
    <row r="49" spans="1:29" s="37" customFormat="1" ht="11.25" hidden="1" customHeight="1">
      <c r="A49" s="80"/>
      <c r="B49" s="256">
        <v>45768</v>
      </c>
      <c r="C49" s="177" t="s">
        <v>142</v>
      </c>
      <c r="D49" s="407"/>
      <c r="E49" s="149">
        <v>23</v>
      </c>
      <c r="F49" s="187" t="s">
        <v>25</v>
      </c>
      <c r="G49" s="187"/>
      <c r="H49" s="187"/>
      <c r="I49" s="187"/>
      <c r="J49" s="187"/>
      <c r="K49" s="258">
        <v>127.56</v>
      </c>
      <c r="L49" s="79" t="e">
        <f>#REF!</f>
        <v>#REF!</v>
      </c>
      <c r="M49" s="297" t="e">
        <f t="shared" si="6"/>
        <v>#REF!</v>
      </c>
      <c r="N49" s="153" t="e">
        <f t="shared" si="4"/>
        <v>#REF!</v>
      </c>
      <c r="O49" s="153" t="e">
        <f t="shared" si="5"/>
        <v>#REF!</v>
      </c>
      <c r="P49" s="140" t="s">
        <v>201</v>
      </c>
      <c r="Q49" s="92"/>
      <c r="R49" s="304" t="s">
        <v>190</v>
      </c>
      <c r="S49" s="129" t="e">
        <f t="shared" si="7"/>
        <v>#REF!</v>
      </c>
      <c r="T49" s="25"/>
      <c r="U49" s="83"/>
      <c r="V49" s="25"/>
      <c r="W49" s="25"/>
      <c r="X49" s="25"/>
      <c r="Y49" s="25"/>
      <c r="Z49" s="25"/>
      <c r="AA49" s="25"/>
      <c r="AB49" s="25"/>
      <c r="AC49" s="25"/>
    </row>
    <row r="50" spans="1:29" s="37" customFormat="1" ht="11.25" hidden="1" customHeight="1">
      <c r="A50" s="80"/>
      <c r="B50" s="256">
        <v>45768</v>
      </c>
      <c r="C50" s="177" t="s">
        <v>41</v>
      </c>
      <c r="D50" s="407"/>
      <c r="E50" s="149">
        <v>24</v>
      </c>
      <c r="F50" s="187" t="s">
        <v>25</v>
      </c>
      <c r="G50" s="187"/>
      <c r="H50" s="187"/>
      <c r="I50" s="187"/>
      <c r="J50" s="187"/>
      <c r="K50" s="258">
        <v>3.6</v>
      </c>
      <c r="L50" s="79" t="e">
        <f>#REF!</f>
        <v>#REF!</v>
      </c>
      <c r="M50" s="297" t="e">
        <f t="shared" si="6"/>
        <v>#REF!</v>
      </c>
      <c r="N50" s="153" t="e">
        <f t="shared" si="4"/>
        <v>#REF!</v>
      </c>
      <c r="O50" s="153" t="e">
        <f t="shared" si="5"/>
        <v>#REF!</v>
      </c>
      <c r="P50" s="140" t="s">
        <v>201</v>
      </c>
      <c r="Q50" s="92"/>
      <c r="R50" s="304" t="s">
        <v>190</v>
      </c>
      <c r="S50" s="129" t="e">
        <f t="shared" si="7"/>
        <v>#REF!</v>
      </c>
      <c r="T50" s="25"/>
      <c r="U50" s="83"/>
      <c r="V50" s="25"/>
      <c r="W50" s="25"/>
      <c r="X50" s="25"/>
      <c r="Y50" s="25"/>
      <c r="Z50" s="25"/>
      <c r="AA50" s="25"/>
      <c r="AB50" s="25"/>
      <c r="AC50" s="25"/>
    </row>
    <row r="51" spans="1:29" s="37" customFormat="1" ht="11.25" hidden="1" customHeight="1">
      <c r="A51" s="80"/>
      <c r="B51" s="256">
        <v>45768</v>
      </c>
      <c r="C51" s="177" t="s">
        <v>184</v>
      </c>
      <c r="D51" s="149"/>
      <c r="E51" s="149">
        <v>25</v>
      </c>
      <c r="F51" s="253" t="s">
        <v>32</v>
      </c>
      <c r="G51" s="82" t="s">
        <v>33</v>
      </c>
      <c r="H51" s="187"/>
      <c r="I51" s="187"/>
      <c r="J51" s="187"/>
      <c r="K51" s="147">
        <v>663.95</v>
      </c>
      <c r="L51" s="79" t="e">
        <f>#REF!</f>
        <v>#REF!</v>
      </c>
      <c r="M51" s="297" t="e">
        <f t="shared" si="6"/>
        <v>#REF!</v>
      </c>
      <c r="N51" s="153" t="e">
        <f t="shared" si="4"/>
        <v>#REF!</v>
      </c>
      <c r="O51" s="153" t="e">
        <f t="shared" si="5"/>
        <v>#REF!</v>
      </c>
      <c r="P51" s="140" t="s">
        <v>201</v>
      </c>
      <c r="Q51" s="92"/>
      <c r="R51" s="140" t="s">
        <v>191</v>
      </c>
      <c r="S51" s="129" t="e">
        <f t="shared" si="7"/>
        <v>#REF!</v>
      </c>
      <c r="T51" s="25"/>
      <c r="U51" s="83"/>
      <c r="V51" s="25"/>
      <c r="W51" s="25"/>
      <c r="X51" s="25"/>
      <c r="Y51" s="25"/>
      <c r="Z51" s="25"/>
      <c r="AA51" s="25"/>
      <c r="AB51" s="25"/>
      <c r="AC51" s="25"/>
    </row>
    <row r="52" spans="1:29" s="37" customFormat="1" ht="11.25" hidden="1" customHeight="1">
      <c r="A52" s="80"/>
      <c r="B52" s="256">
        <v>45768</v>
      </c>
      <c r="C52" s="177" t="s">
        <v>8</v>
      </c>
      <c r="D52" s="149"/>
      <c r="E52" s="149">
        <v>26</v>
      </c>
      <c r="F52" s="187" t="s">
        <v>27</v>
      </c>
      <c r="G52" s="187" t="s">
        <v>30</v>
      </c>
      <c r="H52" s="187"/>
      <c r="I52" s="187"/>
      <c r="J52" s="187"/>
      <c r="K52" s="258">
        <v>299.39999999999998</v>
      </c>
      <c r="L52" s="79" t="e">
        <f>#REF!</f>
        <v>#REF!</v>
      </c>
      <c r="M52" s="297" t="e">
        <f t="shared" si="6"/>
        <v>#REF!</v>
      </c>
      <c r="N52" s="153" t="e">
        <f t="shared" si="4"/>
        <v>#REF!</v>
      </c>
      <c r="O52" s="153" t="e">
        <f t="shared" si="5"/>
        <v>#REF!</v>
      </c>
      <c r="P52" s="140" t="s">
        <v>201</v>
      </c>
      <c r="Q52" s="92"/>
      <c r="R52" s="140" t="s">
        <v>191</v>
      </c>
      <c r="S52" s="129" t="e">
        <f t="shared" si="7"/>
        <v>#REF!</v>
      </c>
      <c r="T52" s="25"/>
      <c r="U52" s="83"/>
      <c r="V52" s="25"/>
      <c r="W52" s="25"/>
      <c r="X52" s="25"/>
      <c r="Y52" s="25"/>
      <c r="Z52" s="25"/>
      <c r="AA52" s="25"/>
      <c r="AB52" s="25"/>
      <c r="AC52" s="25"/>
    </row>
    <row r="53" spans="1:29" s="37" customFormat="1" ht="11.25" hidden="1" customHeight="1">
      <c r="A53" s="80"/>
      <c r="B53" s="256">
        <v>45768</v>
      </c>
      <c r="C53" s="177" t="s">
        <v>161</v>
      </c>
      <c r="D53" s="407"/>
      <c r="E53" s="149">
        <v>27</v>
      </c>
      <c r="F53" s="253" t="s">
        <v>25</v>
      </c>
      <c r="G53" s="82"/>
      <c r="H53" s="187"/>
      <c r="I53" s="180"/>
      <c r="J53" s="187"/>
      <c r="K53" s="258">
        <v>36</v>
      </c>
      <c r="L53" s="79" t="e">
        <f>#REF!</f>
        <v>#REF!</v>
      </c>
      <c r="M53" s="297" t="e">
        <f t="shared" si="6"/>
        <v>#REF!</v>
      </c>
      <c r="N53" s="153" t="e">
        <f t="shared" si="4"/>
        <v>#REF!</v>
      </c>
      <c r="O53" s="153" t="e">
        <f t="shared" si="5"/>
        <v>#REF!</v>
      </c>
      <c r="P53" s="140" t="s">
        <v>201</v>
      </c>
      <c r="Q53" s="92"/>
      <c r="R53" s="140" t="s">
        <v>191</v>
      </c>
      <c r="S53" s="129" t="e">
        <f t="shared" si="7"/>
        <v>#REF!</v>
      </c>
      <c r="T53" s="25"/>
      <c r="U53" s="83"/>
      <c r="V53" s="25"/>
      <c r="W53" s="25"/>
      <c r="X53" s="25"/>
      <c r="Y53" s="25"/>
      <c r="Z53" s="25"/>
      <c r="AA53" s="25"/>
      <c r="AB53" s="25"/>
      <c r="AC53" s="25"/>
    </row>
    <row r="54" spans="1:29" s="37" customFormat="1" ht="11.25" hidden="1" customHeight="1">
      <c r="A54" s="80"/>
      <c r="B54" s="256">
        <v>45768</v>
      </c>
      <c r="C54" s="177" t="s">
        <v>159</v>
      </c>
      <c r="D54" s="149"/>
      <c r="E54" s="149">
        <v>28</v>
      </c>
      <c r="F54" s="253" t="s">
        <v>32</v>
      </c>
      <c r="G54" s="82" t="s">
        <v>33</v>
      </c>
      <c r="H54" s="187"/>
      <c r="I54" s="180"/>
      <c r="J54" s="187"/>
      <c r="K54" s="258">
        <v>4536.3</v>
      </c>
      <c r="L54" s="79" t="e">
        <f>#REF!</f>
        <v>#REF!</v>
      </c>
      <c r="M54" s="297" t="e">
        <f t="shared" si="6"/>
        <v>#REF!</v>
      </c>
      <c r="N54" s="153" t="e">
        <f t="shared" si="4"/>
        <v>#REF!</v>
      </c>
      <c r="O54" s="153" t="e">
        <f t="shared" si="5"/>
        <v>#REF!</v>
      </c>
      <c r="P54" s="140" t="s">
        <v>201</v>
      </c>
      <c r="Q54" s="92"/>
      <c r="R54" s="140" t="s">
        <v>191</v>
      </c>
      <c r="S54" s="129" t="e">
        <f t="shared" si="7"/>
        <v>#REF!</v>
      </c>
      <c r="T54" s="25"/>
      <c r="U54" s="83"/>
      <c r="V54" s="25"/>
      <c r="W54" s="25"/>
      <c r="X54" s="25"/>
      <c r="Y54" s="25"/>
      <c r="Z54" s="25"/>
      <c r="AA54" s="25"/>
      <c r="AB54" s="25"/>
      <c r="AC54" s="25"/>
    </row>
    <row r="55" spans="1:29" s="37" customFormat="1" ht="11.25" hidden="1" customHeight="1">
      <c r="A55" s="80"/>
      <c r="B55" s="256">
        <v>45768</v>
      </c>
      <c r="C55" s="177" t="s">
        <v>165</v>
      </c>
      <c r="D55" s="407"/>
      <c r="E55" s="149">
        <v>29</v>
      </c>
      <c r="F55" s="253" t="s">
        <v>25</v>
      </c>
      <c r="G55" s="82"/>
      <c r="H55" s="187"/>
      <c r="I55" s="180"/>
      <c r="J55" s="187"/>
      <c r="K55" s="258">
        <v>172.98</v>
      </c>
      <c r="L55" s="79" t="e">
        <f>#REF!</f>
        <v>#REF!</v>
      </c>
      <c r="M55" s="297" t="e">
        <f t="shared" si="6"/>
        <v>#REF!</v>
      </c>
      <c r="N55" s="153" t="e">
        <f t="shared" si="4"/>
        <v>#REF!</v>
      </c>
      <c r="O55" s="153" t="e">
        <f t="shared" si="5"/>
        <v>#REF!</v>
      </c>
      <c r="P55" s="140" t="s">
        <v>201</v>
      </c>
      <c r="Q55" s="92"/>
      <c r="R55" s="140" t="s">
        <v>191</v>
      </c>
      <c r="S55" s="129" t="e">
        <f t="shared" si="7"/>
        <v>#REF!</v>
      </c>
      <c r="T55" s="25"/>
      <c r="U55" s="83"/>
      <c r="V55" s="25"/>
      <c r="W55" s="25"/>
      <c r="X55" s="25"/>
      <c r="Y55" s="25"/>
      <c r="Z55" s="25"/>
      <c r="AA55" s="25"/>
      <c r="AB55" s="25"/>
      <c r="AC55" s="25"/>
    </row>
    <row r="56" spans="1:29" s="37" customFormat="1" ht="11.25" hidden="1" customHeight="1">
      <c r="A56" s="80"/>
      <c r="B56" s="256">
        <v>45768</v>
      </c>
      <c r="C56" s="177" t="s">
        <v>2</v>
      </c>
      <c r="D56" s="149"/>
      <c r="E56" s="149">
        <v>30</v>
      </c>
      <c r="F56" s="253" t="s">
        <v>28</v>
      </c>
      <c r="G56" s="82" t="s">
        <v>31</v>
      </c>
      <c r="H56" s="187"/>
      <c r="I56" s="180"/>
      <c r="J56" s="187"/>
      <c r="K56" s="258">
        <v>3310.7</v>
      </c>
      <c r="L56" s="79" t="e">
        <f>#REF!</f>
        <v>#REF!</v>
      </c>
      <c r="M56" s="297" t="e">
        <f t="shared" si="6"/>
        <v>#REF!</v>
      </c>
      <c r="N56" s="153" t="e">
        <f t="shared" si="4"/>
        <v>#REF!</v>
      </c>
      <c r="O56" s="153" t="e">
        <f t="shared" si="5"/>
        <v>#REF!</v>
      </c>
      <c r="P56" s="140" t="s">
        <v>201</v>
      </c>
      <c r="Q56" s="92"/>
      <c r="R56" s="140" t="s">
        <v>191</v>
      </c>
      <c r="S56" s="129" t="e">
        <f t="shared" si="7"/>
        <v>#REF!</v>
      </c>
      <c r="T56" s="25"/>
      <c r="U56" s="83"/>
      <c r="V56" s="25"/>
      <c r="W56" s="25"/>
      <c r="X56" s="25"/>
      <c r="Y56" s="25"/>
      <c r="Z56" s="25"/>
      <c r="AA56" s="25"/>
      <c r="AB56" s="25"/>
      <c r="AC56" s="25"/>
    </row>
    <row r="57" spans="1:29" s="37" customFormat="1" ht="11.25" hidden="1" customHeight="1">
      <c r="A57" s="80"/>
      <c r="B57" s="256">
        <v>45768</v>
      </c>
      <c r="C57" s="177" t="s">
        <v>35</v>
      </c>
      <c r="D57" s="407"/>
      <c r="E57" s="149">
        <v>31</v>
      </c>
      <c r="F57" s="253" t="s">
        <v>25</v>
      </c>
      <c r="G57" s="82"/>
      <c r="H57" s="187"/>
      <c r="I57" s="180"/>
      <c r="J57" s="187"/>
      <c r="K57" s="147">
        <v>399</v>
      </c>
      <c r="L57" s="79" t="e">
        <f>#REF!</f>
        <v>#REF!</v>
      </c>
      <c r="M57" s="297" t="e">
        <f t="shared" si="6"/>
        <v>#REF!</v>
      </c>
      <c r="N57" s="153" t="e">
        <f t="shared" si="4"/>
        <v>#REF!</v>
      </c>
      <c r="O57" s="153" t="e">
        <f t="shared" si="5"/>
        <v>#REF!</v>
      </c>
      <c r="P57" s="140" t="s">
        <v>201</v>
      </c>
      <c r="Q57" s="92"/>
      <c r="R57" s="140" t="s">
        <v>191</v>
      </c>
      <c r="S57" s="129" t="e">
        <f t="shared" si="7"/>
        <v>#REF!</v>
      </c>
      <c r="T57" s="25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s="37" customFormat="1" ht="11.25" hidden="1" customHeight="1">
      <c r="A58" s="80"/>
      <c r="B58" s="256">
        <v>45768</v>
      </c>
      <c r="C58" s="177" t="s">
        <v>41</v>
      </c>
      <c r="D58" s="407"/>
      <c r="E58" s="149">
        <v>32</v>
      </c>
      <c r="F58" s="253" t="s">
        <v>25</v>
      </c>
      <c r="G58" s="82"/>
      <c r="H58" s="187"/>
      <c r="I58" s="180"/>
      <c r="J58" s="187"/>
      <c r="K58" s="258">
        <v>3.6</v>
      </c>
      <c r="L58" s="79" t="e">
        <f>#REF!</f>
        <v>#REF!</v>
      </c>
      <c r="M58" s="297" t="e">
        <f t="shared" si="6"/>
        <v>#REF!</v>
      </c>
      <c r="N58" s="153" t="e">
        <f t="shared" si="4"/>
        <v>#REF!</v>
      </c>
      <c r="O58" s="153" t="e">
        <f t="shared" si="5"/>
        <v>#REF!</v>
      </c>
      <c r="P58" s="140" t="s">
        <v>201</v>
      </c>
      <c r="Q58" s="92"/>
      <c r="R58" s="140" t="s">
        <v>191</v>
      </c>
      <c r="S58" s="129" t="e">
        <f t="shared" si="7"/>
        <v>#REF!</v>
      </c>
      <c r="T58" s="25"/>
      <c r="U58" s="83"/>
      <c r="V58" s="25"/>
      <c r="W58" s="25"/>
      <c r="X58" s="25"/>
      <c r="Y58" s="25"/>
      <c r="Z58" s="25"/>
      <c r="AA58" s="25"/>
      <c r="AB58" s="25"/>
      <c r="AC58" s="25"/>
    </row>
    <row r="59" spans="1:29" s="37" customFormat="1" ht="11.25" hidden="1" customHeight="1">
      <c r="A59" s="80"/>
      <c r="B59" s="256">
        <v>45768</v>
      </c>
      <c r="C59" s="177" t="s">
        <v>2</v>
      </c>
      <c r="D59" s="149"/>
      <c r="E59" s="149">
        <v>33</v>
      </c>
      <c r="F59" s="253" t="s">
        <v>28</v>
      </c>
      <c r="G59" s="82" t="s">
        <v>31</v>
      </c>
      <c r="H59" s="187"/>
      <c r="I59" s="180"/>
      <c r="J59" s="187"/>
      <c r="K59" s="258">
        <v>15594.7</v>
      </c>
      <c r="L59" s="79" t="e">
        <f>#REF!</f>
        <v>#REF!</v>
      </c>
      <c r="M59" s="297" t="e">
        <f t="shared" si="6"/>
        <v>#REF!</v>
      </c>
      <c r="N59" s="153" t="e">
        <f t="shared" si="4"/>
        <v>#REF!</v>
      </c>
      <c r="O59" s="153" t="e">
        <f t="shared" si="5"/>
        <v>#REF!</v>
      </c>
      <c r="P59" s="140" t="s">
        <v>201</v>
      </c>
      <c r="Q59" s="92"/>
      <c r="R59" s="140" t="s">
        <v>37</v>
      </c>
      <c r="S59" s="129" t="e">
        <f t="shared" si="7"/>
        <v>#REF!</v>
      </c>
      <c r="T59" s="25"/>
      <c r="U59" s="83"/>
      <c r="V59" s="25"/>
      <c r="W59" s="25"/>
      <c r="X59" s="25"/>
      <c r="Y59" s="25"/>
      <c r="Z59" s="25"/>
      <c r="AA59" s="25"/>
      <c r="AB59" s="25"/>
      <c r="AC59" s="25"/>
    </row>
    <row r="60" spans="1:29" s="37" customFormat="1" ht="11.25" hidden="1" customHeight="1">
      <c r="A60" s="80"/>
      <c r="B60" s="256">
        <v>45768</v>
      </c>
      <c r="C60" s="177" t="s">
        <v>159</v>
      </c>
      <c r="D60" s="149"/>
      <c r="E60" s="149">
        <v>34</v>
      </c>
      <c r="F60" s="253" t="s">
        <v>32</v>
      </c>
      <c r="G60" s="82" t="s">
        <v>33</v>
      </c>
      <c r="H60" s="187"/>
      <c r="I60" s="180"/>
      <c r="J60" s="187"/>
      <c r="K60" s="258">
        <v>12341.06</v>
      </c>
      <c r="L60" s="79" t="e">
        <f>#REF!</f>
        <v>#REF!</v>
      </c>
      <c r="M60" s="297" t="e">
        <f t="shared" si="6"/>
        <v>#REF!</v>
      </c>
      <c r="N60" s="153" t="e">
        <f t="shared" si="4"/>
        <v>#REF!</v>
      </c>
      <c r="O60" s="153" t="e">
        <f t="shared" si="5"/>
        <v>#REF!</v>
      </c>
      <c r="P60" s="140" t="s">
        <v>201</v>
      </c>
      <c r="Q60" s="92"/>
      <c r="R60" s="140" t="s">
        <v>37</v>
      </c>
      <c r="S60" s="129" t="e">
        <f t="shared" si="7"/>
        <v>#REF!</v>
      </c>
      <c r="T60" s="25"/>
      <c r="U60" s="83"/>
      <c r="V60" s="25"/>
      <c r="W60" s="25"/>
      <c r="X60" s="25"/>
      <c r="Y60" s="25"/>
      <c r="Z60" s="25"/>
      <c r="AA60" s="25"/>
      <c r="AB60" s="25"/>
      <c r="AC60" s="25"/>
    </row>
    <row r="61" spans="1:29" s="37" customFormat="1" ht="11.25" hidden="1" customHeight="1">
      <c r="A61" s="80"/>
      <c r="B61" s="256">
        <v>45768</v>
      </c>
      <c r="C61" s="177" t="s">
        <v>68</v>
      </c>
      <c r="D61" s="407"/>
      <c r="E61" s="149">
        <v>35</v>
      </c>
      <c r="F61" s="253" t="s">
        <v>25</v>
      </c>
      <c r="G61" s="82"/>
      <c r="H61" s="187"/>
      <c r="I61" s="180"/>
      <c r="J61" s="187"/>
      <c r="K61" s="258">
        <v>7.2</v>
      </c>
      <c r="L61" s="79" t="e">
        <f>#REF!</f>
        <v>#REF!</v>
      </c>
      <c r="M61" s="297" t="e">
        <f t="shared" si="6"/>
        <v>#REF!</v>
      </c>
      <c r="N61" s="153" t="e">
        <f t="shared" si="4"/>
        <v>#REF!</v>
      </c>
      <c r="O61" s="153" t="e">
        <f t="shared" si="5"/>
        <v>#REF!</v>
      </c>
      <c r="P61" s="140" t="s">
        <v>201</v>
      </c>
      <c r="Q61" s="92"/>
      <c r="R61" s="140" t="s">
        <v>37</v>
      </c>
      <c r="S61" s="129" t="e">
        <f t="shared" si="7"/>
        <v>#REF!</v>
      </c>
      <c r="T61" s="25"/>
      <c r="U61" s="83"/>
      <c r="V61" s="25"/>
      <c r="W61" s="25"/>
      <c r="X61" s="25"/>
      <c r="Y61" s="25"/>
      <c r="Z61" s="25"/>
      <c r="AA61" s="25"/>
      <c r="AB61" s="25"/>
      <c r="AC61" s="25"/>
    </row>
    <row r="62" spans="1:29" s="37" customFormat="1" ht="11.25" hidden="1" customHeight="1">
      <c r="A62" s="80"/>
      <c r="B62" s="256">
        <v>45768</v>
      </c>
      <c r="C62" s="177" t="s">
        <v>160</v>
      </c>
      <c r="D62" s="149"/>
      <c r="E62" s="149">
        <v>36</v>
      </c>
      <c r="F62" s="253" t="s">
        <v>32</v>
      </c>
      <c r="G62" s="82" t="s">
        <v>33</v>
      </c>
      <c r="H62" s="187"/>
      <c r="I62" s="180"/>
      <c r="J62" s="187"/>
      <c r="K62" s="258">
        <v>15.97</v>
      </c>
      <c r="L62" s="79" t="e">
        <f>#REF!</f>
        <v>#REF!</v>
      </c>
      <c r="M62" s="297" t="e">
        <f t="shared" si="6"/>
        <v>#REF!</v>
      </c>
      <c r="N62" s="153" t="e">
        <f t="shared" si="4"/>
        <v>#REF!</v>
      </c>
      <c r="O62" s="153" t="e">
        <f t="shared" si="5"/>
        <v>#REF!</v>
      </c>
      <c r="P62" s="140" t="s">
        <v>201</v>
      </c>
      <c r="Q62" s="92"/>
      <c r="R62" s="140" t="s">
        <v>192</v>
      </c>
      <c r="S62" s="129" t="e">
        <f t="shared" si="7"/>
        <v>#REF!</v>
      </c>
      <c r="T62" s="25"/>
      <c r="U62" s="83"/>
      <c r="V62" s="25"/>
      <c r="W62" s="25"/>
      <c r="X62" s="25"/>
      <c r="Y62" s="25"/>
      <c r="Z62" s="25"/>
      <c r="AA62" s="25"/>
      <c r="AB62" s="25"/>
      <c r="AC62" s="25"/>
    </row>
    <row r="63" spans="1:29" s="37" customFormat="1" ht="11.25" hidden="1" customHeight="1">
      <c r="A63" s="80"/>
      <c r="B63" s="256">
        <v>45768</v>
      </c>
      <c r="C63" s="177" t="s">
        <v>2</v>
      </c>
      <c r="D63" s="149"/>
      <c r="E63" s="149">
        <v>37</v>
      </c>
      <c r="F63" s="253" t="s">
        <v>28</v>
      </c>
      <c r="G63" s="82" t="s">
        <v>31</v>
      </c>
      <c r="H63" s="187"/>
      <c r="I63" s="180"/>
      <c r="J63" s="187"/>
      <c r="K63" s="258">
        <v>111</v>
      </c>
      <c r="L63" s="79" t="e">
        <f>#REF!</f>
        <v>#REF!</v>
      </c>
      <c r="M63" s="297" t="e">
        <f t="shared" si="6"/>
        <v>#REF!</v>
      </c>
      <c r="N63" s="153" t="e">
        <f t="shared" si="4"/>
        <v>#REF!</v>
      </c>
      <c r="O63" s="153" t="e">
        <f t="shared" si="5"/>
        <v>#REF!</v>
      </c>
      <c r="P63" s="140" t="s">
        <v>201</v>
      </c>
      <c r="Q63" s="92"/>
      <c r="R63" s="140" t="s">
        <v>192</v>
      </c>
      <c r="S63" s="129" t="e">
        <f t="shared" si="7"/>
        <v>#REF!</v>
      </c>
      <c r="T63" s="25"/>
      <c r="U63" s="83"/>
      <c r="V63" s="25"/>
      <c r="W63" s="25"/>
      <c r="X63" s="25"/>
      <c r="Y63" s="25"/>
      <c r="Z63" s="25"/>
      <c r="AA63" s="25"/>
      <c r="AB63" s="25"/>
      <c r="AC63" s="25"/>
    </row>
    <row r="64" spans="1:29" s="37" customFormat="1" ht="11.25" hidden="1" customHeight="1">
      <c r="A64" s="80"/>
      <c r="B64" s="256">
        <v>45768</v>
      </c>
      <c r="C64" s="177" t="s">
        <v>8</v>
      </c>
      <c r="D64" s="149"/>
      <c r="E64" s="149">
        <v>38</v>
      </c>
      <c r="F64" s="253" t="s">
        <v>27</v>
      </c>
      <c r="G64" s="82" t="s">
        <v>30</v>
      </c>
      <c r="H64" s="187"/>
      <c r="I64" s="180"/>
      <c r="J64" s="187"/>
      <c r="K64" s="258">
        <v>198.1</v>
      </c>
      <c r="L64" s="79" t="e">
        <f>#REF!</f>
        <v>#REF!</v>
      </c>
      <c r="M64" s="297" t="e">
        <f t="shared" si="6"/>
        <v>#REF!</v>
      </c>
      <c r="N64" s="153" t="e">
        <f t="shared" si="4"/>
        <v>#REF!</v>
      </c>
      <c r="O64" s="153" t="e">
        <f t="shared" si="5"/>
        <v>#REF!</v>
      </c>
      <c r="P64" s="140" t="s">
        <v>201</v>
      </c>
      <c r="Q64" s="92"/>
      <c r="R64" s="140" t="s">
        <v>192</v>
      </c>
      <c r="S64" s="129" t="e">
        <f t="shared" si="7"/>
        <v>#REF!</v>
      </c>
      <c r="T64" s="25"/>
      <c r="U64" s="83"/>
      <c r="V64" s="25"/>
      <c r="W64" s="25"/>
      <c r="X64" s="25"/>
      <c r="Y64" s="25"/>
      <c r="Z64" s="25"/>
      <c r="AA64" s="25"/>
      <c r="AB64" s="25"/>
      <c r="AC64" s="25"/>
    </row>
    <row r="65" spans="1:29" s="37" customFormat="1" ht="11.25" hidden="1" customHeight="1">
      <c r="A65" s="80"/>
      <c r="B65" s="256">
        <v>45768</v>
      </c>
      <c r="C65" s="177" t="s">
        <v>161</v>
      </c>
      <c r="D65" s="407"/>
      <c r="E65" s="149">
        <v>39</v>
      </c>
      <c r="F65" s="253" t="s">
        <v>25</v>
      </c>
      <c r="G65" s="82"/>
      <c r="H65" s="187"/>
      <c r="I65" s="180"/>
      <c r="J65" s="187"/>
      <c r="K65" s="258">
        <v>13</v>
      </c>
      <c r="L65" s="79" t="e">
        <f>#REF!</f>
        <v>#REF!</v>
      </c>
      <c r="M65" s="297" t="e">
        <f t="shared" si="6"/>
        <v>#REF!</v>
      </c>
      <c r="N65" s="153" t="e">
        <f t="shared" si="4"/>
        <v>#REF!</v>
      </c>
      <c r="O65" s="153" t="e">
        <f t="shared" si="5"/>
        <v>#REF!</v>
      </c>
      <c r="P65" s="140" t="s">
        <v>201</v>
      </c>
      <c r="Q65" s="92"/>
      <c r="R65" s="140" t="s">
        <v>192</v>
      </c>
      <c r="S65" s="129" t="e">
        <f t="shared" si="7"/>
        <v>#REF!</v>
      </c>
      <c r="T65" s="25"/>
      <c r="U65" s="83"/>
      <c r="V65" s="25"/>
      <c r="W65" s="25"/>
      <c r="X65" s="25"/>
      <c r="Y65" s="25"/>
      <c r="Z65" s="25"/>
      <c r="AA65" s="25"/>
      <c r="AB65" s="25"/>
      <c r="AC65" s="25"/>
    </row>
    <row r="66" spans="1:29" s="37" customFormat="1" ht="11.25" hidden="1" customHeight="1">
      <c r="A66" s="80"/>
      <c r="B66" s="256">
        <v>45768</v>
      </c>
      <c r="C66" s="177" t="s">
        <v>41</v>
      </c>
      <c r="D66" s="407"/>
      <c r="E66" s="149">
        <v>40</v>
      </c>
      <c r="F66" s="253" t="s">
        <v>25</v>
      </c>
      <c r="G66" s="82"/>
      <c r="H66" s="187"/>
      <c r="I66" s="180"/>
      <c r="J66" s="187"/>
      <c r="K66" s="258">
        <v>3.6</v>
      </c>
      <c r="L66" s="79" t="e">
        <f>#REF!</f>
        <v>#REF!</v>
      </c>
      <c r="M66" s="297" t="e">
        <f t="shared" si="6"/>
        <v>#REF!</v>
      </c>
      <c r="N66" s="153" t="e">
        <f t="shared" si="4"/>
        <v>#REF!</v>
      </c>
      <c r="O66" s="153" t="e">
        <f t="shared" si="5"/>
        <v>#REF!</v>
      </c>
      <c r="P66" s="140" t="s">
        <v>201</v>
      </c>
      <c r="Q66" s="92"/>
      <c r="R66" s="140" t="s">
        <v>192</v>
      </c>
      <c r="S66" s="129" t="e">
        <f t="shared" si="7"/>
        <v>#REF!</v>
      </c>
      <c r="T66" s="25"/>
      <c r="U66" s="83"/>
      <c r="V66" s="25"/>
      <c r="W66" s="25"/>
      <c r="X66" s="25"/>
      <c r="Y66" s="25"/>
      <c r="Z66" s="25"/>
      <c r="AA66" s="25"/>
      <c r="AB66" s="25"/>
      <c r="AC66" s="25"/>
    </row>
    <row r="67" spans="1:29" s="37" customFormat="1" ht="11.25" hidden="1" customHeight="1">
      <c r="A67" s="80"/>
      <c r="B67" s="256">
        <v>45768</v>
      </c>
      <c r="C67" s="177" t="s">
        <v>162</v>
      </c>
      <c r="D67" s="149"/>
      <c r="E67" s="149">
        <v>41</v>
      </c>
      <c r="F67" s="253" t="s">
        <v>32</v>
      </c>
      <c r="G67" s="82" t="s">
        <v>33</v>
      </c>
      <c r="H67" s="187"/>
      <c r="I67" s="180"/>
      <c r="J67" s="187"/>
      <c r="K67" s="258">
        <v>2331</v>
      </c>
      <c r="L67" s="79" t="e">
        <f>#REF!</f>
        <v>#REF!</v>
      </c>
      <c r="M67" s="297" t="e">
        <f t="shared" si="6"/>
        <v>#REF!</v>
      </c>
      <c r="N67" s="153" t="e">
        <f t="shared" si="4"/>
        <v>#REF!</v>
      </c>
      <c r="O67" s="153" t="e">
        <f t="shared" si="5"/>
        <v>#REF!</v>
      </c>
      <c r="P67" s="140" t="s">
        <v>201</v>
      </c>
      <c r="Q67" s="92"/>
      <c r="R67" s="140" t="s">
        <v>193</v>
      </c>
      <c r="S67" s="129" t="e">
        <f t="shared" si="7"/>
        <v>#REF!</v>
      </c>
      <c r="T67" s="25"/>
      <c r="U67" s="83"/>
      <c r="V67" s="25"/>
      <c r="W67" s="25"/>
      <c r="X67" s="25"/>
      <c r="Y67" s="25"/>
      <c r="Z67" s="25"/>
      <c r="AA67" s="25"/>
      <c r="AB67" s="25"/>
      <c r="AC67" s="25"/>
    </row>
    <row r="68" spans="1:29" s="37" customFormat="1" ht="11.25" hidden="1" customHeight="1">
      <c r="A68" s="80"/>
      <c r="B68" s="256">
        <v>45768</v>
      </c>
      <c r="C68" s="177" t="s">
        <v>163</v>
      </c>
      <c r="D68" s="149"/>
      <c r="E68" s="149">
        <v>42</v>
      </c>
      <c r="F68" s="253" t="s">
        <v>32</v>
      </c>
      <c r="G68" s="82" t="s">
        <v>33</v>
      </c>
      <c r="H68" s="187"/>
      <c r="I68" s="180"/>
      <c r="J68" s="187"/>
      <c r="K68" s="258">
        <v>163.6</v>
      </c>
      <c r="L68" s="79" t="e">
        <f>#REF!</f>
        <v>#REF!</v>
      </c>
      <c r="M68" s="297" t="e">
        <f t="shared" si="6"/>
        <v>#REF!</v>
      </c>
      <c r="N68" s="153" t="e">
        <f t="shared" si="4"/>
        <v>#REF!</v>
      </c>
      <c r="O68" s="153" t="e">
        <f t="shared" si="5"/>
        <v>#REF!</v>
      </c>
      <c r="P68" s="140" t="s">
        <v>201</v>
      </c>
      <c r="Q68" s="92"/>
      <c r="R68" s="140" t="s">
        <v>193</v>
      </c>
      <c r="S68" s="129" t="e">
        <f t="shared" si="7"/>
        <v>#REF!</v>
      </c>
      <c r="T68" s="25"/>
      <c r="U68" s="83"/>
      <c r="V68" s="25"/>
      <c r="W68" s="25"/>
      <c r="X68" s="25"/>
      <c r="Y68" s="25"/>
      <c r="Z68" s="25"/>
      <c r="AA68" s="25"/>
      <c r="AB68" s="25"/>
      <c r="AC68" s="25"/>
    </row>
    <row r="69" spans="1:29" s="37" customFormat="1" ht="11.25" hidden="1" customHeight="1">
      <c r="A69" s="80"/>
      <c r="B69" s="256">
        <v>45768</v>
      </c>
      <c r="C69" s="177" t="s">
        <v>164</v>
      </c>
      <c r="D69" s="149"/>
      <c r="E69" s="149">
        <v>43</v>
      </c>
      <c r="F69" s="253" t="s">
        <v>32</v>
      </c>
      <c r="G69" s="82" t="s">
        <v>33</v>
      </c>
      <c r="H69" s="187"/>
      <c r="I69" s="180"/>
      <c r="J69" s="187"/>
      <c r="K69" s="258">
        <v>369</v>
      </c>
      <c r="L69" s="79" t="e">
        <f>#REF!</f>
        <v>#REF!</v>
      </c>
      <c r="M69" s="297" t="e">
        <f t="shared" si="6"/>
        <v>#REF!</v>
      </c>
      <c r="N69" s="153" t="e">
        <f t="shared" si="4"/>
        <v>#REF!</v>
      </c>
      <c r="O69" s="153" t="e">
        <f t="shared" si="5"/>
        <v>#REF!</v>
      </c>
      <c r="P69" s="140" t="s">
        <v>201</v>
      </c>
      <c r="Q69" s="92"/>
      <c r="R69" s="140" t="s">
        <v>193</v>
      </c>
      <c r="S69" s="129" t="e">
        <f t="shared" si="7"/>
        <v>#REF!</v>
      </c>
      <c r="T69" s="25"/>
      <c r="U69" s="83"/>
      <c r="V69" s="25"/>
      <c r="W69" s="25"/>
      <c r="X69" s="25"/>
      <c r="Y69" s="25"/>
      <c r="Z69" s="25"/>
      <c r="AA69" s="25"/>
      <c r="AB69" s="25"/>
      <c r="AC69" s="25"/>
    </row>
    <row r="70" spans="1:29" s="37" customFormat="1" ht="11.25" hidden="1" customHeight="1">
      <c r="A70" s="80"/>
      <c r="B70" s="256">
        <v>45768</v>
      </c>
      <c r="C70" s="177" t="s">
        <v>41</v>
      </c>
      <c r="D70" s="407"/>
      <c r="E70" s="149">
        <v>44</v>
      </c>
      <c r="F70" s="253" t="s">
        <v>25</v>
      </c>
      <c r="G70" s="82"/>
      <c r="H70" s="187"/>
      <c r="I70" s="180"/>
      <c r="J70" s="187"/>
      <c r="K70" s="258">
        <v>3.6</v>
      </c>
      <c r="L70" s="79" t="e">
        <f>#REF!</f>
        <v>#REF!</v>
      </c>
      <c r="M70" s="297" t="e">
        <f t="shared" si="6"/>
        <v>#REF!</v>
      </c>
      <c r="N70" s="153" t="e">
        <f t="shared" si="4"/>
        <v>#REF!</v>
      </c>
      <c r="O70" s="153" t="e">
        <f t="shared" si="5"/>
        <v>#REF!</v>
      </c>
      <c r="P70" s="140" t="s">
        <v>201</v>
      </c>
      <c r="Q70" s="92"/>
      <c r="R70" s="140" t="s">
        <v>193</v>
      </c>
      <c r="S70" s="129" t="e">
        <f t="shared" si="7"/>
        <v>#REF!</v>
      </c>
      <c r="T70" s="25"/>
      <c r="U70" s="83"/>
      <c r="V70" s="25"/>
      <c r="W70" s="25"/>
      <c r="X70" s="25"/>
      <c r="Y70" s="25"/>
      <c r="Z70" s="25"/>
      <c r="AA70" s="25"/>
      <c r="AB70" s="25"/>
      <c r="AC70" s="25"/>
    </row>
    <row r="71" spans="1:29" s="37" customFormat="1" ht="11.25" hidden="1" customHeight="1">
      <c r="A71" s="80"/>
      <c r="B71" s="256">
        <v>45768</v>
      </c>
      <c r="C71" s="177" t="s">
        <v>164</v>
      </c>
      <c r="D71" s="149"/>
      <c r="E71" s="149">
        <v>45</v>
      </c>
      <c r="F71" s="253" t="s">
        <v>32</v>
      </c>
      <c r="G71" s="82" t="s">
        <v>33</v>
      </c>
      <c r="H71" s="187"/>
      <c r="I71" s="180"/>
      <c r="J71" s="187"/>
      <c r="K71" s="258">
        <v>529</v>
      </c>
      <c r="L71" s="79" t="e">
        <f>#REF!</f>
        <v>#REF!</v>
      </c>
      <c r="M71" s="297" t="e">
        <f t="shared" si="6"/>
        <v>#REF!</v>
      </c>
      <c r="N71" s="153" t="e">
        <f t="shared" si="4"/>
        <v>#REF!</v>
      </c>
      <c r="O71" s="153" t="e">
        <f t="shared" si="5"/>
        <v>#REF!</v>
      </c>
      <c r="P71" s="140" t="s">
        <v>201</v>
      </c>
      <c r="Q71" s="92"/>
      <c r="R71" s="140" t="s">
        <v>194</v>
      </c>
      <c r="S71" s="129" t="e">
        <f t="shared" si="7"/>
        <v>#REF!</v>
      </c>
      <c r="T71" s="25"/>
      <c r="U71" s="83"/>
      <c r="V71" s="25"/>
      <c r="W71" s="25"/>
      <c r="X71" s="25"/>
      <c r="Y71" s="25"/>
      <c r="Z71" s="25"/>
      <c r="AA71" s="25"/>
      <c r="AB71" s="25"/>
      <c r="AC71" s="25"/>
    </row>
    <row r="72" spans="1:29" s="37" customFormat="1" ht="11.25" hidden="1" customHeight="1">
      <c r="A72" s="80"/>
      <c r="B72" s="256">
        <v>45768</v>
      </c>
      <c r="C72" s="177" t="s">
        <v>162</v>
      </c>
      <c r="D72" s="149"/>
      <c r="E72" s="149">
        <v>46</v>
      </c>
      <c r="F72" s="253" t="s">
        <v>32</v>
      </c>
      <c r="G72" s="82" t="s">
        <v>33</v>
      </c>
      <c r="H72" s="187"/>
      <c r="I72" s="180"/>
      <c r="J72" s="187"/>
      <c r="K72" s="258">
        <v>2255</v>
      </c>
      <c r="L72" s="79" t="e">
        <f>#REF!</f>
        <v>#REF!</v>
      </c>
      <c r="M72" s="297" t="e">
        <f t="shared" si="6"/>
        <v>#REF!</v>
      </c>
      <c r="N72" s="153" t="e">
        <f t="shared" si="4"/>
        <v>#REF!</v>
      </c>
      <c r="O72" s="153" t="e">
        <f t="shared" si="5"/>
        <v>#REF!</v>
      </c>
      <c r="P72" s="140" t="s">
        <v>201</v>
      </c>
      <c r="Q72" s="92"/>
      <c r="R72" s="140" t="s">
        <v>194</v>
      </c>
      <c r="S72" s="129" t="e">
        <f t="shared" si="7"/>
        <v>#REF!</v>
      </c>
      <c r="T72" s="25"/>
      <c r="U72" s="83"/>
      <c r="V72" s="25"/>
      <c r="W72" s="25"/>
      <c r="X72" s="25"/>
      <c r="Y72" s="25"/>
      <c r="Z72" s="25"/>
      <c r="AA72" s="25"/>
      <c r="AB72" s="25"/>
      <c r="AC72" s="25"/>
    </row>
    <row r="73" spans="1:29" s="37" customFormat="1" ht="11.25" hidden="1" customHeight="1">
      <c r="A73" s="80"/>
      <c r="B73" s="256">
        <v>45768</v>
      </c>
      <c r="C73" s="177" t="s">
        <v>163</v>
      </c>
      <c r="D73" s="149"/>
      <c r="E73" s="149">
        <v>47</v>
      </c>
      <c r="F73" s="253" t="s">
        <v>32</v>
      </c>
      <c r="G73" s="82" t="s">
        <v>33</v>
      </c>
      <c r="H73" s="187"/>
      <c r="I73" s="180"/>
      <c r="J73" s="187"/>
      <c r="K73" s="258">
        <v>201</v>
      </c>
      <c r="L73" s="79" t="e">
        <f>#REF!</f>
        <v>#REF!</v>
      </c>
      <c r="M73" s="297" t="e">
        <f t="shared" si="6"/>
        <v>#REF!</v>
      </c>
      <c r="N73" s="153" t="e">
        <f t="shared" si="4"/>
        <v>#REF!</v>
      </c>
      <c r="O73" s="153" t="e">
        <f t="shared" si="5"/>
        <v>#REF!</v>
      </c>
      <c r="P73" s="140" t="s">
        <v>201</v>
      </c>
      <c r="Q73" s="92"/>
      <c r="R73" s="140" t="s">
        <v>194</v>
      </c>
      <c r="S73" s="129" t="e">
        <f t="shared" si="7"/>
        <v>#REF!</v>
      </c>
      <c r="T73" s="25"/>
      <c r="U73" s="83"/>
      <c r="V73" s="25"/>
      <c r="W73" s="25"/>
      <c r="X73" s="25"/>
      <c r="Y73" s="25"/>
      <c r="Z73" s="25"/>
      <c r="AA73" s="25"/>
      <c r="AB73" s="25"/>
      <c r="AC73" s="25"/>
    </row>
    <row r="74" spans="1:29" s="37" customFormat="1" ht="11.25" hidden="1" customHeight="1">
      <c r="A74" s="80"/>
      <c r="B74" s="256">
        <v>45768</v>
      </c>
      <c r="C74" s="177" t="s">
        <v>41</v>
      </c>
      <c r="D74" s="407"/>
      <c r="E74" s="149">
        <v>48</v>
      </c>
      <c r="F74" s="253" t="s">
        <v>25</v>
      </c>
      <c r="G74" s="82"/>
      <c r="H74" s="187"/>
      <c r="I74" s="180"/>
      <c r="J74" s="187"/>
      <c r="K74" s="258">
        <v>3.6</v>
      </c>
      <c r="L74" s="79" t="e">
        <f>#REF!</f>
        <v>#REF!</v>
      </c>
      <c r="M74" s="297" t="e">
        <f t="shared" si="6"/>
        <v>#REF!</v>
      </c>
      <c r="N74" s="153" t="e">
        <f t="shared" si="4"/>
        <v>#REF!</v>
      </c>
      <c r="O74" s="153" t="e">
        <f t="shared" si="5"/>
        <v>#REF!</v>
      </c>
      <c r="P74" s="140" t="s">
        <v>201</v>
      </c>
      <c r="Q74" s="92"/>
      <c r="R74" s="140" t="s">
        <v>194</v>
      </c>
      <c r="S74" s="129" t="e">
        <f t="shared" si="7"/>
        <v>#REF!</v>
      </c>
      <c r="T74" s="25"/>
      <c r="U74" s="83"/>
      <c r="V74" s="25"/>
      <c r="W74" s="25"/>
      <c r="X74" s="25"/>
      <c r="Y74" s="25"/>
      <c r="Z74" s="25"/>
      <c r="AA74" s="25"/>
      <c r="AB74" s="25"/>
      <c r="AC74" s="25"/>
    </row>
    <row r="75" spans="1:29" s="37" customFormat="1" ht="11.25" hidden="1" customHeight="1">
      <c r="A75" s="80"/>
      <c r="B75" s="256">
        <v>45768</v>
      </c>
      <c r="C75" s="177" t="s">
        <v>69</v>
      </c>
      <c r="D75" s="407"/>
      <c r="E75" s="149">
        <v>49</v>
      </c>
      <c r="F75" s="253" t="s">
        <v>25</v>
      </c>
      <c r="G75" s="82"/>
      <c r="H75" s="187"/>
      <c r="I75" s="180"/>
      <c r="J75" s="187"/>
      <c r="K75" s="84">
        <v>16000</v>
      </c>
      <c r="L75" s="79" t="e">
        <f>#REF!</f>
        <v>#REF!</v>
      </c>
      <c r="M75" s="297" t="e">
        <f t="shared" si="6"/>
        <v>#REF!</v>
      </c>
      <c r="N75" s="153" t="e">
        <f t="shared" si="4"/>
        <v>#REF!</v>
      </c>
      <c r="O75" s="153" t="e">
        <f t="shared" si="5"/>
        <v>#REF!</v>
      </c>
      <c r="P75" s="140" t="s">
        <v>201</v>
      </c>
      <c r="Q75" s="92"/>
      <c r="R75" s="305" t="s">
        <v>199</v>
      </c>
      <c r="S75" s="129" t="e">
        <f t="shared" si="7"/>
        <v>#REF!</v>
      </c>
      <c r="T75" s="25"/>
      <c r="U75" s="83"/>
      <c r="V75" s="25"/>
      <c r="W75" s="25"/>
      <c r="X75" s="25"/>
      <c r="Y75" s="25"/>
      <c r="Z75" s="25"/>
      <c r="AA75" s="25"/>
      <c r="AB75" s="25"/>
      <c r="AC75" s="25"/>
    </row>
    <row r="76" spans="1:29" s="37" customFormat="1" ht="11.25" hidden="1" customHeight="1">
      <c r="A76" s="80"/>
      <c r="B76" s="256">
        <v>45768</v>
      </c>
      <c r="C76" s="177" t="s">
        <v>75</v>
      </c>
      <c r="D76" s="407"/>
      <c r="E76" s="149">
        <v>49</v>
      </c>
      <c r="F76" s="253" t="s">
        <v>25</v>
      </c>
      <c r="G76" s="82"/>
      <c r="H76" s="187"/>
      <c r="I76" s="180"/>
      <c r="J76" s="187"/>
      <c r="K76" s="84">
        <v>24000</v>
      </c>
      <c r="L76" s="79" t="e">
        <f>#REF!</f>
        <v>#REF!</v>
      </c>
      <c r="M76" s="297" t="e">
        <f t="shared" si="6"/>
        <v>#REF!</v>
      </c>
      <c r="N76" s="153" t="e">
        <f t="shared" si="4"/>
        <v>#REF!</v>
      </c>
      <c r="O76" s="153" t="e">
        <f t="shared" si="5"/>
        <v>#REF!</v>
      </c>
      <c r="P76" s="140" t="s">
        <v>201</v>
      </c>
      <c r="Q76" s="92"/>
      <c r="R76" s="305" t="s">
        <v>199</v>
      </c>
      <c r="S76" s="129" t="e">
        <f t="shared" si="7"/>
        <v>#REF!</v>
      </c>
      <c r="T76" s="25"/>
      <c r="U76" s="83"/>
      <c r="V76" s="25"/>
      <c r="W76" s="25"/>
      <c r="X76" s="25"/>
      <c r="Y76" s="25"/>
      <c r="Z76" s="25"/>
      <c r="AA76" s="25"/>
      <c r="AB76" s="25"/>
      <c r="AC76" s="25"/>
    </row>
    <row r="77" spans="1:29" s="37" customFormat="1" ht="11.25" hidden="1" customHeight="1">
      <c r="A77" s="80"/>
      <c r="B77" s="256">
        <v>45768</v>
      </c>
      <c r="C77" s="177" t="s">
        <v>70</v>
      </c>
      <c r="D77" s="407"/>
      <c r="E77" s="149">
        <v>49</v>
      </c>
      <c r="F77" s="253" t="s">
        <v>25</v>
      </c>
      <c r="G77" s="82"/>
      <c r="H77" s="187"/>
      <c r="I77" s="180"/>
      <c r="J77" s="187"/>
      <c r="K77" s="84">
        <v>5305.1900000000005</v>
      </c>
      <c r="L77" s="79" t="e">
        <f>#REF!</f>
        <v>#REF!</v>
      </c>
      <c r="M77" s="297" t="e">
        <f t="shared" si="6"/>
        <v>#REF!</v>
      </c>
      <c r="N77" s="153" t="e">
        <f t="shared" si="4"/>
        <v>#REF!</v>
      </c>
      <c r="O77" s="153" t="e">
        <f t="shared" si="5"/>
        <v>#REF!</v>
      </c>
      <c r="P77" s="140" t="s">
        <v>201</v>
      </c>
      <c r="Q77" s="92"/>
      <c r="R77" s="305" t="s">
        <v>199</v>
      </c>
      <c r="S77" s="129" t="e">
        <f t="shared" si="7"/>
        <v>#REF!</v>
      </c>
      <c r="T77" s="25"/>
      <c r="U77" s="83"/>
      <c r="V77" s="25"/>
      <c r="W77" s="25"/>
      <c r="X77" s="25"/>
      <c r="Y77" s="25"/>
      <c r="Z77" s="25"/>
      <c r="AA77" s="25"/>
      <c r="AB77" s="25"/>
      <c r="AC77" s="25"/>
    </row>
    <row r="78" spans="1:29" s="37" customFormat="1" ht="11.25" hidden="1" customHeight="1">
      <c r="A78" s="80"/>
      <c r="B78" s="256">
        <v>45768</v>
      </c>
      <c r="C78" s="177" t="s">
        <v>71</v>
      </c>
      <c r="D78" s="407"/>
      <c r="E78" s="149">
        <v>49</v>
      </c>
      <c r="F78" s="253" t="s">
        <v>25</v>
      </c>
      <c r="G78" s="82"/>
      <c r="H78" s="187"/>
      <c r="I78" s="180"/>
      <c r="J78" s="187"/>
      <c r="K78" s="90">
        <v>3336.8000000000011</v>
      </c>
      <c r="L78" s="79" t="e">
        <f>#REF!</f>
        <v>#REF!</v>
      </c>
      <c r="M78" s="297" t="e">
        <f t="shared" si="6"/>
        <v>#REF!</v>
      </c>
      <c r="N78" s="153" t="e">
        <f t="shared" si="4"/>
        <v>#REF!</v>
      </c>
      <c r="O78" s="153" t="e">
        <f t="shared" si="5"/>
        <v>#REF!</v>
      </c>
      <c r="P78" s="140" t="s">
        <v>201</v>
      </c>
      <c r="Q78" s="92"/>
      <c r="R78" s="305" t="s">
        <v>199</v>
      </c>
      <c r="S78" s="129" t="e">
        <f t="shared" si="7"/>
        <v>#REF!</v>
      </c>
      <c r="T78" s="25"/>
      <c r="U78" s="83"/>
      <c r="V78" s="25"/>
      <c r="W78" s="25"/>
      <c r="X78" s="25"/>
      <c r="Y78" s="25"/>
      <c r="Z78" s="25"/>
      <c r="AA78" s="25"/>
      <c r="AB78" s="25"/>
      <c r="AC78" s="25"/>
    </row>
    <row r="79" spans="1:29" ht="11.25" hidden="1" customHeight="1">
      <c r="B79" s="256">
        <v>45768</v>
      </c>
      <c r="C79" s="177" t="s">
        <v>73</v>
      </c>
      <c r="D79" s="407"/>
      <c r="E79" s="149">
        <v>49</v>
      </c>
      <c r="F79" s="253" t="s">
        <v>25</v>
      </c>
      <c r="G79" s="82"/>
      <c r="H79" s="187"/>
      <c r="I79" s="180"/>
      <c r="J79" s="187"/>
      <c r="K79" s="90">
        <v>300</v>
      </c>
      <c r="L79" s="79" t="e">
        <f>#REF!</f>
        <v>#REF!</v>
      </c>
      <c r="M79" s="297" t="e">
        <f t="shared" si="6"/>
        <v>#REF!</v>
      </c>
      <c r="N79" s="153" t="e">
        <f t="shared" si="4"/>
        <v>#REF!</v>
      </c>
      <c r="O79" s="153" t="e">
        <f t="shared" si="5"/>
        <v>#REF!</v>
      </c>
      <c r="P79" s="140" t="s">
        <v>201</v>
      </c>
      <c r="Q79" s="92"/>
      <c r="R79" s="305" t="s">
        <v>199</v>
      </c>
      <c r="S79" s="129" t="e">
        <f t="shared" si="7"/>
        <v>#REF!</v>
      </c>
    </row>
    <row r="80" spans="1:29" ht="11.25" hidden="1" customHeight="1">
      <c r="B80" s="256">
        <v>45772</v>
      </c>
      <c r="C80" s="177" t="s">
        <v>69</v>
      </c>
      <c r="D80" s="407"/>
      <c r="E80" s="149">
        <v>49</v>
      </c>
      <c r="F80" s="253" t="s">
        <v>25</v>
      </c>
      <c r="G80" s="82"/>
      <c r="H80" s="187"/>
      <c r="I80" s="180"/>
      <c r="J80" s="187"/>
      <c r="K80" s="84">
        <v>16000</v>
      </c>
      <c r="L80" s="79" t="e">
        <f>#REF!</f>
        <v>#REF!</v>
      </c>
      <c r="M80" s="297" t="e">
        <f t="shared" si="6"/>
        <v>#REF!</v>
      </c>
      <c r="N80" s="153" t="e">
        <f t="shared" si="4"/>
        <v>#REF!</v>
      </c>
      <c r="O80" s="153" t="e">
        <f t="shared" si="5"/>
        <v>#REF!</v>
      </c>
      <c r="P80" s="140" t="s">
        <v>201</v>
      </c>
      <c r="Q80" s="92"/>
      <c r="R80" s="305" t="s">
        <v>200</v>
      </c>
      <c r="S80" s="129" t="e">
        <f t="shared" si="7"/>
        <v>#REF!</v>
      </c>
    </row>
    <row r="81" spans="2:19" ht="11.25" hidden="1" customHeight="1">
      <c r="B81" s="256">
        <v>45772</v>
      </c>
      <c r="C81" s="177" t="s">
        <v>75</v>
      </c>
      <c r="D81" s="407"/>
      <c r="E81" s="149">
        <v>49</v>
      </c>
      <c r="F81" s="253" t="s">
        <v>25</v>
      </c>
      <c r="G81" s="82"/>
      <c r="H81" s="187"/>
      <c r="I81" s="180"/>
      <c r="J81" s="187"/>
      <c r="K81" s="84">
        <v>24000</v>
      </c>
      <c r="L81" s="79" t="e">
        <f>#REF!</f>
        <v>#REF!</v>
      </c>
      <c r="M81" s="297" t="e">
        <f t="shared" si="6"/>
        <v>#REF!</v>
      </c>
      <c r="N81" s="153" t="e">
        <f t="shared" si="4"/>
        <v>#REF!</v>
      </c>
      <c r="O81" s="153" t="e">
        <f t="shared" si="5"/>
        <v>#REF!</v>
      </c>
      <c r="P81" s="140" t="s">
        <v>201</v>
      </c>
      <c r="Q81" s="92"/>
      <c r="R81" s="306" t="s">
        <v>200</v>
      </c>
      <c r="S81" s="129" t="e">
        <f t="shared" si="7"/>
        <v>#REF!</v>
      </c>
    </row>
    <row r="82" spans="2:19" ht="11.25" hidden="1" customHeight="1">
      <c r="B82" s="256">
        <v>45772</v>
      </c>
      <c r="C82" s="177" t="s">
        <v>70</v>
      </c>
      <c r="D82" s="407"/>
      <c r="E82" s="149">
        <v>49</v>
      </c>
      <c r="F82" s="253" t="s">
        <v>25</v>
      </c>
      <c r="G82" s="82"/>
      <c r="H82" s="187"/>
      <c r="I82" s="180"/>
      <c r="J82" s="187"/>
      <c r="K82" s="90">
        <v>9305.19</v>
      </c>
      <c r="L82" s="79" t="e">
        <f>#REF!</f>
        <v>#REF!</v>
      </c>
      <c r="M82" s="297" t="e">
        <f t="shared" si="6"/>
        <v>#REF!</v>
      </c>
      <c r="N82" s="153" t="e">
        <f t="shared" si="4"/>
        <v>#REF!</v>
      </c>
      <c r="O82" s="153" t="e">
        <f t="shared" si="5"/>
        <v>#REF!</v>
      </c>
      <c r="P82" s="140" t="s">
        <v>201</v>
      </c>
      <c r="Q82" s="92"/>
      <c r="R82" s="306" t="s">
        <v>200</v>
      </c>
      <c r="S82" s="129" t="e">
        <f t="shared" si="7"/>
        <v>#REF!</v>
      </c>
    </row>
    <row r="83" spans="2:19" ht="11.25" hidden="1" customHeight="1">
      <c r="B83" s="256">
        <v>45772</v>
      </c>
      <c r="C83" s="177" t="s">
        <v>71</v>
      </c>
      <c r="D83" s="407"/>
      <c r="E83" s="149">
        <v>49</v>
      </c>
      <c r="F83" s="253" t="s">
        <v>25</v>
      </c>
      <c r="G83" s="82"/>
      <c r="H83" s="187"/>
      <c r="I83" s="180"/>
      <c r="J83" s="187"/>
      <c r="K83" s="90">
        <v>3144.8000000000011</v>
      </c>
      <c r="L83" s="79" t="e">
        <f>#REF!</f>
        <v>#REF!</v>
      </c>
      <c r="M83" s="297" t="e">
        <f t="shared" si="6"/>
        <v>#REF!</v>
      </c>
      <c r="N83" s="153" t="e">
        <f t="shared" si="4"/>
        <v>#REF!</v>
      </c>
      <c r="O83" s="153" t="e">
        <f t="shared" si="5"/>
        <v>#REF!</v>
      </c>
      <c r="P83" s="140" t="s">
        <v>201</v>
      </c>
      <c r="Q83" s="92"/>
      <c r="R83" s="306" t="s">
        <v>200</v>
      </c>
      <c r="S83" s="129" t="e">
        <f t="shared" si="7"/>
        <v>#REF!</v>
      </c>
    </row>
    <row r="84" spans="2:19" ht="11.25" hidden="1" customHeight="1">
      <c r="B84" s="256">
        <v>45772</v>
      </c>
      <c r="C84" s="177" t="s">
        <v>73</v>
      </c>
      <c r="D84" s="407"/>
      <c r="E84" s="149">
        <v>49</v>
      </c>
      <c r="F84" s="253" t="s">
        <v>25</v>
      </c>
      <c r="G84" s="82"/>
      <c r="H84" s="187"/>
      <c r="I84" s="180"/>
      <c r="J84" s="187"/>
      <c r="K84" s="90">
        <v>300</v>
      </c>
      <c r="L84" s="79" t="e">
        <f>#REF!</f>
        <v>#REF!</v>
      </c>
      <c r="M84" s="297" t="e">
        <f t="shared" si="6"/>
        <v>#REF!</v>
      </c>
      <c r="N84" s="153" t="e">
        <f t="shared" si="4"/>
        <v>#REF!</v>
      </c>
      <c r="O84" s="153" t="e">
        <f t="shared" si="5"/>
        <v>#REF!</v>
      </c>
      <c r="P84" s="140" t="s">
        <v>201</v>
      </c>
      <c r="Q84" s="92"/>
      <c r="R84" s="306" t="s">
        <v>200</v>
      </c>
      <c r="S84" s="129" t="e">
        <f t="shared" si="7"/>
        <v>#REF!</v>
      </c>
    </row>
    <row r="85" spans="2:19" ht="11.25" customHeight="1">
      <c r="B85" s="256">
        <v>45772</v>
      </c>
      <c r="C85" s="177" t="s">
        <v>72</v>
      </c>
      <c r="D85" s="149"/>
      <c r="E85" s="149">
        <v>49</v>
      </c>
      <c r="F85" s="253" t="s">
        <v>25</v>
      </c>
      <c r="G85" s="82"/>
      <c r="H85" s="187"/>
      <c r="I85" s="180"/>
      <c r="J85" s="187"/>
      <c r="K85" s="91">
        <v>25750</v>
      </c>
      <c r="L85" s="79" t="e">
        <f>#REF!</f>
        <v>#REF!</v>
      </c>
      <c r="M85" s="297" t="e">
        <f t="shared" si="6"/>
        <v>#REF!</v>
      </c>
      <c r="N85" s="153" t="e">
        <f t="shared" si="4"/>
        <v>#REF!</v>
      </c>
      <c r="O85" s="153" t="e">
        <f t="shared" si="5"/>
        <v>#REF!</v>
      </c>
      <c r="P85" s="140" t="s">
        <v>201</v>
      </c>
      <c r="Q85" s="92"/>
      <c r="R85" s="305" t="s">
        <v>195</v>
      </c>
      <c r="S85" s="129" t="e">
        <f t="shared" si="7"/>
        <v>#REF!</v>
      </c>
    </row>
    <row r="86" spans="2:19" ht="11.25" customHeight="1">
      <c r="B86" s="256">
        <v>45772</v>
      </c>
      <c r="C86" s="177" t="s">
        <v>114</v>
      </c>
      <c r="D86" s="149"/>
      <c r="E86" s="149">
        <v>49</v>
      </c>
      <c r="F86" s="253" t="s">
        <v>25</v>
      </c>
      <c r="G86" s="82"/>
      <c r="H86" s="187"/>
      <c r="I86" s="180"/>
      <c r="J86" s="187"/>
      <c r="K86" s="91">
        <v>12875</v>
      </c>
      <c r="L86" s="79" t="e">
        <f>#REF!</f>
        <v>#REF!</v>
      </c>
      <c r="M86" s="297" t="e">
        <f t="shared" si="6"/>
        <v>#REF!</v>
      </c>
      <c r="N86" s="153" t="e">
        <f t="shared" si="4"/>
        <v>#REF!</v>
      </c>
      <c r="O86" s="153" t="e">
        <f t="shared" si="5"/>
        <v>#REF!</v>
      </c>
      <c r="P86" s="140" t="s">
        <v>201</v>
      </c>
      <c r="Q86" s="92"/>
      <c r="R86" s="305" t="s">
        <v>195</v>
      </c>
      <c r="S86" s="129" t="e">
        <f t="shared" si="7"/>
        <v>#REF!</v>
      </c>
    </row>
    <row r="87" spans="2:19" ht="11.25" hidden="1" customHeight="1">
      <c r="B87" s="256">
        <v>45772</v>
      </c>
      <c r="C87" s="177" t="s">
        <v>76</v>
      </c>
      <c r="D87" s="407"/>
      <c r="E87" s="149">
        <v>49</v>
      </c>
      <c r="F87" s="253" t="s">
        <v>25</v>
      </c>
      <c r="G87" s="82"/>
      <c r="H87" s="187"/>
      <c r="I87" s="180"/>
      <c r="J87" s="187"/>
      <c r="K87" s="90">
        <v>7431.44</v>
      </c>
      <c r="L87" s="79" t="e">
        <f>#REF!</f>
        <v>#REF!</v>
      </c>
      <c r="M87" s="297" t="e">
        <f t="shared" si="6"/>
        <v>#REF!</v>
      </c>
      <c r="N87" s="153" t="e">
        <f t="shared" si="4"/>
        <v>#REF!</v>
      </c>
      <c r="O87" s="153" t="e">
        <f t="shared" si="5"/>
        <v>#REF!</v>
      </c>
      <c r="P87" s="140" t="s">
        <v>201</v>
      </c>
      <c r="Q87" s="92"/>
      <c r="R87" s="305" t="s">
        <v>195</v>
      </c>
      <c r="S87" s="129" t="e">
        <f t="shared" si="7"/>
        <v>#REF!</v>
      </c>
    </row>
    <row r="88" spans="2:19" ht="11.25" hidden="1" customHeight="1">
      <c r="B88" s="256">
        <v>45772</v>
      </c>
      <c r="C88" s="177" t="s">
        <v>73</v>
      </c>
      <c r="D88" s="407"/>
      <c r="E88" s="149">
        <v>49</v>
      </c>
      <c r="F88" s="253" t="s">
        <v>25</v>
      </c>
      <c r="G88" s="82"/>
      <c r="H88" s="187"/>
      <c r="I88" s="180"/>
      <c r="J88" s="187"/>
      <c r="K88" s="90">
        <v>300</v>
      </c>
      <c r="L88" s="79" t="e">
        <f>#REF!</f>
        <v>#REF!</v>
      </c>
      <c r="M88" s="297" t="e">
        <f t="shared" si="6"/>
        <v>#REF!</v>
      </c>
      <c r="N88" s="153" t="e">
        <f t="shared" ref="N88:N104" si="8">N87+H88-K88</f>
        <v>#REF!</v>
      </c>
      <c r="O88" s="153" t="e">
        <f t="shared" ref="O88:O104" si="9">O87+J88-M88</f>
        <v>#REF!</v>
      </c>
      <c r="P88" s="140" t="s">
        <v>201</v>
      </c>
      <c r="Q88" s="92"/>
      <c r="R88" s="305" t="s">
        <v>195</v>
      </c>
      <c r="S88" s="129" t="e">
        <f t="shared" si="7"/>
        <v>#REF!</v>
      </c>
    </row>
    <row r="89" spans="2:19" ht="11.25" customHeight="1">
      <c r="B89" s="256">
        <v>45772</v>
      </c>
      <c r="C89" s="177" t="s">
        <v>77</v>
      </c>
      <c r="D89" s="149"/>
      <c r="E89" s="149">
        <v>49</v>
      </c>
      <c r="F89" s="253" t="s">
        <v>25</v>
      </c>
      <c r="G89" s="82"/>
      <c r="H89" s="187"/>
      <c r="I89" s="180"/>
      <c r="J89" s="187"/>
      <c r="K89" s="90">
        <v>800</v>
      </c>
      <c r="L89" s="79" t="e">
        <f>#REF!</f>
        <v>#REF!</v>
      </c>
      <c r="M89" s="297" t="e">
        <f t="shared" ref="M89:M104" si="10">K89/L89</f>
        <v>#REF!</v>
      </c>
      <c r="N89" s="153" t="e">
        <f t="shared" si="8"/>
        <v>#REF!</v>
      </c>
      <c r="O89" s="153" t="e">
        <f t="shared" si="9"/>
        <v>#REF!</v>
      </c>
      <c r="P89" s="140" t="s">
        <v>201</v>
      </c>
      <c r="Q89" s="92"/>
      <c r="R89" s="305" t="s">
        <v>195</v>
      </c>
      <c r="S89" s="129" t="e">
        <f t="shared" si="7"/>
        <v>#REF!</v>
      </c>
    </row>
    <row r="90" spans="2:19" ht="11.25" customHeight="1">
      <c r="B90" s="256">
        <v>45772</v>
      </c>
      <c r="C90" s="177" t="s">
        <v>72</v>
      </c>
      <c r="D90" s="149"/>
      <c r="E90" s="149">
        <v>49</v>
      </c>
      <c r="F90" s="253" t="s">
        <v>25</v>
      </c>
      <c r="G90" s="82"/>
      <c r="H90" s="187"/>
      <c r="I90" s="180"/>
      <c r="J90" s="187"/>
      <c r="K90" s="91">
        <v>13390</v>
      </c>
      <c r="L90" s="79" t="e">
        <f>#REF!</f>
        <v>#REF!</v>
      </c>
      <c r="M90" s="297" t="e">
        <f t="shared" si="10"/>
        <v>#REF!</v>
      </c>
      <c r="N90" s="153" t="e">
        <f t="shared" si="8"/>
        <v>#REF!</v>
      </c>
      <c r="O90" s="153" t="e">
        <f t="shared" si="9"/>
        <v>#REF!</v>
      </c>
      <c r="P90" s="140" t="s">
        <v>201</v>
      </c>
      <c r="Q90" s="92"/>
      <c r="R90" s="307" t="s">
        <v>196</v>
      </c>
      <c r="S90" s="129" t="e">
        <f t="shared" ref="S90:S104" si="11">S89-M90+J90</f>
        <v>#REF!</v>
      </c>
    </row>
    <row r="91" spans="2:19" ht="11.25" customHeight="1">
      <c r="B91" s="256">
        <v>45772</v>
      </c>
      <c r="C91" s="177" t="s">
        <v>114</v>
      </c>
      <c r="D91" s="149"/>
      <c r="E91" s="149">
        <v>49</v>
      </c>
      <c r="F91" s="253" t="s">
        <v>25</v>
      </c>
      <c r="G91" s="82"/>
      <c r="H91" s="187"/>
      <c r="I91" s="180"/>
      <c r="J91" s="187"/>
      <c r="K91" s="91">
        <v>4120</v>
      </c>
      <c r="L91" s="79" t="e">
        <f>#REF!</f>
        <v>#REF!</v>
      </c>
      <c r="M91" s="297" t="e">
        <f t="shared" si="10"/>
        <v>#REF!</v>
      </c>
      <c r="N91" s="153" t="e">
        <f t="shared" si="8"/>
        <v>#REF!</v>
      </c>
      <c r="O91" s="153" t="e">
        <f t="shared" si="9"/>
        <v>#REF!</v>
      </c>
      <c r="P91" s="140" t="s">
        <v>201</v>
      </c>
      <c r="Q91" s="92"/>
      <c r="R91" s="307" t="s">
        <v>196</v>
      </c>
      <c r="S91" s="129" t="e">
        <f t="shared" si="11"/>
        <v>#REF!</v>
      </c>
    </row>
    <row r="92" spans="2:19" ht="11.25" hidden="1" customHeight="1">
      <c r="B92" s="256">
        <v>45772</v>
      </c>
      <c r="C92" s="177" t="s">
        <v>76</v>
      </c>
      <c r="D92" s="407"/>
      <c r="E92" s="149">
        <v>49</v>
      </c>
      <c r="F92" s="253" t="s">
        <v>25</v>
      </c>
      <c r="G92" s="82"/>
      <c r="H92" s="187"/>
      <c r="I92" s="180"/>
      <c r="J92" s="187"/>
      <c r="K92" s="90">
        <v>3281.57</v>
      </c>
      <c r="L92" s="79" t="e">
        <f>#REF!</f>
        <v>#REF!</v>
      </c>
      <c r="M92" s="297" t="e">
        <f t="shared" si="10"/>
        <v>#REF!</v>
      </c>
      <c r="N92" s="153" t="e">
        <f t="shared" si="8"/>
        <v>#REF!</v>
      </c>
      <c r="O92" s="153" t="e">
        <f t="shared" si="9"/>
        <v>#REF!</v>
      </c>
      <c r="P92" s="140" t="s">
        <v>201</v>
      </c>
      <c r="Q92" s="92"/>
      <c r="R92" s="307" t="s">
        <v>196</v>
      </c>
      <c r="S92" s="129" t="e">
        <f t="shared" si="11"/>
        <v>#REF!</v>
      </c>
    </row>
    <row r="93" spans="2:19" ht="11.25" hidden="1" customHeight="1">
      <c r="B93" s="256">
        <v>45772</v>
      </c>
      <c r="C93" s="177" t="s">
        <v>73</v>
      </c>
      <c r="D93" s="407"/>
      <c r="E93" s="149">
        <v>49</v>
      </c>
      <c r="F93" s="253" t="s">
        <v>25</v>
      </c>
      <c r="G93" s="82"/>
      <c r="H93" s="187"/>
      <c r="I93" s="180"/>
      <c r="J93" s="187"/>
      <c r="K93" s="90">
        <v>300</v>
      </c>
      <c r="L93" s="79" t="e">
        <f>#REF!</f>
        <v>#REF!</v>
      </c>
      <c r="M93" s="297" t="e">
        <f t="shared" si="10"/>
        <v>#REF!</v>
      </c>
      <c r="N93" s="153" t="e">
        <f t="shared" si="8"/>
        <v>#REF!</v>
      </c>
      <c r="O93" s="153" t="e">
        <f t="shared" si="9"/>
        <v>#REF!</v>
      </c>
      <c r="P93" s="140" t="s">
        <v>201</v>
      </c>
      <c r="Q93" s="92"/>
      <c r="R93" s="307" t="s">
        <v>196</v>
      </c>
      <c r="S93" s="129" t="e">
        <f t="shared" si="11"/>
        <v>#REF!</v>
      </c>
    </row>
    <row r="94" spans="2:19" ht="11.25" customHeight="1">
      <c r="B94" s="256">
        <v>45772</v>
      </c>
      <c r="C94" s="177" t="s">
        <v>77</v>
      </c>
      <c r="D94" s="149"/>
      <c r="E94" s="149">
        <v>49</v>
      </c>
      <c r="F94" s="253" t="s">
        <v>25</v>
      </c>
      <c r="G94" s="82"/>
      <c r="H94" s="187"/>
      <c r="I94" s="180"/>
      <c r="J94" s="187"/>
      <c r="K94" s="90">
        <v>200</v>
      </c>
      <c r="L94" s="79" t="e">
        <f>#REF!</f>
        <v>#REF!</v>
      </c>
      <c r="M94" s="297" t="e">
        <f t="shared" si="10"/>
        <v>#REF!</v>
      </c>
      <c r="N94" s="153" t="e">
        <f t="shared" si="8"/>
        <v>#REF!</v>
      </c>
      <c r="O94" s="153" t="e">
        <f t="shared" si="9"/>
        <v>#REF!</v>
      </c>
      <c r="P94" s="140" t="s">
        <v>201</v>
      </c>
      <c r="Q94" s="92"/>
      <c r="R94" s="307" t="s">
        <v>196</v>
      </c>
      <c r="S94" s="129" t="e">
        <f t="shared" si="11"/>
        <v>#REF!</v>
      </c>
    </row>
    <row r="95" spans="2:19" ht="11.25" customHeight="1">
      <c r="B95" s="256">
        <v>45772</v>
      </c>
      <c r="C95" s="177" t="s">
        <v>72</v>
      </c>
      <c r="D95" s="149"/>
      <c r="E95" s="149">
        <v>49</v>
      </c>
      <c r="F95" s="253" t="s">
        <v>25</v>
      </c>
      <c r="G95" s="82"/>
      <c r="H95" s="187"/>
      <c r="I95" s="180"/>
      <c r="J95" s="187"/>
      <c r="K95" s="91">
        <v>25750</v>
      </c>
      <c r="L95" s="79" t="e">
        <f>#REF!</f>
        <v>#REF!</v>
      </c>
      <c r="M95" s="297" t="e">
        <f t="shared" si="10"/>
        <v>#REF!</v>
      </c>
      <c r="N95" s="153" t="e">
        <f t="shared" si="8"/>
        <v>#REF!</v>
      </c>
      <c r="O95" s="153" t="e">
        <f t="shared" si="9"/>
        <v>#REF!</v>
      </c>
      <c r="P95" s="140" t="s">
        <v>201</v>
      </c>
      <c r="Q95" s="92"/>
      <c r="R95" s="305" t="s">
        <v>197</v>
      </c>
      <c r="S95" s="129" t="e">
        <f t="shared" si="11"/>
        <v>#REF!</v>
      </c>
    </row>
    <row r="96" spans="2:19" ht="11.25" customHeight="1">
      <c r="B96" s="256">
        <v>45772</v>
      </c>
      <c r="C96" s="177" t="s">
        <v>114</v>
      </c>
      <c r="D96" s="149"/>
      <c r="E96" s="149">
        <v>49</v>
      </c>
      <c r="F96" s="253" t="s">
        <v>25</v>
      </c>
      <c r="G96" s="82"/>
      <c r="H96" s="187"/>
      <c r="I96" s="180"/>
      <c r="J96" s="187"/>
      <c r="K96" s="91">
        <v>10300</v>
      </c>
      <c r="L96" s="79" t="e">
        <f>#REF!</f>
        <v>#REF!</v>
      </c>
      <c r="M96" s="297" t="e">
        <f t="shared" si="10"/>
        <v>#REF!</v>
      </c>
      <c r="N96" s="153" t="e">
        <f t="shared" si="8"/>
        <v>#REF!</v>
      </c>
      <c r="O96" s="153" t="e">
        <f t="shared" si="9"/>
        <v>#REF!</v>
      </c>
      <c r="P96" s="140" t="s">
        <v>201</v>
      </c>
      <c r="Q96" s="92"/>
      <c r="R96" s="305" t="s">
        <v>197</v>
      </c>
      <c r="S96" s="129" t="e">
        <f t="shared" si="11"/>
        <v>#REF!</v>
      </c>
    </row>
    <row r="97" spans="2:19" ht="11.25" hidden="1" customHeight="1">
      <c r="B97" s="256">
        <v>45772</v>
      </c>
      <c r="C97" s="177" t="s">
        <v>76</v>
      </c>
      <c r="D97" s="407"/>
      <c r="E97" s="149">
        <v>49</v>
      </c>
      <c r="F97" s="253" t="s">
        <v>25</v>
      </c>
      <c r="G97" s="82"/>
      <c r="H97" s="187"/>
      <c r="I97" s="180"/>
      <c r="J97" s="187"/>
      <c r="K97" s="90">
        <v>7431.44</v>
      </c>
      <c r="L97" s="79" t="e">
        <f>#REF!</f>
        <v>#REF!</v>
      </c>
      <c r="M97" s="297" t="e">
        <f t="shared" si="10"/>
        <v>#REF!</v>
      </c>
      <c r="N97" s="153" t="e">
        <f t="shared" si="8"/>
        <v>#REF!</v>
      </c>
      <c r="O97" s="153" t="e">
        <f t="shared" si="9"/>
        <v>#REF!</v>
      </c>
      <c r="P97" s="140" t="s">
        <v>201</v>
      </c>
      <c r="Q97" s="92"/>
      <c r="R97" s="305" t="s">
        <v>197</v>
      </c>
      <c r="S97" s="129" t="e">
        <f t="shared" si="11"/>
        <v>#REF!</v>
      </c>
    </row>
    <row r="98" spans="2:19" ht="11.25" hidden="1" customHeight="1">
      <c r="B98" s="256">
        <v>45772</v>
      </c>
      <c r="C98" s="177" t="s">
        <v>73</v>
      </c>
      <c r="D98" s="407"/>
      <c r="E98" s="149">
        <v>49</v>
      </c>
      <c r="F98" s="253" t="s">
        <v>25</v>
      </c>
      <c r="G98" s="82"/>
      <c r="H98" s="187"/>
      <c r="I98" s="180"/>
      <c r="J98" s="187"/>
      <c r="K98" s="90">
        <v>300</v>
      </c>
      <c r="L98" s="79" t="e">
        <f>#REF!</f>
        <v>#REF!</v>
      </c>
      <c r="M98" s="297" t="e">
        <f t="shared" si="10"/>
        <v>#REF!</v>
      </c>
      <c r="N98" s="153" t="e">
        <f t="shared" si="8"/>
        <v>#REF!</v>
      </c>
      <c r="O98" s="153" t="e">
        <f t="shared" si="9"/>
        <v>#REF!</v>
      </c>
      <c r="P98" s="140" t="s">
        <v>201</v>
      </c>
      <c r="Q98" s="92"/>
      <c r="R98" s="305" t="s">
        <v>197</v>
      </c>
      <c r="S98" s="129" t="e">
        <f t="shared" si="11"/>
        <v>#REF!</v>
      </c>
    </row>
    <row r="99" spans="2:19" ht="11.25" customHeight="1">
      <c r="B99" s="256">
        <v>45772</v>
      </c>
      <c r="C99" s="177" t="s">
        <v>77</v>
      </c>
      <c r="D99" s="149"/>
      <c r="E99" s="149">
        <v>49</v>
      </c>
      <c r="F99" s="253" t="s">
        <v>25</v>
      </c>
      <c r="G99" s="82"/>
      <c r="H99" s="187"/>
      <c r="I99" s="180"/>
      <c r="J99" s="187"/>
      <c r="K99" s="90">
        <v>200</v>
      </c>
      <c r="L99" s="79" t="e">
        <f>#REF!</f>
        <v>#REF!</v>
      </c>
      <c r="M99" s="297" t="e">
        <f t="shared" si="10"/>
        <v>#REF!</v>
      </c>
      <c r="N99" s="153" t="e">
        <f t="shared" si="8"/>
        <v>#REF!</v>
      </c>
      <c r="O99" s="153" t="e">
        <f t="shared" si="9"/>
        <v>#REF!</v>
      </c>
      <c r="P99" s="140" t="s">
        <v>201</v>
      </c>
      <c r="Q99" s="92"/>
      <c r="R99" s="305" t="s">
        <v>197</v>
      </c>
      <c r="S99" s="129" t="e">
        <f t="shared" si="11"/>
        <v>#REF!</v>
      </c>
    </row>
    <row r="100" spans="2:19" ht="11.25" customHeight="1">
      <c r="B100" s="256">
        <v>45772</v>
      </c>
      <c r="C100" s="177" t="s">
        <v>72</v>
      </c>
      <c r="D100" s="149"/>
      <c r="E100" s="149">
        <v>49</v>
      </c>
      <c r="F100" s="253" t="s">
        <v>25</v>
      </c>
      <c r="G100" s="82"/>
      <c r="H100" s="187"/>
      <c r="I100" s="180"/>
      <c r="J100" s="187"/>
      <c r="K100" s="90">
        <v>21300</v>
      </c>
      <c r="L100" s="79" t="e">
        <f>#REF!</f>
        <v>#REF!</v>
      </c>
      <c r="M100" s="297" t="e">
        <f t="shared" si="10"/>
        <v>#REF!</v>
      </c>
      <c r="N100" s="153" t="e">
        <f t="shared" si="8"/>
        <v>#REF!</v>
      </c>
      <c r="O100" s="153" t="e">
        <f t="shared" si="9"/>
        <v>#REF!</v>
      </c>
      <c r="P100" s="140" t="s">
        <v>201</v>
      </c>
      <c r="Q100" s="92"/>
      <c r="R100" s="305" t="s">
        <v>198</v>
      </c>
      <c r="S100" s="129" t="e">
        <f t="shared" si="11"/>
        <v>#REF!</v>
      </c>
    </row>
    <row r="101" spans="2:19" ht="11.25" customHeight="1">
      <c r="B101" s="256">
        <v>45772</v>
      </c>
      <c r="C101" s="177" t="s">
        <v>114</v>
      </c>
      <c r="D101" s="149"/>
      <c r="E101" s="149">
        <v>49</v>
      </c>
      <c r="F101" s="253" t="s">
        <v>25</v>
      </c>
      <c r="G101" s="82"/>
      <c r="H101" s="187"/>
      <c r="I101" s="180"/>
      <c r="J101" s="187"/>
      <c r="K101" s="90">
        <v>8600</v>
      </c>
      <c r="L101" s="79" t="e">
        <f>#REF!</f>
        <v>#REF!</v>
      </c>
      <c r="M101" s="297" t="e">
        <f t="shared" si="10"/>
        <v>#REF!</v>
      </c>
      <c r="N101" s="153" t="e">
        <f t="shared" si="8"/>
        <v>#REF!</v>
      </c>
      <c r="O101" s="153" t="e">
        <f t="shared" si="9"/>
        <v>#REF!</v>
      </c>
      <c r="P101" s="140" t="s">
        <v>201</v>
      </c>
      <c r="Q101" s="92"/>
      <c r="R101" s="305" t="s">
        <v>198</v>
      </c>
      <c r="S101" s="129" t="e">
        <f t="shared" si="11"/>
        <v>#REF!</v>
      </c>
    </row>
    <row r="102" spans="2:19" ht="11.25" hidden="1" customHeight="1">
      <c r="B102" s="256">
        <v>45772</v>
      </c>
      <c r="C102" s="177" t="s">
        <v>76</v>
      </c>
      <c r="D102" s="407"/>
      <c r="E102" s="149">
        <v>49</v>
      </c>
      <c r="F102" s="253" t="s">
        <v>25</v>
      </c>
      <c r="G102" s="82"/>
      <c r="H102" s="187"/>
      <c r="I102" s="180"/>
      <c r="J102" s="187"/>
      <c r="K102" s="90">
        <v>5941.29</v>
      </c>
      <c r="L102" s="79" t="e">
        <f>#REF!</f>
        <v>#REF!</v>
      </c>
      <c r="M102" s="297" t="e">
        <f t="shared" si="10"/>
        <v>#REF!</v>
      </c>
      <c r="N102" s="153" t="e">
        <f t="shared" si="8"/>
        <v>#REF!</v>
      </c>
      <c r="O102" s="153" t="e">
        <f t="shared" si="9"/>
        <v>#REF!</v>
      </c>
      <c r="P102" s="140" t="s">
        <v>201</v>
      </c>
      <c r="Q102" s="92"/>
      <c r="R102" s="305" t="s">
        <v>198</v>
      </c>
      <c r="S102" s="129" t="e">
        <f t="shared" si="11"/>
        <v>#REF!</v>
      </c>
    </row>
    <row r="103" spans="2:19" ht="11.25" hidden="1" customHeight="1">
      <c r="B103" s="256">
        <v>45772</v>
      </c>
      <c r="C103" s="177" t="s">
        <v>73</v>
      </c>
      <c r="D103" s="407"/>
      <c r="E103" s="149">
        <v>49</v>
      </c>
      <c r="F103" s="253" t="s">
        <v>25</v>
      </c>
      <c r="G103" s="82"/>
      <c r="H103" s="187"/>
      <c r="I103" s="180"/>
      <c r="J103" s="187"/>
      <c r="K103" s="90">
        <v>300</v>
      </c>
      <c r="L103" s="79" t="e">
        <f>#REF!</f>
        <v>#REF!</v>
      </c>
      <c r="M103" s="297" t="e">
        <f t="shared" si="10"/>
        <v>#REF!</v>
      </c>
      <c r="N103" s="153" t="e">
        <f t="shared" si="8"/>
        <v>#REF!</v>
      </c>
      <c r="O103" s="153" t="e">
        <f t="shared" si="9"/>
        <v>#REF!</v>
      </c>
      <c r="P103" s="140" t="s">
        <v>201</v>
      </c>
      <c r="Q103" s="92"/>
      <c r="R103" s="305" t="s">
        <v>198</v>
      </c>
      <c r="S103" s="129" t="e">
        <f t="shared" si="11"/>
        <v>#REF!</v>
      </c>
    </row>
    <row r="104" spans="2:19" ht="11.25" hidden="1" customHeight="1">
      <c r="B104" s="256">
        <v>45772</v>
      </c>
      <c r="C104" s="177" t="s">
        <v>26</v>
      </c>
      <c r="D104" s="407"/>
      <c r="E104" s="145">
        <v>50</v>
      </c>
      <c r="F104" s="253" t="s">
        <v>25</v>
      </c>
      <c r="G104" s="82"/>
      <c r="H104" s="187"/>
      <c r="I104" s="180"/>
      <c r="J104" s="187"/>
      <c r="K104" s="146">
        <v>12</v>
      </c>
      <c r="L104" s="79" t="e">
        <f>#REF!</f>
        <v>#REF!</v>
      </c>
      <c r="M104" s="297" t="e">
        <f t="shared" si="10"/>
        <v>#REF!</v>
      </c>
      <c r="N104" s="153" t="e">
        <f t="shared" si="8"/>
        <v>#REF!</v>
      </c>
      <c r="O104" s="153" t="e">
        <f t="shared" si="9"/>
        <v>#REF!</v>
      </c>
      <c r="P104" s="140" t="s">
        <v>201</v>
      </c>
      <c r="Q104" s="92"/>
      <c r="R104" s="140"/>
      <c r="S104" s="129" t="e">
        <f t="shared" si="11"/>
        <v>#REF!</v>
      </c>
    </row>
    <row r="105" spans="2:19" ht="11.25" customHeight="1">
      <c r="M105" s="118"/>
    </row>
    <row r="106" spans="2:19" ht="11.25" customHeight="1">
      <c r="M106" s="118"/>
    </row>
  </sheetData>
  <autoFilter ref="B18:R104" xr:uid="{00000000-0009-0000-0000-000001000000}">
    <filterColumn colId="2">
      <colorFilter dxfId="3"/>
    </filterColumn>
    <filterColumn colId="4">
      <filters>
        <filter val="해외지사비"/>
      </filters>
    </filterColumn>
    <filterColumn colId="14" showButton="0"/>
    <sortState xmlns:xlrd2="http://schemas.microsoft.com/office/spreadsheetml/2017/richdata2" ref="B19:R104">
      <sortCondition sortBy="cellColor" ref="M18:M104" dxfId="4"/>
    </sortState>
  </autoFilter>
  <mergeCells count="5">
    <mergeCell ref="H17:J17"/>
    <mergeCell ref="K17:M17"/>
    <mergeCell ref="N17:O17"/>
    <mergeCell ref="P17:Q17"/>
    <mergeCell ref="P18:Q18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091E-0B4E-4DEB-AEE1-7B5FB763565C}">
  <sheetPr>
    <tabColor rgb="FFFFC000"/>
  </sheetPr>
  <dimension ref="A1:AC112"/>
  <sheetViews>
    <sheetView showGridLines="0" zoomScaleNormal="100" workbookViewId="0">
      <pane ySplit="19" topLeftCell="A45" activePane="bottomLeft" state="frozen"/>
      <selection activeCell="L45" sqref="L45"/>
      <selection pane="bottomLeft" activeCell="L45" sqref="L45"/>
    </sheetView>
  </sheetViews>
  <sheetFormatPr defaultColWidth="9" defaultRowHeight="11.25" customHeight="1"/>
  <cols>
    <col min="1" max="1" width="1.75" style="80" customWidth="1"/>
    <col min="2" max="2" width="9.75" style="60" customWidth="1"/>
    <col min="3" max="3" width="24" style="61" customWidth="1"/>
    <col min="4" max="4" width="9.75" style="25" customWidth="1"/>
    <col min="5" max="5" width="12.125" style="25" customWidth="1"/>
    <col min="6" max="6" width="12.5" style="25" customWidth="1"/>
    <col min="7" max="7" width="9.875" style="37" customWidth="1"/>
    <col min="8" max="8" width="9.75" style="25" customWidth="1"/>
    <col min="9" max="9" width="9.875" style="25" customWidth="1"/>
    <col min="10" max="10" width="10.5" style="37" customWidth="1"/>
    <col min="11" max="11" width="11" style="131" customWidth="1"/>
    <col min="12" max="12" width="11.125" style="25" customWidth="1"/>
    <col min="13" max="13" width="9.75" style="25" customWidth="1"/>
    <col min="14" max="14" width="12.375" style="25" customWidth="1"/>
    <col min="15" max="15" width="9.875" style="25" customWidth="1"/>
    <col min="16" max="16" width="10.75" style="25" customWidth="1"/>
    <col min="17" max="17" width="9.625" style="25" customWidth="1"/>
    <col min="18" max="18" width="31.5" style="37" customWidth="1"/>
    <col min="19" max="19" width="10.5" style="39" bestFit="1" customWidth="1"/>
    <col min="20" max="20" width="9" style="25"/>
    <col min="21" max="21" width="9" style="83"/>
    <col min="22" max="16384" width="9" style="25"/>
  </cols>
  <sheetData>
    <row r="1" spans="1:29" ht="4.5" customHeight="1">
      <c r="A1" s="14"/>
      <c r="B1" s="15"/>
      <c r="C1" s="267"/>
      <c r="D1" s="16"/>
      <c r="E1" s="17"/>
      <c r="F1" s="17"/>
      <c r="G1" s="18"/>
      <c r="H1" s="17"/>
      <c r="I1" s="17"/>
      <c r="J1" s="19"/>
      <c r="K1" s="273"/>
      <c r="L1" s="20"/>
      <c r="M1" s="21"/>
      <c r="N1" s="21"/>
      <c r="O1" s="16"/>
      <c r="P1" s="22"/>
      <c r="Q1" s="22"/>
      <c r="R1" s="23"/>
      <c r="S1" s="24"/>
    </row>
    <row r="2" spans="1:29" ht="15" customHeight="1">
      <c r="B2" s="254" t="s">
        <v>202</v>
      </c>
      <c r="D2" s="61"/>
      <c r="F2" s="205"/>
      <c r="G2" s="37" t="s">
        <v>89</v>
      </c>
      <c r="H2" s="206" t="s">
        <v>154</v>
      </c>
      <c r="I2" s="64"/>
      <c r="J2" s="64"/>
      <c r="K2" s="274"/>
      <c r="L2" s="64"/>
      <c r="M2" s="64"/>
      <c r="N2" s="112"/>
      <c r="O2" s="207"/>
      <c r="Q2" s="208"/>
    </row>
    <row r="3" spans="1:29" s="31" customFormat="1" ht="11.25" customHeight="1">
      <c r="A3" s="26"/>
      <c r="B3" s="27" t="s">
        <v>187</v>
      </c>
      <c r="C3" s="28"/>
      <c r="D3" s="28"/>
      <c r="E3" s="28"/>
      <c r="F3" s="184">
        <v>1482.9</v>
      </c>
      <c r="G3" s="30"/>
      <c r="H3" s="27" t="s">
        <v>214</v>
      </c>
      <c r="I3" s="28"/>
      <c r="K3" s="275"/>
      <c r="L3" s="184">
        <v>1405.6</v>
      </c>
      <c r="N3" s="27"/>
      <c r="O3" s="27"/>
      <c r="P3" s="27"/>
      <c r="Q3" s="27"/>
      <c r="R3" s="27"/>
      <c r="T3" s="27"/>
      <c r="U3" s="28"/>
      <c r="V3" s="29"/>
      <c r="W3" s="29"/>
      <c r="X3" s="107">
        <v>1327.2</v>
      </c>
    </row>
    <row r="4" spans="1:29" ht="11.25" customHeight="1">
      <c r="A4" s="14"/>
      <c r="B4" s="32" t="s">
        <v>0</v>
      </c>
      <c r="C4" s="268" t="s">
        <v>1</v>
      </c>
      <c r="D4" s="33" t="s">
        <v>90</v>
      </c>
      <c r="E4" s="35" t="s">
        <v>91</v>
      </c>
      <c r="F4" s="36" t="s">
        <v>92</v>
      </c>
      <c r="H4" s="32" t="s">
        <v>0</v>
      </c>
      <c r="I4" s="33" t="s">
        <v>1</v>
      </c>
      <c r="J4" s="34" t="s">
        <v>90</v>
      </c>
      <c r="K4" s="38" t="s">
        <v>91</v>
      </c>
      <c r="L4" s="36" t="s">
        <v>92</v>
      </c>
      <c r="M4" s="123"/>
      <c r="N4" s="27"/>
      <c r="O4" s="27"/>
      <c r="P4" s="27"/>
      <c r="Q4" s="27"/>
      <c r="R4" s="27"/>
      <c r="U4" s="25"/>
    </row>
    <row r="5" spans="1:29" ht="11.25" customHeight="1">
      <c r="A5" s="39">
        <v>51131050</v>
      </c>
      <c r="B5" s="40" t="s">
        <v>93</v>
      </c>
      <c r="C5" s="41" t="s">
        <v>3</v>
      </c>
      <c r="D5" s="47">
        <v>3161.4</v>
      </c>
      <c r="E5" s="43">
        <v>431.34</v>
      </c>
      <c r="F5" s="44">
        <f>ROUND(E5*$F$3,0)</f>
        <v>639634</v>
      </c>
      <c r="G5" s="45"/>
      <c r="H5" s="46" t="s">
        <v>2</v>
      </c>
      <c r="I5" s="46" t="s">
        <v>3</v>
      </c>
      <c r="J5" s="103">
        <v>14265.08</v>
      </c>
      <c r="K5" s="276">
        <v>1986.7</v>
      </c>
      <c r="L5" s="93">
        <f>ROUND(K5*$L$3,0)</f>
        <v>2792506</v>
      </c>
      <c r="M5" s="117">
        <f>L5+F5</f>
        <v>3432140</v>
      </c>
      <c r="N5" s="27"/>
      <c r="O5" s="27"/>
      <c r="P5" s="27"/>
      <c r="Q5" s="27"/>
      <c r="R5" s="27"/>
      <c r="S5" s="237">
        <f>F5+L5+R5</f>
        <v>3432140</v>
      </c>
      <c r="U5" s="25"/>
    </row>
    <row r="6" spans="1:29" ht="11.25" customHeight="1">
      <c r="A6" s="39">
        <v>51061030</v>
      </c>
      <c r="B6" s="40" t="s">
        <v>94</v>
      </c>
      <c r="C6" s="41" t="s">
        <v>95</v>
      </c>
      <c r="D6" s="47">
        <v>11847.426888358515</v>
      </c>
      <c r="E6" s="47">
        <v>1616.47</v>
      </c>
      <c r="F6" s="44">
        <f t="shared" ref="F6:F12" si="0">ROUND(E6*$F$3,0)</f>
        <v>2397063</v>
      </c>
      <c r="G6" s="48"/>
      <c r="H6" s="46" t="s">
        <v>4</v>
      </c>
      <c r="I6" s="46" t="s">
        <v>5</v>
      </c>
      <c r="J6" s="103">
        <v>19528.07</v>
      </c>
      <c r="K6" s="276">
        <v>2719.68</v>
      </c>
      <c r="L6" s="93">
        <f t="shared" ref="L6:L12" si="1">ROUND(K6*$L$3,0)</f>
        <v>3822782</v>
      </c>
      <c r="M6" s="117">
        <f t="shared" ref="M6:M13" si="2">L6+F6</f>
        <v>6219845</v>
      </c>
      <c r="N6" s="27"/>
      <c r="O6" s="27"/>
      <c r="P6" s="27"/>
      <c r="Q6" s="27"/>
      <c r="R6" s="27"/>
      <c r="S6" s="237">
        <f t="shared" ref="S6:S13" si="3">F6+L6+R6</f>
        <v>6219845</v>
      </c>
      <c r="U6" s="25"/>
      <c r="AB6" s="64"/>
      <c r="AC6" s="37"/>
    </row>
    <row r="7" spans="1:29" ht="11.25" customHeight="1">
      <c r="A7" s="39">
        <v>51201020</v>
      </c>
      <c r="B7" s="40" t="s">
        <v>6</v>
      </c>
      <c r="C7" s="41" t="s">
        <v>34</v>
      </c>
      <c r="D7" s="47">
        <v>25096</v>
      </c>
      <c r="E7" s="47">
        <v>3424.11</v>
      </c>
      <c r="F7" s="44">
        <f t="shared" si="0"/>
        <v>5077613</v>
      </c>
      <c r="G7" s="49"/>
      <c r="H7" s="46" t="s">
        <v>6</v>
      </c>
      <c r="I7" s="46" t="s">
        <v>96</v>
      </c>
      <c r="J7" s="104"/>
      <c r="K7" s="277"/>
      <c r="L7" s="93">
        <f t="shared" si="1"/>
        <v>0</v>
      </c>
      <c r="M7" s="117">
        <f t="shared" si="2"/>
        <v>5077613</v>
      </c>
      <c r="N7" s="27"/>
      <c r="O7" s="27"/>
      <c r="P7" s="27"/>
      <c r="Q7" s="27"/>
      <c r="R7" s="27"/>
      <c r="S7" s="237">
        <f t="shared" si="3"/>
        <v>5077613</v>
      </c>
      <c r="U7" s="25"/>
    </row>
    <row r="8" spans="1:29" ht="15" customHeight="1">
      <c r="A8" s="39">
        <v>51201030</v>
      </c>
      <c r="B8" s="40" t="s">
        <v>97</v>
      </c>
      <c r="C8" s="41" t="s">
        <v>7</v>
      </c>
      <c r="D8" s="47"/>
      <c r="E8" s="47"/>
      <c r="F8" s="44">
        <f t="shared" si="0"/>
        <v>0</v>
      </c>
      <c r="G8" s="49"/>
      <c r="H8" s="46" t="s">
        <v>6</v>
      </c>
      <c r="I8" s="41" t="s">
        <v>7</v>
      </c>
      <c r="J8" s="104">
        <v>20596</v>
      </c>
      <c r="K8" s="277">
        <v>2868.4</v>
      </c>
      <c r="L8" s="93">
        <f t="shared" si="1"/>
        <v>4031823</v>
      </c>
      <c r="M8" s="117">
        <f t="shared" si="2"/>
        <v>4031823</v>
      </c>
      <c r="N8" s="27"/>
      <c r="O8" s="27"/>
      <c r="P8" s="27"/>
      <c r="Q8" s="27"/>
      <c r="R8" s="27"/>
      <c r="S8" s="237">
        <f t="shared" si="3"/>
        <v>4031823</v>
      </c>
      <c r="U8" s="25"/>
    </row>
    <row r="9" spans="1:29" ht="11.25" customHeight="1">
      <c r="A9" s="39">
        <v>51071700</v>
      </c>
      <c r="B9" s="40" t="s">
        <v>8</v>
      </c>
      <c r="C9" s="41" t="s">
        <v>9</v>
      </c>
      <c r="D9" s="47">
        <v>2034.12</v>
      </c>
      <c r="E9" s="47">
        <v>277.54000000000002</v>
      </c>
      <c r="F9" s="44">
        <f t="shared" si="0"/>
        <v>411564</v>
      </c>
      <c r="G9" s="50"/>
      <c r="H9" s="46" t="s">
        <v>8</v>
      </c>
      <c r="I9" s="41" t="s">
        <v>9</v>
      </c>
      <c r="J9" s="104">
        <v>300</v>
      </c>
      <c r="K9" s="277">
        <v>41.78</v>
      </c>
      <c r="L9" s="93">
        <f t="shared" si="1"/>
        <v>58726</v>
      </c>
      <c r="M9" s="117">
        <f t="shared" si="2"/>
        <v>470290</v>
      </c>
      <c r="N9" s="27"/>
      <c r="O9" s="27"/>
      <c r="P9" s="27"/>
      <c r="Q9" s="27"/>
      <c r="R9" s="27"/>
      <c r="S9" s="237">
        <f t="shared" si="3"/>
        <v>470290</v>
      </c>
      <c r="U9" s="25"/>
    </row>
    <row r="10" spans="1:29" ht="11.25" customHeight="1">
      <c r="A10" s="39">
        <v>51321010</v>
      </c>
      <c r="B10" s="40" t="s">
        <v>10</v>
      </c>
      <c r="C10" s="41"/>
      <c r="D10" s="47">
        <v>2938.7499999999995</v>
      </c>
      <c r="E10" s="47">
        <v>400.97</v>
      </c>
      <c r="F10" s="44">
        <f t="shared" si="0"/>
        <v>594598</v>
      </c>
      <c r="G10" s="51"/>
      <c r="H10" s="46" t="s">
        <v>10</v>
      </c>
      <c r="I10" s="46"/>
      <c r="J10" s="103">
        <v>247302.52000000002</v>
      </c>
      <c r="K10" s="276">
        <v>34492.81</v>
      </c>
      <c r="L10" s="93">
        <f t="shared" si="1"/>
        <v>48483094</v>
      </c>
      <c r="M10" s="117">
        <f t="shared" si="2"/>
        <v>49077692</v>
      </c>
      <c r="N10" s="27"/>
      <c r="O10" s="27"/>
      <c r="P10" s="27"/>
      <c r="Q10" s="27"/>
      <c r="R10" s="27"/>
      <c r="S10" s="237">
        <f t="shared" si="3"/>
        <v>49077692</v>
      </c>
      <c r="U10" s="25"/>
      <c r="AB10" s="64"/>
      <c r="AC10" s="37"/>
    </row>
    <row r="11" spans="1:29" ht="11.25" customHeight="1">
      <c r="A11" s="39">
        <v>51031020</v>
      </c>
      <c r="B11" s="52" t="s">
        <v>98</v>
      </c>
      <c r="C11" s="269" t="s">
        <v>99</v>
      </c>
      <c r="D11" s="52"/>
      <c r="E11" s="52"/>
      <c r="F11" s="54"/>
      <c r="G11" s="55">
        <f>G13/G12</f>
        <v>1482.899894804103</v>
      </c>
      <c r="H11" s="52" t="s">
        <v>98</v>
      </c>
      <c r="I11" s="52" t="s">
        <v>130</v>
      </c>
      <c r="J11" s="56"/>
      <c r="K11" s="278"/>
      <c r="L11" s="119">
        <f t="shared" si="1"/>
        <v>0</v>
      </c>
      <c r="M11" s="117">
        <f t="shared" si="2"/>
        <v>0</v>
      </c>
      <c r="N11" s="27"/>
      <c r="O11" s="113"/>
      <c r="P11" s="113"/>
      <c r="Q11" s="113"/>
      <c r="R11" s="27"/>
      <c r="S11" s="237">
        <f t="shared" si="3"/>
        <v>0</v>
      </c>
      <c r="U11" s="25"/>
      <c r="AB11" s="64"/>
      <c r="AC11" s="37"/>
    </row>
    <row r="12" spans="1:29" ht="11.25" customHeight="1">
      <c r="A12" s="39">
        <v>52981010</v>
      </c>
      <c r="B12" s="46" t="s">
        <v>100</v>
      </c>
      <c r="C12" s="41" t="s">
        <v>101</v>
      </c>
      <c r="D12" s="151"/>
      <c r="E12" s="47"/>
      <c r="F12" s="44">
        <f t="shared" si="0"/>
        <v>0</v>
      </c>
      <c r="G12" s="57">
        <f>E13+Q13+AB13</f>
        <v>6150.43</v>
      </c>
      <c r="H12" s="46" t="s">
        <v>100</v>
      </c>
      <c r="I12" s="46" t="s">
        <v>101</v>
      </c>
      <c r="J12" s="42"/>
      <c r="K12" s="279"/>
      <c r="L12" s="93">
        <f t="shared" si="1"/>
        <v>0</v>
      </c>
      <c r="M12" s="117">
        <f t="shared" si="2"/>
        <v>0</v>
      </c>
      <c r="N12" s="27"/>
      <c r="O12" s="113"/>
      <c r="P12" s="113"/>
      <c r="Q12" s="113"/>
      <c r="R12" s="27"/>
      <c r="S12" s="237">
        <f t="shared" si="3"/>
        <v>0</v>
      </c>
      <c r="U12" s="25"/>
      <c r="AB12" s="64"/>
      <c r="AC12" s="37"/>
    </row>
    <row r="13" spans="1:29" s="37" customFormat="1" ht="11.25" customHeight="1">
      <c r="A13" s="124"/>
      <c r="B13" s="125" t="s">
        <v>11</v>
      </c>
      <c r="C13" s="270"/>
      <c r="D13" s="58">
        <f>SUM(D5:D11)-D12</f>
        <v>45077.696888358514</v>
      </c>
      <c r="E13" s="290">
        <f>SUM(E5:E11)-E12</f>
        <v>6150.43</v>
      </c>
      <c r="F13" s="127">
        <f>SUM(F5:F11)-F12</f>
        <v>9120472</v>
      </c>
      <c r="G13" s="59">
        <f>F13+R13+AC13</f>
        <v>9120472</v>
      </c>
      <c r="H13" s="125" t="s">
        <v>11</v>
      </c>
      <c r="I13" s="126"/>
      <c r="J13" s="58">
        <f>SUM(J5:J11)-J12</f>
        <v>301991.67000000004</v>
      </c>
      <c r="K13" s="38">
        <f>SUM(K5:K11)-K12</f>
        <v>42109.369999999995</v>
      </c>
      <c r="L13" s="127">
        <f>SUM(L5:L11)-L12</f>
        <v>59188931</v>
      </c>
      <c r="M13" s="130">
        <f t="shared" si="2"/>
        <v>68309403</v>
      </c>
      <c r="N13" s="27"/>
      <c r="O13" s="113"/>
      <c r="P13" s="113"/>
      <c r="Q13" s="113"/>
      <c r="R13" s="27"/>
      <c r="S13" s="237">
        <f t="shared" si="3"/>
        <v>68309403</v>
      </c>
      <c r="U13" s="116"/>
      <c r="X13" s="113">
        <f>F13+R13</f>
        <v>9120472</v>
      </c>
      <c r="Y13" s="128"/>
      <c r="Z13" s="131"/>
      <c r="AB13" s="65"/>
    </row>
    <row r="14" spans="1:29" ht="14.25" customHeight="1">
      <c r="A14" s="14"/>
      <c r="D14" s="289"/>
      <c r="E14" s="289"/>
      <c r="F14" s="291"/>
      <c r="G14" s="63"/>
      <c r="J14" s="154">
        <f>J13+D13+P13</f>
        <v>347069.36688835855</v>
      </c>
      <c r="K14" s="280">
        <f>K13+E13+Q13</f>
        <v>48259.799999999996</v>
      </c>
      <c r="L14" s="133">
        <f>L13+F13+R13</f>
        <v>68309403</v>
      </c>
      <c r="M14" s="122" t="e">
        <f>M16-E12</f>
        <v>#REF!</v>
      </c>
      <c r="N14" s="27"/>
      <c r="O14" s="113"/>
      <c r="P14" s="113"/>
      <c r="Q14" s="113"/>
      <c r="R14" s="27"/>
      <c r="X14" s="64"/>
      <c r="Y14" s="64"/>
      <c r="AB14" s="64"/>
      <c r="AC14" s="37"/>
    </row>
    <row r="15" spans="1:29" ht="14.25" customHeight="1">
      <c r="A15" s="14"/>
      <c r="D15" s="289"/>
      <c r="E15" s="289"/>
      <c r="F15" s="289"/>
      <c r="G15" s="63"/>
      <c r="J15" s="122" t="e">
        <f>J16-#REF!</f>
        <v>#REF!</v>
      </c>
      <c r="K15" s="122" t="e">
        <f>K16-#REF!</f>
        <v>#REF!</v>
      </c>
      <c r="L15" s="122" t="e">
        <f>L16-#REF!</f>
        <v>#REF!</v>
      </c>
      <c r="M15" s="122" t="e">
        <f>M16-#REF!</f>
        <v>#REF!</v>
      </c>
      <c r="O15" s="113"/>
      <c r="P15" s="113"/>
      <c r="Q15" s="113"/>
      <c r="R15" s="114"/>
      <c r="X15" s="64"/>
      <c r="Y15" s="64"/>
      <c r="AB15" s="64"/>
      <c r="AC15" s="37"/>
    </row>
    <row r="16" spans="1:29" ht="18.75" customHeight="1">
      <c r="A16" s="14"/>
      <c r="D16" s="61"/>
      <c r="E16" s="62"/>
      <c r="F16" s="62"/>
      <c r="G16" s="63"/>
      <c r="I16" s="64"/>
      <c r="J16" s="65"/>
      <c r="K16" s="281" t="e">
        <f>SUBTOTAL(9,K19:K111)</f>
        <v>#REF!</v>
      </c>
      <c r="L16" s="210"/>
      <c r="M16" s="281" t="e">
        <f>SUBTOTAL(9,M19:M111)</f>
        <v>#REF!</v>
      </c>
      <c r="N16" s="64"/>
      <c r="Q16" s="64"/>
    </row>
    <row r="17" spans="1:29" ht="11.25" customHeight="1">
      <c r="A17" s="14"/>
      <c r="B17" s="239" t="s">
        <v>12</v>
      </c>
      <c r="C17" s="271" t="s">
        <v>13</v>
      </c>
      <c r="D17" s="240" t="s">
        <v>102</v>
      </c>
      <c r="E17" s="241" t="s">
        <v>14</v>
      </c>
      <c r="F17" s="240" t="s">
        <v>0</v>
      </c>
      <c r="G17" s="242" t="s">
        <v>1</v>
      </c>
      <c r="H17" s="634" t="s">
        <v>15</v>
      </c>
      <c r="I17" s="634"/>
      <c r="J17" s="634"/>
      <c r="K17" s="634" t="s">
        <v>16</v>
      </c>
      <c r="L17" s="634"/>
      <c r="M17" s="635"/>
      <c r="N17" s="636" t="s">
        <v>17</v>
      </c>
      <c r="O17" s="636"/>
      <c r="P17" s="637"/>
      <c r="Q17" s="637"/>
      <c r="R17" s="242" t="s">
        <v>103</v>
      </c>
    </row>
    <row r="18" spans="1:29" ht="11.25" customHeight="1">
      <c r="A18" s="14"/>
      <c r="B18" s="243" t="s">
        <v>104</v>
      </c>
      <c r="C18" s="272" t="s">
        <v>105</v>
      </c>
      <c r="D18" s="244" t="s">
        <v>106</v>
      </c>
      <c r="E18" s="245" t="s">
        <v>107</v>
      </c>
      <c r="F18" s="244" t="s">
        <v>108</v>
      </c>
      <c r="G18" s="246" t="s">
        <v>109</v>
      </c>
      <c r="H18" s="247" t="s">
        <v>110</v>
      </c>
      <c r="I18" s="247" t="s">
        <v>111</v>
      </c>
      <c r="J18" s="248" t="s">
        <v>19</v>
      </c>
      <c r="K18" s="248" t="s">
        <v>110</v>
      </c>
      <c r="L18" s="247" t="s">
        <v>111</v>
      </c>
      <c r="M18" s="286" t="s">
        <v>19</v>
      </c>
      <c r="N18" s="249" t="s">
        <v>110</v>
      </c>
      <c r="O18" s="249" t="s">
        <v>19</v>
      </c>
      <c r="P18" s="638" t="s">
        <v>18</v>
      </c>
      <c r="Q18" s="638"/>
      <c r="R18" s="246" t="s">
        <v>103</v>
      </c>
    </row>
    <row r="19" spans="1:29" ht="11.25" customHeight="1">
      <c r="B19" s="94">
        <v>45777</v>
      </c>
      <c r="C19" s="96"/>
      <c r="D19" s="95"/>
      <c r="E19" s="96"/>
      <c r="F19" s="121"/>
      <c r="G19" s="97"/>
      <c r="H19" s="98"/>
      <c r="I19" s="95"/>
      <c r="J19" s="97"/>
      <c r="K19" s="308"/>
      <c r="L19" s="99"/>
      <c r="M19" s="135"/>
      <c r="N19" s="136">
        <v>45051.060000000907</v>
      </c>
      <c r="O19" s="136">
        <v>6150.4267521577694</v>
      </c>
      <c r="P19" s="137"/>
      <c r="Q19" s="96"/>
      <c r="R19" s="101"/>
      <c r="S19" s="115">
        <v>6150.4252273356087</v>
      </c>
    </row>
    <row r="20" spans="1:29" s="314" customFormat="1" ht="11.25" customHeight="1">
      <c r="A20" s="312"/>
      <c r="B20" s="317">
        <v>45790</v>
      </c>
      <c r="C20" s="404" t="s">
        <v>62</v>
      </c>
      <c r="D20" s="318"/>
      <c r="E20" s="319">
        <v>1</v>
      </c>
      <c r="F20" s="320"/>
      <c r="G20" s="320"/>
      <c r="H20" s="321">
        <v>343685.06</v>
      </c>
      <c r="I20" s="320"/>
      <c r="J20" s="321">
        <v>47916</v>
      </c>
      <c r="K20" s="322"/>
      <c r="L20" s="323"/>
      <c r="M20" s="324"/>
      <c r="N20" s="325">
        <f>N19+H20-K20</f>
        <v>388736.12000000093</v>
      </c>
      <c r="O20" s="325">
        <f>O19+J20-M20</f>
        <v>54066.426752157771</v>
      </c>
      <c r="P20" s="326"/>
      <c r="Q20" s="327"/>
      <c r="R20" s="327"/>
      <c r="S20" s="161"/>
      <c r="T20" s="313"/>
      <c r="V20" s="313"/>
      <c r="W20" s="313"/>
      <c r="X20" s="313"/>
      <c r="Y20" s="313"/>
      <c r="Z20" s="313"/>
      <c r="AA20" s="313"/>
      <c r="AB20" s="313"/>
      <c r="AC20" s="313"/>
    </row>
    <row r="21" spans="1:29" s="314" customFormat="1" ht="11.25" customHeight="1">
      <c r="A21" s="312"/>
      <c r="B21" s="359">
        <v>45790</v>
      </c>
      <c r="C21" s="360" t="s">
        <v>41</v>
      </c>
      <c r="D21" s="361"/>
      <c r="E21" s="362"/>
      <c r="F21" s="363" t="s">
        <v>25</v>
      </c>
      <c r="G21" s="363"/>
      <c r="H21" s="364"/>
      <c r="I21" s="363"/>
      <c r="J21" s="364"/>
      <c r="K21" s="365"/>
      <c r="L21" s="366"/>
      <c r="M21" s="367">
        <v>51</v>
      </c>
      <c r="N21" s="368">
        <f t="shared" ref="N21:N84" si="4">N20+H21-K21</f>
        <v>388736.12000000093</v>
      </c>
      <c r="O21" s="368">
        <f t="shared" ref="O21:O84" si="5">O20+J21-M21</f>
        <v>54015.426752157771</v>
      </c>
      <c r="P21" s="369"/>
      <c r="Q21" s="370"/>
      <c r="R21" s="370"/>
      <c r="S21" s="161"/>
      <c r="T21" s="313"/>
      <c r="V21" s="313"/>
      <c r="W21" s="313"/>
      <c r="X21" s="313"/>
      <c r="Y21" s="313"/>
      <c r="Z21" s="313"/>
      <c r="AA21" s="313"/>
      <c r="AB21" s="313"/>
      <c r="AC21" s="313"/>
    </row>
    <row r="22" spans="1:29" s="83" customFormat="1" ht="11.25" customHeight="1">
      <c r="A22" s="80"/>
      <c r="B22" s="340">
        <v>45792</v>
      </c>
      <c r="C22" s="341" t="s">
        <v>203</v>
      </c>
      <c r="D22" s="342"/>
      <c r="E22" s="343">
        <v>2</v>
      </c>
      <c r="F22" s="344" t="s">
        <v>24</v>
      </c>
      <c r="G22" s="344" t="s">
        <v>117</v>
      </c>
      <c r="H22" s="345"/>
      <c r="I22" s="344"/>
      <c r="J22" s="345"/>
      <c r="K22" s="346">
        <v>25096</v>
      </c>
      <c r="L22" s="347" t="e">
        <f>#REF!</f>
        <v>#REF!</v>
      </c>
      <c r="M22" s="348" t="e">
        <f t="shared" ref="M22:M27" si="6">K22/L22</f>
        <v>#REF!</v>
      </c>
      <c r="N22" s="349">
        <f t="shared" si="4"/>
        <v>363640.12000000093</v>
      </c>
      <c r="O22" s="349" t="e">
        <f t="shared" si="5"/>
        <v>#REF!</v>
      </c>
      <c r="P22" s="350" t="s">
        <v>201</v>
      </c>
      <c r="Q22" s="351"/>
      <c r="R22" s="351"/>
      <c r="S22" s="129" t="e">
        <f>S19-M22+J22</f>
        <v>#REF!</v>
      </c>
      <c r="T22" s="25"/>
      <c r="V22" s="25"/>
      <c r="W22" s="25"/>
      <c r="X22" s="25"/>
      <c r="Y22" s="25"/>
      <c r="Z22" s="25"/>
      <c r="AA22" s="25"/>
      <c r="AB22" s="25"/>
      <c r="AC22" s="25"/>
    </row>
    <row r="23" spans="1:29" s="83" customFormat="1" ht="11.25" customHeight="1">
      <c r="A23" s="80"/>
      <c r="B23" s="256">
        <v>45792</v>
      </c>
      <c r="C23" s="144" t="s">
        <v>41</v>
      </c>
      <c r="D23" s="149"/>
      <c r="E23" s="145">
        <v>3</v>
      </c>
      <c r="F23" s="187" t="s">
        <v>25</v>
      </c>
      <c r="G23" s="187"/>
      <c r="H23" s="179"/>
      <c r="I23" s="187"/>
      <c r="J23" s="179"/>
      <c r="K23" s="315">
        <v>7.2</v>
      </c>
      <c r="L23" s="79" t="e">
        <f>#REF!</f>
        <v>#REF!</v>
      </c>
      <c r="M23" s="297" t="e">
        <f t="shared" si="6"/>
        <v>#REF!</v>
      </c>
      <c r="N23" s="153">
        <f t="shared" si="4"/>
        <v>363632.92000000092</v>
      </c>
      <c r="O23" s="153" t="e">
        <f t="shared" si="5"/>
        <v>#REF!</v>
      </c>
      <c r="P23" s="140" t="s">
        <v>201</v>
      </c>
      <c r="Q23" s="92"/>
      <c r="R23" s="92"/>
      <c r="S23" s="129" t="e">
        <f>S22-M23+J23</f>
        <v>#REF!</v>
      </c>
      <c r="T23" s="25"/>
      <c r="V23" s="25"/>
      <c r="W23" s="25"/>
      <c r="X23" s="25"/>
      <c r="Y23" s="25"/>
      <c r="Z23" s="25"/>
      <c r="AA23" s="25"/>
      <c r="AB23" s="25"/>
      <c r="AC23" s="25"/>
    </row>
    <row r="24" spans="1:29" s="83" customFormat="1" ht="12" customHeight="1">
      <c r="A24" s="80"/>
      <c r="B24" s="256">
        <v>45792</v>
      </c>
      <c r="C24" s="177" t="s">
        <v>127</v>
      </c>
      <c r="D24" s="149"/>
      <c r="E24" s="145">
        <v>4</v>
      </c>
      <c r="F24" s="187" t="s">
        <v>32</v>
      </c>
      <c r="G24" s="187" t="s">
        <v>33</v>
      </c>
      <c r="H24" s="179"/>
      <c r="I24" s="180"/>
      <c r="J24" s="179"/>
      <c r="K24" s="147">
        <v>1600</v>
      </c>
      <c r="L24" s="79" t="e">
        <f>#REF!</f>
        <v>#REF!</v>
      </c>
      <c r="M24" s="297" t="e">
        <f t="shared" si="6"/>
        <v>#REF!</v>
      </c>
      <c r="N24" s="153">
        <f t="shared" si="4"/>
        <v>362032.92000000092</v>
      </c>
      <c r="O24" s="153" t="e">
        <f t="shared" si="5"/>
        <v>#REF!</v>
      </c>
      <c r="P24" s="140" t="s">
        <v>201</v>
      </c>
      <c r="Q24" s="92"/>
      <c r="R24" s="92"/>
      <c r="S24" s="129" t="e">
        <f t="shared" ref="S24:S34" si="7">S23-M24+J24</f>
        <v>#REF!</v>
      </c>
      <c r="T24" s="25"/>
      <c r="V24" s="25"/>
      <c r="W24" s="25"/>
      <c r="X24" s="25"/>
      <c r="Y24" s="25"/>
      <c r="Z24" s="25"/>
      <c r="AA24" s="25"/>
      <c r="AB24" s="25"/>
      <c r="AC24" s="25"/>
    </row>
    <row r="25" spans="1:29" s="83" customFormat="1" ht="12" customHeight="1">
      <c r="A25" s="80"/>
      <c r="B25" s="256">
        <v>45792</v>
      </c>
      <c r="C25" s="144" t="s">
        <v>41</v>
      </c>
      <c r="D25" s="149"/>
      <c r="E25" s="145">
        <v>5</v>
      </c>
      <c r="F25" s="187" t="s">
        <v>25</v>
      </c>
      <c r="G25" s="187"/>
      <c r="H25" s="179"/>
      <c r="I25" s="180"/>
      <c r="J25" s="179"/>
      <c r="K25" s="147">
        <v>3.6</v>
      </c>
      <c r="L25" s="79" t="e">
        <f>#REF!</f>
        <v>#REF!</v>
      </c>
      <c r="M25" s="297" t="e">
        <f t="shared" si="6"/>
        <v>#REF!</v>
      </c>
      <c r="N25" s="153">
        <f t="shared" si="4"/>
        <v>362029.32000000094</v>
      </c>
      <c r="O25" s="153" t="e">
        <f t="shared" si="5"/>
        <v>#REF!</v>
      </c>
      <c r="P25" s="140" t="s">
        <v>201</v>
      </c>
      <c r="Q25" s="92"/>
      <c r="R25" s="92"/>
      <c r="S25" s="129" t="e">
        <f t="shared" si="7"/>
        <v>#REF!</v>
      </c>
      <c r="T25" s="25"/>
      <c r="V25" s="25"/>
      <c r="W25" s="25"/>
      <c r="X25" s="25"/>
      <c r="Y25" s="25"/>
      <c r="Z25" s="25"/>
      <c r="AA25" s="25"/>
      <c r="AB25" s="25"/>
      <c r="AC25" s="25"/>
    </row>
    <row r="26" spans="1:29" s="83" customFormat="1" ht="12" customHeight="1">
      <c r="A26" s="80"/>
      <c r="B26" s="256">
        <v>45796</v>
      </c>
      <c r="C26" s="144" t="s">
        <v>52</v>
      </c>
      <c r="D26" s="149"/>
      <c r="E26" s="145">
        <v>6</v>
      </c>
      <c r="F26" s="187" t="s">
        <v>25</v>
      </c>
      <c r="G26" s="187"/>
      <c r="H26" s="179"/>
      <c r="I26" s="180"/>
      <c r="J26" s="179"/>
      <c r="K26" s="147">
        <v>1010</v>
      </c>
      <c r="L26" s="79" t="e">
        <f>#REF!</f>
        <v>#REF!</v>
      </c>
      <c r="M26" s="297" t="e">
        <f t="shared" si="6"/>
        <v>#REF!</v>
      </c>
      <c r="N26" s="153">
        <f t="shared" si="4"/>
        <v>361019.32000000094</v>
      </c>
      <c r="O26" s="153" t="e">
        <f t="shared" si="5"/>
        <v>#REF!</v>
      </c>
      <c r="P26" s="140" t="s">
        <v>201</v>
      </c>
      <c r="Q26" s="92"/>
      <c r="R26" s="92"/>
      <c r="S26" s="129" t="e">
        <f t="shared" si="7"/>
        <v>#REF!</v>
      </c>
      <c r="T26" s="25"/>
      <c r="V26" s="25"/>
      <c r="W26" s="25"/>
      <c r="X26" s="25"/>
      <c r="Y26" s="25"/>
      <c r="Z26" s="25"/>
      <c r="AA26" s="25"/>
      <c r="AB26" s="25"/>
      <c r="AC26" s="25"/>
    </row>
    <row r="27" spans="1:29" s="83" customFormat="1" ht="12" customHeight="1">
      <c r="A27" s="80"/>
      <c r="B27" s="256">
        <v>45796</v>
      </c>
      <c r="C27" s="144" t="s">
        <v>41</v>
      </c>
      <c r="D27" s="149"/>
      <c r="E27" s="145">
        <v>7</v>
      </c>
      <c r="F27" s="187" t="s">
        <v>25</v>
      </c>
      <c r="G27" s="187"/>
      <c r="H27" s="179"/>
      <c r="I27" s="180"/>
      <c r="J27" s="179"/>
      <c r="K27" s="147">
        <v>3.6</v>
      </c>
      <c r="L27" s="79" t="e">
        <f>#REF!</f>
        <v>#REF!</v>
      </c>
      <c r="M27" s="297" t="e">
        <f t="shared" si="6"/>
        <v>#REF!</v>
      </c>
      <c r="N27" s="153">
        <f t="shared" si="4"/>
        <v>361015.72000000096</v>
      </c>
      <c r="O27" s="153" t="e">
        <f t="shared" si="5"/>
        <v>#REF!</v>
      </c>
      <c r="P27" s="140" t="s">
        <v>201</v>
      </c>
      <c r="Q27" s="92"/>
      <c r="R27" s="92"/>
      <c r="S27" s="129" t="e">
        <f t="shared" si="7"/>
        <v>#REF!</v>
      </c>
      <c r="T27" s="25"/>
      <c r="V27" s="25"/>
      <c r="W27" s="25"/>
      <c r="X27" s="25"/>
      <c r="Y27" s="25"/>
      <c r="Z27" s="25"/>
      <c r="AA27" s="25"/>
      <c r="AB27" s="25"/>
      <c r="AC27" s="25"/>
    </row>
    <row r="28" spans="1:29" s="83" customFormat="1" ht="12" customHeight="1">
      <c r="A28" s="80"/>
      <c r="B28" s="256">
        <v>45796</v>
      </c>
      <c r="C28" s="177" t="s">
        <v>144</v>
      </c>
      <c r="D28" s="149" t="s">
        <v>182</v>
      </c>
      <c r="E28" s="145">
        <v>8</v>
      </c>
      <c r="F28" s="187" t="s">
        <v>27</v>
      </c>
      <c r="G28" s="187" t="s">
        <v>30</v>
      </c>
      <c r="H28" s="187"/>
      <c r="I28" s="187"/>
      <c r="J28" s="187"/>
      <c r="K28" s="258">
        <v>1018.2</v>
      </c>
      <c r="L28" s="79" t="e">
        <f>#REF!</f>
        <v>#REF!</v>
      </c>
      <c r="M28" s="297" t="e">
        <f t="shared" ref="M28:M33" si="8">K28/L28</f>
        <v>#REF!</v>
      </c>
      <c r="N28" s="153">
        <f t="shared" si="4"/>
        <v>359997.52000000095</v>
      </c>
      <c r="O28" s="153" t="e">
        <f t="shared" si="5"/>
        <v>#REF!</v>
      </c>
      <c r="P28" s="140" t="s">
        <v>201</v>
      </c>
      <c r="Q28" s="92"/>
      <c r="R28" s="92"/>
      <c r="S28" s="129" t="e">
        <f t="shared" si="7"/>
        <v>#REF!</v>
      </c>
      <c r="T28" s="25"/>
      <c r="V28" s="25"/>
      <c r="W28" s="25"/>
      <c r="X28" s="25"/>
      <c r="Y28" s="25"/>
      <c r="Z28" s="25"/>
      <c r="AA28" s="25"/>
      <c r="AB28" s="25"/>
      <c r="AC28" s="25"/>
    </row>
    <row r="29" spans="1:29" s="83" customFormat="1" ht="12" customHeight="1">
      <c r="A29" s="80"/>
      <c r="B29" s="256">
        <v>45796</v>
      </c>
      <c r="C29" s="177" t="s">
        <v>53</v>
      </c>
      <c r="D29" s="149" t="s">
        <v>182</v>
      </c>
      <c r="E29" s="145">
        <v>9</v>
      </c>
      <c r="F29" s="187" t="s">
        <v>25</v>
      </c>
      <c r="G29" s="187"/>
      <c r="H29" s="187"/>
      <c r="I29" s="187"/>
      <c r="J29" s="187"/>
      <c r="K29" s="258">
        <v>676</v>
      </c>
      <c r="L29" s="79" t="e">
        <f>#REF!</f>
        <v>#REF!</v>
      </c>
      <c r="M29" s="297" t="e">
        <f t="shared" si="8"/>
        <v>#REF!</v>
      </c>
      <c r="N29" s="153">
        <f t="shared" si="4"/>
        <v>359321.52000000095</v>
      </c>
      <c r="O29" s="153" t="e">
        <f t="shared" si="5"/>
        <v>#REF!</v>
      </c>
      <c r="P29" s="140" t="s">
        <v>201</v>
      </c>
      <c r="Q29" s="92"/>
      <c r="R29" s="303"/>
      <c r="S29" s="129" t="e">
        <f t="shared" si="7"/>
        <v>#REF!</v>
      </c>
      <c r="T29" s="25"/>
      <c r="V29" s="25"/>
      <c r="W29" s="25"/>
      <c r="X29" s="25"/>
      <c r="Y29" s="25"/>
      <c r="Z29" s="25"/>
      <c r="AA29" s="25"/>
      <c r="AB29" s="25"/>
      <c r="AC29" s="25"/>
    </row>
    <row r="30" spans="1:29" s="83" customFormat="1" ht="12" customHeight="1">
      <c r="A30" s="80"/>
      <c r="B30" s="256">
        <v>45796</v>
      </c>
      <c r="C30" s="144" t="s">
        <v>68</v>
      </c>
      <c r="D30" s="149" t="s">
        <v>182</v>
      </c>
      <c r="E30" s="145">
        <v>10</v>
      </c>
      <c r="F30" s="187" t="s">
        <v>25</v>
      </c>
      <c r="G30" s="187"/>
      <c r="H30" s="187"/>
      <c r="I30" s="187"/>
      <c r="J30" s="187"/>
      <c r="K30" s="146">
        <v>3.6</v>
      </c>
      <c r="L30" s="79" t="e">
        <f>#REF!</f>
        <v>#REF!</v>
      </c>
      <c r="M30" s="297" t="e">
        <f t="shared" si="8"/>
        <v>#REF!</v>
      </c>
      <c r="N30" s="153">
        <f t="shared" si="4"/>
        <v>359317.92000000097</v>
      </c>
      <c r="O30" s="153" t="e">
        <f t="shared" si="5"/>
        <v>#REF!</v>
      </c>
      <c r="P30" s="140" t="s">
        <v>201</v>
      </c>
      <c r="Q30" s="92"/>
      <c r="R30" s="303"/>
      <c r="S30" s="129" t="e">
        <f t="shared" si="7"/>
        <v>#REF!</v>
      </c>
      <c r="T30" s="25"/>
      <c r="V30" s="25"/>
      <c r="W30" s="25"/>
      <c r="X30" s="25"/>
      <c r="Y30" s="25"/>
      <c r="Z30" s="25"/>
      <c r="AA30" s="25"/>
      <c r="AB30" s="25"/>
      <c r="AC30" s="25"/>
    </row>
    <row r="31" spans="1:29" s="83" customFormat="1" ht="12" customHeight="1">
      <c r="A31" s="80"/>
      <c r="B31" s="256">
        <v>45796</v>
      </c>
      <c r="C31" s="177" t="s">
        <v>207</v>
      </c>
      <c r="D31" s="149" t="s">
        <v>145</v>
      </c>
      <c r="E31" s="253">
        <v>11</v>
      </c>
      <c r="F31" s="187" t="s">
        <v>32</v>
      </c>
      <c r="G31" s="82" t="s">
        <v>33</v>
      </c>
      <c r="H31" s="187"/>
      <c r="I31" s="187"/>
      <c r="J31" s="187"/>
      <c r="K31" s="258">
        <v>419.4</v>
      </c>
      <c r="L31" s="79" t="e">
        <f>#REF!</f>
        <v>#REF!</v>
      </c>
      <c r="M31" s="297" t="e">
        <f t="shared" si="8"/>
        <v>#REF!</v>
      </c>
      <c r="N31" s="153">
        <f t="shared" si="4"/>
        <v>358898.52000000095</v>
      </c>
      <c r="O31" s="153" t="e">
        <f t="shared" si="5"/>
        <v>#REF!</v>
      </c>
      <c r="P31" s="140" t="s">
        <v>201</v>
      </c>
      <c r="Q31" s="92"/>
      <c r="R31" s="303"/>
      <c r="S31" s="129" t="e">
        <f t="shared" si="7"/>
        <v>#REF!</v>
      </c>
      <c r="T31" s="25"/>
      <c r="V31" s="25"/>
      <c r="W31" s="25"/>
      <c r="X31" s="25"/>
      <c r="Y31" s="25"/>
      <c r="Z31" s="25"/>
      <c r="AA31" s="25"/>
      <c r="AB31" s="25"/>
      <c r="AC31" s="25"/>
    </row>
    <row r="32" spans="1:29" s="83" customFormat="1" ht="12" customHeight="1">
      <c r="A32" s="80"/>
      <c r="B32" s="256">
        <v>45796</v>
      </c>
      <c r="C32" s="144" t="s">
        <v>159</v>
      </c>
      <c r="D32" s="149" t="s">
        <v>145</v>
      </c>
      <c r="E32" s="145">
        <v>12</v>
      </c>
      <c r="F32" s="187" t="s">
        <v>32</v>
      </c>
      <c r="G32" s="187" t="s">
        <v>33</v>
      </c>
      <c r="H32" s="187"/>
      <c r="I32" s="187"/>
      <c r="J32" s="187"/>
      <c r="K32" s="146">
        <v>628</v>
      </c>
      <c r="L32" s="79" t="e">
        <f>#REF!</f>
        <v>#REF!</v>
      </c>
      <c r="M32" s="297" t="e">
        <f t="shared" si="8"/>
        <v>#REF!</v>
      </c>
      <c r="N32" s="153">
        <f t="shared" si="4"/>
        <v>358270.52000000095</v>
      </c>
      <c r="O32" s="153" t="e">
        <f t="shared" si="5"/>
        <v>#REF!</v>
      </c>
      <c r="P32" s="140" t="s">
        <v>201</v>
      </c>
      <c r="Q32" s="92"/>
      <c r="R32" s="303"/>
      <c r="S32" s="129" t="e">
        <f t="shared" si="7"/>
        <v>#REF!</v>
      </c>
      <c r="T32" s="25"/>
      <c r="V32" s="25"/>
      <c r="W32" s="25"/>
      <c r="X32" s="25"/>
      <c r="Y32" s="25"/>
      <c r="Z32" s="25"/>
      <c r="AA32" s="25"/>
      <c r="AB32" s="25"/>
      <c r="AC32" s="25"/>
    </row>
    <row r="33" spans="1:29" s="83" customFormat="1" ht="12" customHeight="1">
      <c r="A33" s="80"/>
      <c r="B33" s="256">
        <v>45796</v>
      </c>
      <c r="C33" s="177" t="s">
        <v>8</v>
      </c>
      <c r="D33" s="149" t="s">
        <v>145</v>
      </c>
      <c r="E33" s="145">
        <v>13</v>
      </c>
      <c r="F33" s="187" t="s">
        <v>27</v>
      </c>
      <c r="G33" s="187" t="s">
        <v>30</v>
      </c>
      <c r="H33" s="187"/>
      <c r="I33" s="187"/>
      <c r="J33" s="187"/>
      <c r="K33" s="146">
        <v>123.8</v>
      </c>
      <c r="L33" s="79" t="e">
        <f>#REF!</f>
        <v>#REF!</v>
      </c>
      <c r="M33" s="297" t="e">
        <f t="shared" si="8"/>
        <v>#REF!</v>
      </c>
      <c r="N33" s="153">
        <f t="shared" si="4"/>
        <v>358146.72000000096</v>
      </c>
      <c r="O33" s="153" t="e">
        <f t="shared" si="5"/>
        <v>#REF!</v>
      </c>
      <c r="P33" s="140" t="s">
        <v>201</v>
      </c>
      <c r="Q33" s="92"/>
      <c r="R33" s="303"/>
      <c r="S33" s="129" t="e">
        <f t="shared" si="7"/>
        <v>#REF!</v>
      </c>
      <c r="T33" s="25"/>
      <c r="V33" s="25"/>
      <c r="W33" s="25"/>
      <c r="X33" s="25"/>
      <c r="Y33" s="25"/>
      <c r="Z33" s="25"/>
      <c r="AA33" s="25"/>
      <c r="AB33" s="25"/>
      <c r="AC33" s="25"/>
    </row>
    <row r="34" spans="1:29" s="83" customFormat="1" ht="12" customHeight="1">
      <c r="A34" s="80"/>
      <c r="B34" s="256">
        <v>45796</v>
      </c>
      <c r="C34" s="144" t="s">
        <v>206</v>
      </c>
      <c r="D34" s="149" t="s">
        <v>145</v>
      </c>
      <c r="E34" s="145">
        <v>14</v>
      </c>
      <c r="F34" s="187" t="s">
        <v>28</v>
      </c>
      <c r="G34" s="187" t="s">
        <v>31</v>
      </c>
      <c r="H34" s="187"/>
      <c r="I34" s="187"/>
      <c r="J34" s="187"/>
      <c r="K34" s="146">
        <v>318.39999999999998</v>
      </c>
      <c r="L34" s="79" t="e">
        <f>#REF!</f>
        <v>#REF!</v>
      </c>
      <c r="M34" s="297" t="e">
        <f t="shared" ref="M34:M42" si="9">K34/L34</f>
        <v>#REF!</v>
      </c>
      <c r="N34" s="153">
        <f t="shared" si="4"/>
        <v>357828.32000000094</v>
      </c>
      <c r="O34" s="153" t="e">
        <f t="shared" si="5"/>
        <v>#REF!</v>
      </c>
      <c r="P34" s="140" t="s">
        <v>201</v>
      </c>
      <c r="Q34" s="92"/>
      <c r="R34" s="303"/>
      <c r="S34" s="129" t="e">
        <f t="shared" si="7"/>
        <v>#REF!</v>
      </c>
      <c r="T34" s="25"/>
      <c r="V34" s="25"/>
      <c r="W34" s="25"/>
      <c r="X34" s="25"/>
      <c r="Y34" s="25"/>
      <c r="Z34" s="25"/>
      <c r="AA34" s="25"/>
      <c r="AB34" s="25"/>
      <c r="AC34" s="25"/>
    </row>
    <row r="35" spans="1:29" s="37" customFormat="1" ht="11.25" customHeight="1">
      <c r="A35" s="80"/>
      <c r="B35" s="256">
        <v>45796</v>
      </c>
      <c r="C35" s="144" t="s">
        <v>68</v>
      </c>
      <c r="D35" s="149" t="s">
        <v>145</v>
      </c>
      <c r="E35" s="149">
        <v>15</v>
      </c>
      <c r="F35" s="253" t="s">
        <v>25</v>
      </c>
      <c r="G35" s="82"/>
      <c r="H35" s="150"/>
      <c r="I35" s="189"/>
      <c r="J35" s="189"/>
      <c r="K35" s="146">
        <v>3.6</v>
      </c>
      <c r="L35" s="79" t="e">
        <f>#REF!</f>
        <v>#REF!</v>
      </c>
      <c r="M35" s="297" t="e">
        <f t="shared" si="9"/>
        <v>#REF!</v>
      </c>
      <c r="N35" s="153">
        <f t="shared" si="4"/>
        <v>357824.72000000096</v>
      </c>
      <c r="O35" s="153" t="e">
        <f t="shared" si="5"/>
        <v>#REF!</v>
      </c>
      <c r="P35" s="140" t="s">
        <v>201</v>
      </c>
      <c r="Q35" s="92"/>
      <c r="R35" s="303"/>
      <c r="S35" s="129" t="e">
        <f t="shared" ref="S35:S52" si="10">S34-M35+J35</f>
        <v>#REF!</v>
      </c>
      <c r="T35" s="25"/>
      <c r="U35" s="83"/>
      <c r="V35" s="25"/>
      <c r="W35" s="25"/>
      <c r="X35" s="25"/>
      <c r="Y35" s="25"/>
      <c r="Z35" s="25"/>
      <c r="AA35" s="25"/>
      <c r="AB35" s="25"/>
      <c r="AC35" s="25"/>
    </row>
    <row r="36" spans="1:29" s="37" customFormat="1" ht="11.25" customHeight="1">
      <c r="A36" s="80"/>
      <c r="B36" s="256">
        <v>45796</v>
      </c>
      <c r="C36" s="144" t="s">
        <v>207</v>
      </c>
      <c r="D36" s="149" t="s">
        <v>146</v>
      </c>
      <c r="E36" s="253">
        <v>16</v>
      </c>
      <c r="F36" s="187" t="s">
        <v>32</v>
      </c>
      <c r="G36" s="82" t="s">
        <v>33</v>
      </c>
      <c r="H36" s="150"/>
      <c r="I36" s="189"/>
      <c r="J36" s="189"/>
      <c r="K36" s="311">
        <v>536.62</v>
      </c>
      <c r="L36" s="79" t="e">
        <f>#REF!</f>
        <v>#REF!</v>
      </c>
      <c r="M36" s="297" t="e">
        <f t="shared" si="9"/>
        <v>#REF!</v>
      </c>
      <c r="N36" s="153">
        <f t="shared" si="4"/>
        <v>357288.10000000097</v>
      </c>
      <c r="O36" s="153" t="e">
        <f t="shared" si="5"/>
        <v>#REF!</v>
      </c>
      <c r="P36" s="140" t="s">
        <v>201</v>
      </c>
      <c r="Q36" s="92"/>
      <c r="R36" s="303"/>
      <c r="S36" s="129" t="e">
        <f t="shared" si="10"/>
        <v>#REF!</v>
      </c>
      <c r="T36" s="25"/>
      <c r="U36" s="83"/>
      <c r="V36" s="25"/>
      <c r="W36" s="25"/>
      <c r="X36" s="25"/>
      <c r="Y36" s="25"/>
      <c r="Z36" s="25"/>
      <c r="AA36" s="25"/>
      <c r="AB36" s="25"/>
      <c r="AC36" s="25"/>
    </row>
    <row r="37" spans="1:29" s="37" customFormat="1" ht="11.25" customHeight="1">
      <c r="A37" s="80"/>
      <c r="B37" s="256">
        <v>45796</v>
      </c>
      <c r="C37" s="144" t="s">
        <v>159</v>
      </c>
      <c r="D37" s="149" t="s">
        <v>146</v>
      </c>
      <c r="E37" s="149">
        <v>17</v>
      </c>
      <c r="F37" s="187" t="s">
        <v>32</v>
      </c>
      <c r="G37" s="82" t="s">
        <v>33</v>
      </c>
      <c r="H37" s="150"/>
      <c r="I37" s="189"/>
      <c r="J37" s="189"/>
      <c r="K37" s="146">
        <v>5617.81</v>
      </c>
      <c r="L37" s="79" t="e">
        <f>#REF!</f>
        <v>#REF!</v>
      </c>
      <c r="M37" s="297" t="e">
        <f t="shared" si="9"/>
        <v>#REF!</v>
      </c>
      <c r="N37" s="153">
        <f t="shared" si="4"/>
        <v>351670.29000000097</v>
      </c>
      <c r="O37" s="153" t="e">
        <f t="shared" si="5"/>
        <v>#REF!</v>
      </c>
      <c r="P37" s="140" t="s">
        <v>201</v>
      </c>
      <c r="Q37" s="92"/>
      <c r="R37" s="303"/>
      <c r="S37" s="129" t="e">
        <f t="shared" si="10"/>
        <v>#REF!</v>
      </c>
      <c r="T37" s="25"/>
      <c r="U37" s="83"/>
      <c r="V37" s="25"/>
      <c r="W37" s="25"/>
      <c r="X37" s="25"/>
      <c r="Y37" s="25"/>
      <c r="Z37" s="25"/>
      <c r="AA37" s="25"/>
      <c r="AB37" s="25"/>
      <c r="AC37" s="25"/>
    </row>
    <row r="38" spans="1:29" s="37" customFormat="1" ht="11.25" customHeight="1">
      <c r="A38" s="80"/>
      <c r="B38" s="256">
        <v>45796</v>
      </c>
      <c r="C38" s="144" t="s">
        <v>8</v>
      </c>
      <c r="D38" s="149" t="s">
        <v>146</v>
      </c>
      <c r="E38" s="149">
        <v>18</v>
      </c>
      <c r="F38" s="187" t="s">
        <v>27</v>
      </c>
      <c r="G38" s="82" t="s">
        <v>30</v>
      </c>
      <c r="H38" s="150"/>
      <c r="I38" s="189"/>
      <c r="J38" s="189"/>
      <c r="K38" s="146">
        <v>400</v>
      </c>
      <c r="L38" s="79" t="e">
        <f>#REF!</f>
        <v>#REF!</v>
      </c>
      <c r="M38" s="297" t="e">
        <f t="shared" si="9"/>
        <v>#REF!</v>
      </c>
      <c r="N38" s="153">
        <f t="shared" si="4"/>
        <v>351270.29000000097</v>
      </c>
      <c r="O38" s="153" t="e">
        <f t="shared" si="5"/>
        <v>#REF!</v>
      </c>
      <c r="P38" s="140" t="s">
        <v>201</v>
      </c>
      <c r="Q38" s="92"/>
      <c r="R38" s="303"/>
      <c r="S38" s="129" t="e">
        <f t="shared" si="10"/>
        <v>#REF!</v>
      </c>
      <c r="T38" s="25"/>
      <c r="U38" s="83"/>
      <c r="V38" s="25"/>
      <c r="W38" s="25"/>
      <c r="X38" s="25"/>
      <c r="Y38" s="25"/>
      <c r="Z38" s="25"/>
      <c r="AA38" s="25"/>
      <c r="AB38" s="25"/>
      <c r="AC38" s="25"/>
    </row>
    <row r="39" spans="1:29" s="37" customFormat="1" ht="11.25" customHeight="1">
      <c r="A39" s="80"/>
      <c r="B39" s="256">
        <v>45796</v>
      </c>
      <c r="C39" s="144" t="s">
        <v>2</v>
      </c>
      <c r="D39" s="149" t="s">
        <v>146</v>
      </c>
      <c r="E39" s="149">
        <v>19</v>
      </c>
      <c r="F39" s="187" t="s">
        <v>28</v>
      </c>
      <c r="G39" s="82" t="s">
        <v>31</v>
      </c>
      <c r="H39" s="150"/>
      <c r="I39" s="189"/>
      <c r="J39" s="189"/>
      <c r="K39" s="146">
        <v>361</v>
      </c>
      <c r="L39" s="79" t="e">
        <f>#REF!</f>
        <v>#REF!</v>
      </c>
      <c r="M39" s="297" t="e">
        <f t="shared" si="9"/>
        <v>#REF!</v>
      </c>
      <c r="N39" s="153">
        <f t="shared" si="4"/>
        <v>350909.29000000097</v>
      </c>
      <c r="O39" s="153" t="e">
        <f t="shared" si="5"/>
        <v>#REF!</v>
      </c>
      <c r="P39" s="140" t="s">
        <v>201</v>
      </c>
      <c r="Q39" s="92"/>
      <c r="R39" s="303"/>
      <c r="S39" s="129" t="e">
        <f t="shared" si="10"/>
        <v>#REF!</v>
      </c>
      <c r="T39" s="25"/>
      <c r="U39" s="83"/>
      <c r="V39" s="25"/>
      <c r="W39" s="25"/>
      <c r="X39" s="25"/>
      <c r="Y39" s="25"/>
      <c r="Z39" s="25"/>
      <c r="AA39" s="25"/>
      <c r="AB39" s="25"/>
      <c r="AC39" s="25"/>
    </row>
    <row r="40" spans="1:29" s="37" customFormat="1" ht="11.25" customHeight="1">
      <c r="A40" s="80"/>
      <c r="B40" s="256">
        <v>45796</v>
      </c>
      <c r="C40" s="144" t="s">
        <v>161</v>
      </c>
      <c r="D40" s="149" t="s">
        <v>146</v>
      </c>
      <c r="E40" s="149">
        <v>20</v>
      </c>
      <c r="F40" s="187" t="s">
        <v>25</v>
      </c>
      <c r="G40" s="82"/>
      <c r="H40" s="150"/>
      <c r="I40" s="189"/>
      <c r="J40" s="189"/>
      <c r="K40" s="146">
        <v>276.60000000000002</v>
      </c>
      <c r="L40" s="79" t="e">
        <f>#REF!</f>
        <v>#REF!</v>
      </c>
      <c r="M40" s="297" t="e">
        <f t="shared" si="9"/>
        <v>#REF!</v>
      </c>
      <c r="N40" s="153">
        <f t="shared" si="4"/>
        <v>350632.69000000099</v>
      </c>
      <c r="O40" s="153" t="e">
        <f t="shared" si="5"/>
        <v>#REF!</v>
      </c>
      <c r="P40" s="140" t="s">
        <v>201</v>
      </c>
      <c r="Q40" s="92"/>
      <c r="R40" s="303"/>
      <c r="S40" s="129" t="e">
        <f t="shared" si="10"/>
        <v>#REF!</v>
      </c>
      <c r="T40" s="25"/>
      <c r="U40" s="83"/>
      <c r="V40" s="25"/>
      <c r="W40" s="25"/>
      <c r="X40" s="25"/>
      <c r="Y40" s="25"/>
      <c r="Z40" s="25"/>
      <c r="AA40" s="25"/>
      <c r="AB40" s="25"/>
      <c r="AC40" s="25"/>
    </row>
    <row r="41" spans="1:29" s="37" customFormat="1" ht="11.25" customHeight="1">
      <c r="A41" s="80"/>
      <c r="B41" s="256">
        <v>45796</v>
      </c>
      <c r="C41" s="144" t="s">
        <v>142</v>
      </c>
      <c r="D41" s="149" t="s">
        <v>146</v>
      </c>
      <c r="E41" s="149">
        <v>21</v>
      </c>
      <c r="F41" s="187" t="s">
        <v>25</v>
      </c>
      <c r="G41" s="82"/>
      <c r="H41" s="150"/>
      <c r="I41" s="189"/>
      <c r="J41" s="189"/>
      <c r="K41" s="146">
        <v>517</v>
      </c>
      <c r="L41" s="79" t="e">
        <f>#REF!</f>
        <v>#REF!</v>
      </c>
      <c r="M41" s="297" t="e">
        <f t="shared" si="9"/>
        <v>#REF!</v>
      </c>
      <c r="N41" s="153">
        <f t="shared" si="4"/>
        <v>350115.69000000099</v>
      </c>
      <c r="O41" s="153" t="e">
        <f t="shared" si="5"/>
        <v>#REF!</v>
      </c>
      <c r="P41" s="140" t="s">
        <v>201</v>
      </c>
      <c r="Q41" s="92"/>
      <c r="R41" s="303"/>
      <c r="S41" s="129" t="e">
        <f t="shared" si="10"/>
        <v>#REF!</v>
      </c>
      <c r="T41" s="25"/>
      <c r="U41" s="83"/>
      <c r="V41" s="25"/>
      <c r="W41" s="25"/>
      <c r="X41" s="25"/>
      <c r="Y41" s="25"/>
      <c r="Z41" s="25"/>
      <c r="AA41" s="25"/>
      <c r="AB41" s="25"/>
      <c r="AC41" s="25"/>
    </row>
    <row r="42" spans="1:29" s="37" customFormat="1" ht="11.25" customHeight="1">
      <c r="A42" s="80"/>
      <c r="B42" s="256">
        <v>45796</v>
      </c>
      <c r="C42" s="144" t="s">
        <v>68</v>
      </c>
      <c r="D42" s="149" t="s">
        <v>146</v>
      </c>
      <c r="E42" s="145">
        <v>22</v>
      </c>
      <c r="F42" s="187" t="s">
        <v>25</v>
      </c>
      <c r="G42" s="187"/>
      <c r="H42" s="187"/>
      <c r="I42" s="187"/>
      <c r="J42" s="187"/>
      <c r="K42" s="316">
        <v>3.6</v>
      </c>
      <c r="L42" s="79" t="e">
        <f>#REF!</f>
        <v>#REF!</v>
      </c>
      <c r="M42" s="297" t="e">
        <f t="shared" si="9"/>
        <v>#REF!</v>
      </c>
      <c r="N42" s="153">
        <f t="shared" si="4"/>
        <v>350112.09000000102</v>
      </c>
      <c r="O42" s="153" t="e">
        <f t="shared" si="5"/>
        <v>#REF!</v>
      </c>
      <c r="P42" s="140" t="s">
        <v>201</v>
      </c>
      <c r="Q42" s="92"/>
      <c r="R42" s="304"/>
      <c r="S42" s="129" t="e">
        <f t="shared" si="10"/>
        <v>#REF!</v>
      </c>
      <c r="T42" s="25"/>
      <c r="U42" s="83"/>
      <c r="V42" s="25"/>
      <c r="W42" s="25"/>
      <c r="X42" s="25"/>
      <c r="Y42" s="25"/>
      <c r="Z42" s="25"/>
      <c r="AA42" s="25"/>
      <c r="AB42" s="25"/>
      <c r="AC42" s="25"/>
    </row>
    <row r="43" spans="1:29" s="37" customFormat="1" ht="11.25" customHeight="1">
      <c r="A43" s="80"/>
      <c r="B43" s="256">
        <v>45796</v>
      </c>
      <c r="C43" s="144" t="s">
        <v>208</v>
      </c>
      <c r="D43" s="142" t="s">
        <v>147</v>
      </c>
      <c r="E43" s="187">
        <v>23</v>
      </c>
      <c r="F43" s="187" t="s">
        <v>32</v>
      </c>
      <c r="G43" s="187" t="s">
        <v>33</v>
      </c>
      <c r="H43" s="187"/>
      <c r="I43" s="187"/>
      <c r="J43" s="187"/>
      <c r="K43" s="258">
        <v>589.1</v>
      </c>
      <c r="L43" s="79" t="e">
        <f>#REF!</f>
        <v>#REF!</v>
      </c>
      <c r="M43" s="297" t="e">
        <f>K43/L43</f>
        <v>#REF!</v>
      </c>
      <c r="N43" s="153">
        <f t="shared" si="4"/>
        <v>349522.99000000104</v>
      </c>
      <c r="O43" s="153" t="e">
        <f t="shared" si="5"/>
        <v>#REF!</v>
      </c>
      <c r="P43" s="140" t="s">
        <v>201</v>
      </c>
      <c r="Q43" s="92"/>
      <c r="R43" s="304"/>
      <c r="S43" s="129" t="e">
        <f t="shared" si="10"/>
        <v>#REF!</v>
      </c>
      <c r="T43" s="25"/>
      <c r="U43" s="83"/>
      <c r="V43" s="25"/>
      <c r="W43" s="25"/>
      <c r="X43" s="25"/>
      <c r="Y43" s="25"/>
      <c r="Z43" s="25"/>
      <c r="AA43" s="25"/>
      <c r="AB43" s="25"/>
      <c r="AC43" s="25"/>
    </row>
    <row r="44" spans="1:29" s="37" customFormat="1" ht="11.25" customHeight="1">
      <c r="A44" s="80"/>
      <c r="B44" s="256">
        <v>45796</v>
      </c>
      <c r="C44" s="144" t="s">
        <v>8</v>
      </c>
      <c r="D44" s="142" t="s">
        <v>147</v>
      </c>
      <c r="E44" s="149">
        <v>24</v>
      </c>
      <c r="F44" s="187" t="s">
        <v>27</v>
      </c>
      <c r="G44" s="82" t="s">
        <v>30</v>
      </c>
      <c r="H44" s="187"/>
      <c r="I44" s="187"/>
      <c r="J44" s="187"/>
      <c r="K44" s="146">
        <v>299.60000000000002</v>
      </c>
      <c r="L44" s="79" t="e">
        <f>#REF!</f>
        <v>#REF!</v>
      </c>
      <c r="M44" s="297" t="e">
        <f>K44/L44</f>
        <v>#REF!</v>
      </c>
      <c r="N44" s="153">
        <f t="shared" si="4"/>
        <v>349223.39000000106</v>
      </c>
      <c r="O44" s="153" t="e">
        <f t="shared" si="5"/>
        <v>#REF!</v>
      </c>
      <c r="P44" s="140" t="s">
        <v>201</v>
      </c>
      <c r="Q44" s="92"/>
      <c r="R44" s="177"/>
      <c r="S44" s="129" t="e">
        <f t="shared" si="10"/>
        <v>#REF!</v>
      </c>
      <c r="T44" s="25"/>
      <c r="U44" s="83"/>
      <c r="V44" s="25"/>
      <c r="W44" s="25"/>
      <c r="X44" s="25"/>
      <c r="Y44" s="25"/>
      <c r="Z44" s="25"/>
      <c r="AA44" s="25"/>
      <c r="AB44" s="25"/>
      <c r="AC44" s="25"/>
    </row>
    <row r="45" spans="1:29" s="37" customFormat="1" ht="11.25" customHeight="1">
      <c r="A45" s="80"/>
      <c r="B45" s="256">
        <v>45796</v>
      </c>
      <c r="C45" s="144" t="s">
        <v>159</v>
      </c>
      <c r="D45" s="142" t="s">
        <v>147</v>
      </c>
      <c r="E45" s="149">
        <v>25</v>
      </c>
      <c r="F45" s="187" t="s">
        <v>32</v>
      </c>
      <c r="G45" s="82" t="s">
        <v>33</v>
      </c>
      <c r="H45" s="187"/>
      <c r="I45" s="187"/>
      <c r="J45" s="187"/>
      <c r="K45" s="146">
        <v>1259</v>
      </c>
      <c r="L45" s="79" t="e">
        <f>#REF!</f>
        <v>#REF!</v>
      </c>
      <c r="M45" s="297" t="e">
        <f>K45/L45</f>
        <v>#REF!</v>
      </c>
      <c r="N45" s="153">
        <f t="shared" si="4"/>
        <v>347964.39000000106</v>
      </c>
      <c r="O45" s="153" t="e">
        <f t="shared" si="5"/>
        <v>#REF!</v>
      </c>
      <c r="P45" s="140" t="s">
        <v>201</v>
      </c>
      <c r="Q45" s="92"/>
      <c r="R45" s="177"/>
      <c r="S45" s="129" t="e">
        <f t="shared" si="10"/>
        <v>#REF!</v>
      </c>
      <c r="T45" s="25"/>
      <c r="U45" s="83"/>
      <c r="V45" s="25"/>
      <c r="W45" s="25"/>
      <c r="X45" s="25"/>
      <c r="Y45" s="25"/>
      <c r="Z45" s="25"/>
      <c r="AA45" s="25"/>
      <c r="AB45" s="25"/>
      <c r="AC45" s="25"/>
    </row>
    <row r="46" spans="1:29" s="37" customFormat="1" ht="11.25" customHeight="1">
      <c r="A46" s="80"/>
      <c r="B46" s="256">
        <v>45796</v>
      </c>
      <c r="C46" s="144" t="s">
        <v>2</v>
      </c>
      <c r="D46" s="142" t="s">
        <v>147</v>
      </c>
      <c r="E46" s="149">
        <v>26</v>
      </c>
      <c r="F46" s="187" t="s">
        <v>28</v>
      </c>
      <c r="G46" s="187" t="s">
        <v>31</v>
      </c>
      <c r="H46" s="187"/>
      <c r="I46" s="187"/>
      <c r="J46" s="187"/>
      <c r="K46" s="146">
        <v>2482</v>
      </c>
      <c r="L46" s="79" t="e">
        <f>#REF!</f>
        <v>#REF!</v>
      </c>
      <c r="M46" s="297" t="e">
        <f>K46/L46</f>
        <v>#REF!</v>
      </c>
      <c r="N46" s="153">
        <f t="shared" si="4"/>
        <v>345482.39000000106</v>
      </c>
      <c r="O46" s="153" t="e">
        <f t="shared" si="5"/>
        <v>#REF!</v>
      </c>
      <c r="P46" s="140" t="s">
        <v>201</v>
      </c>
      <c r="Q46" s="92"/>
      <c r="R46" s="177"/>
      <c r="S46" s="129" t="e">
        <f t="shared" si="10"/>
        <v>#REF!</v>
      </c>
      <c r="T46" s="25"/>
      <c r="U46" s="83"/>
      <c r="V46" s="25"/>
      <c r="W46" s="25"/>
      <c r="X46" s="25"/>
      <c r="Y46" s="25"/>
      <c r="Z46" s="25"/>
      <c r="AA46" s="25"/>
      <c r="AB46" s="25"/>
      <c r="AC46" s="25"/>
    </row>
    <row r="47" spans="1:29" s="37" customFormat="1" ht="11.25" customHeight="1">
      <c r="A47" s="80"/>
      <c r="B47" s="256">
        <v>45796</v>
      </c>
      <c r="C47" s="144" t="s">
        <v>68</v>
      </c>
      <c r="D47" s="142" t="s">
        <v>147</v>
      </c>
      <c r="E47" s="149">
        <v>27</v>
      </c>
      <c r="F47" s="187" t="s">
        <v>25</v>
      </c>
      <c r="G47" s="187"/>
      <c r="H47" s="187"/>
      <c r="I47" s="187"/>
      <c r="J47" s="187"/>
      <c r="K47" s="146">
        <v>3.6</v>
      </c>
      <c r="L47" s="79" t="e">
        <f>#REF!</f>
        <v>#REF!</v>
      </c>
      <c r="M47" s="297" t="e">
        <f t="shared" ref="M47:M108" si="11">K47/L47</f>
        <v>#REF!</v>
      </c>
      <c r="N47" s="153">
        <f t="shared" si="4"/>
        <v>345478.79000000108</v>
      </c>
      <c r="O47" s="153" t="e">
        <f t="shared" si="5"/>
        <v>#REF!</v>
      </c>
      <c r="P47" s="140" t="s">
        <v>201</v>
      </c>
      <c r="Q47" s="92"/>
      <c r="R47" s="177"/>
      <c r="S47" s="129" t="e">
        <f t="shared" si="10"/>
        <v>#REF!</v>
      </c>
      <c r="T47" s="25"/>
      <c r="U47" s="83"/>
      <c r="V47" s="25"/>
      <c r="W47" s="25"/>
      <c r="X47" s="25"/>
      <c r="Y47" s="25"/>
      <c r="Z47" s="25"/>
      <c r="AA47" s="25"/>
      <c r="AB47" s="25"/>
      <c r="AC47" s="25"/>
    </row>
    <row r="48" spans="1:29" s="37" customFormat="1" ht="11.25" customHeight="1">
      <c r="A48" s="80"/>
      <c r="B48" s="256">
        <v>45796</v>
      </c>
      <c r="C48" s="144" t="s">
        <v>160</v>
      </c>
      <c r="D48" s="142" t="s">
        <v>150</v>
      </c>
      <c r="E48" s="149">
        <v>28</v>
      </c>
      <c r="F48" s="187" t="s">
        <v>32</v>
      </c>
      <c r="G48" s="187" t="s">
        <v>33</v>
      </c>
      <c r="H48" s="187"/>
      <c r="I48" s="187"/>
      <c r="J48" s="187"/>
      <c r="K48" s="146">
        <v>313.58999999999997</v>
      </c>
      <c r="L48" s="79" t="e">
        <f>#REF!</f>
        <v>#REF!</v>
      </c>
      <c r="M48" s="297" t="e">
        <f t="shared" si="11"/>
        <v>#REF!</v>
      </c>
      <c r="N48" s="153">
        <f t="shared" si="4"/>
        <v>345165.20000000106</v>
      </c>
      <c r="O48" s="153" t="e">
        <f t="shared" si="5"/>
        <v>#REF!</v>
      </c>
      <c r="P48" s="140" t="s">
        <v>201</v>
      </c>
      <c r="Q48" s="92"/>
      <c r="R48" s="177"/>
      <c r="S48" s="129" t="e">
        <f t="shared" si="10"/>
        <v>#REF!</v>
      </c>
      <c r="T48" s="25"/>
      <c r="U48" s="83"/>
      <c r="V48" s="25"/>
      <c r="W48" s="25"/>
      <c r="X48" s="25"/>
      <c r="Y48" s="25"/>
      <c r="Z48" s="25"/>
      <c r="AA48" s="25"/>
      <c r="AB48" s="25"/>
      <c r="AC48" s="25"/>
    </row>
    <row r="49" spans="1:29" s="37" customFormat="1" ht="11.25" customHeight="1">
      <c r="A49" s="80"/>
      <c r="B49" s="256">
        <v>45796</v>
      </c>
      <c r="C49" s="142" t="s">
        <v>159</v>
      </c>
      <c r="D49" s="142" t="s">
        <v>150</v>
      </c>
      <c r="E49" s="149">
        <v>29</v>
      </c>
      <c r="F49" s="253" t="s">
        <v>32</v>
      </c>
      <c r="G49" s="82" t="s">
        <v>33</v>
      </c>
      <c r="H49" s="187"/>
      <c r="I49" s="187"/>
      <c r="J49" s="187"/>
      <c r="K49" s="146">
        <v>688.3</v>
      </c>
      <c r="L49" s="79" t="e">
        <f>#REF!</f>
        <v>#REF!</v>
      </c>
      <c r="M49" s="297" t="e">
        <f t="shared" si="11"/>
        <v>#REF!</v>
      </c>
      <c r="N49" s="153">
        <f t="shared" si="4"/>
        <v>344476.90000000107</v>
      </c>
      <c r="O49" s="153" t="e">
        <f t="shared" si="5"/>
        <v>#REF!</v>
      </c>
      <c r="P49" s="140" t="s">
        <v>201</v>
      </c>
      <c r="Q49" s="92"/>
      <c r="R49" s="304"/>
      <c r="S49" s="129" t="e">
        <f t="shared" si="10"/>
        <v>#REF!</v>
      </c>
      <c r="T49" s="25"/>
      <c r="U49" s="83"/>
      <c r="V49" s="25"/>
      <c r="W49" s="25"/>
      <c r="X49" s="25"/>
      <c r="Y49" s="25"/>
      <c r="Z49" s="25"/>
      <c r="AA49" s="25"/>
      <c r="AB49" s="25"/>
      <c r="AC49" s="25"/>
    </row>
    <row r="50" spans="1:29" s="37" customFormat="1" ht="11.25" customHeight="1">
      <c r="A50" s="80"/>
      <c r="B50" s="256">
        <v>45796</v>
      </c>
      <c r="C50" s="177" t="s">
        <v>8</v>
      </c>
      <c r="D50" s="142" t="s">
        <v>150</v>
      </c>
      <c r="E50" s="149">
        <v>30</v>
      </c>
      <c r="F50" s="253" t="s">
        <v>27</v>
      </c>
      <c r="G50" s="82" t="s">
        <v>30</v>
      </c>
      <c r="H50" s="187"/>
      <c r="I50" s="187"/>
      <c r="J50" s="187"/>
      <c r="K50" s="146">
        <v>192.52</v>
      </c>
      <c r="L50" s="79" t="e">
        <f>#REF!</f>
        <v>#REF!</v>
      </c>
      <c r="M50" s="297" t="e">
        <f t="shared" si="11"/>
        <v>#REF!</v>
      </c>
      <c r="N50" s="153">
        <f t="shared" si="4"/>
        <v>344284.38000000105</v>
      </c>
      <c r="O50" s="153" t="e">
        <f t="shared" si="5"/>
        <v>#REF!</v>
      </c>
      <c r="P50" s="140" t="s">
        <v>201</v>
      </c>
      <c r="Q50" s="92"/>
      <c r="R50" s="304"/>
      <c r="S50" s="129" t="e">
        <f t="shared" si="10"/>
        <v>#REF!</v>
      </c>
      <c r="T50" s="25"/>
      <c r="U50" s="83"/>
      <c r="V50" s="25"/>
      <c r="W50" s="25"/>
      <c r="X50" s="25"/>
      <c r="Y50" s="25"/>
      <c r="Z50" s="25"/>
      <c r="AA50" s="25"/>
      <c r="AB50" s="25"/>
      <c r="AC50" s="25"/>
    </row>
    <row r="51" spans="1:29" s="37" customFormat="1" ht="11.25" customHeight="1">
      <c r="A51" s="80"/>
      <c r="B51" s="256">
        <v>45796</v>
      </c>
      <c r="C51" s="177" t="s">
        <v>161</v>
      </c>
      <c r="D51" s="142" t="s">
        <v>150</v>
      </c>
      <c r="E51" s="149">
        <v>31</v>
      </c>
      <c r="F51" s="187" t="s">
        <v>25</v>
      </c>
      <c r="G51" s="187"/>
      <c r="H51" s="187"/>
      <c r="I51" s="187"/>
      <c r="J51" s="187"/>
      <c r="K51" s="146">
        <v>426.75</v>
      </c>
      <c r="L51" s="79" t="e">
        <f>#REF!</f>
        <v>#REF!</v>
      </c>
      <c r="M51" s="297">
        <v>58.23</v>
      </c>
      <c r="N51" s="153">
        <f t="shared" si="4"/>
        <v>343857.63000000105</v>
      </c>
      <c r="O51" s="153" t="e">
        <f t="shared" si="5"/>
        <v>#REF!</v>
      </c>
      <c r="P51" s="140" t="s">
        <v>201</v>
      </c>
      <c r="Q51" s="92"/>
      <c r="R51" s="304"/>
      <c r="S51" s="129" t="e">
        <f t="shared" si="10"/>
        <v>#REF!</v>
      </c>
      <c r="T51" s="25"/>
      <c r="U51" s="83"/>
      <c r="V51" s="25"/>
      <c r="W51" s="25"/>
      <c r="X51" s="25"/>
      <c r="Y51" s="25"/>
      <c r="Z51" s="25"/>
      <c r="AA51" s="25"/>
      <c r="AB51" s="25"/>
      <c r="AC51" s="25"/>
    </row>
    <row r="52" spans="1:29" s="37" customFormat="1" ht="11.25" customHeight="1">
      <c r="A52" s="80"/>
      <c r="B52" s="256">
        <v>45796</v>
      </c>
      <c r="C52" s="177" t="s">
        <v>68</v>
      </c>
      <c r="D52" s="142" t="s">
        <v>150</v>
      </c>
      <c r="E52" s="149">
        <v>32</v>
      </c>
      <c r="F52" s="187" t="s">
        <v>25</v>
      </c>
      <c r="G52" s="187"/>
      <c r="H52" s="187"/>
      <c r="I52" s="187"/>
      <c r="J52" s="187"/>
      <c r="K52" s="146">
        <v>3.6</v>
      </c>
      <c r="L52" s="79" t="e">
        <f>#REF!</f>
        <v>#REF!</v>
      </c>
      <c r="M52" s="297" t="e">
        <f t="shared" si="11"/>
        <v>#REF!</v>
      </c>
      <c r="N52" s="153">
        <f t="shared" si="4"/>
        <v>343854.03000000108</v>
      </c>
      <c r="O52" s="153" t="e">
        <f t="shared" si="5"/>
        <v>#REF!</v>
      </c>
      <c r="P52" s="140" t="s">
        <v>201</v>
      </c>
      <c r="Q52" s="92"/>
      <c r="R52" s="304"/>
      <c r="S52" s="129" t="e">
        <f t="shared" si="10"/>
        <v>#REF!</v>
      </c>
      <c r="T52" s="25"/>
      <c r="U52" s="83"/>
      <c r="V52" s="25"/>
      <c r="W52" s="25"/>
      <c r="X52" s="25"/>
      <c r="Y52" s="25"/>
      <c r="Z52" s="25"/>
      <c r="AA52" s="25"/>
      <c r="AB52" s="25"/>
      <c r="AC52" s="25"/>
    </row>
    <row r="53" spans="1:29" s="37" customFormat="1" ht="11.25" customHeight="1">
      <c r="A53" s="80"/>
      <c r="B53" s="328">
        <v>45796</v>
      </c>
      <c r="C53" s="329" t="s">
        <v>162</v>
      </c>
      <c r="D53" s="330" t="s">
        <v>148</v>
      </c>
      <c r="E53" s="331">
        <v>33</v>
      </c>
      <c r="F53" s="332" t="s">
        <v>32</v>
      </c>
      <c r="G53" s="332" t="s">
        <v>33</v>
      </c>
      <c r="H53" s="332"/>
      <c r="I53" s="332"/>
      <c r="J53" s="332"/>
      <c r="K53" s="333" t="e">
        <f>L53*M53</f>
        <v>#REF!</v>
      </c>
      <c r="L53" s="334" t="e">
        <f>#REF!</f>
        <v>#REF!</v>
      </c>
      <c r="M53" s="335">
        <v>26.688709136591381</v>
      </c>
      <c r="N53" s="336" t="e">
        <f t="shared" si="4"/>
        <v>#REF!</v>
      </c>
      <c r="O53" s="336" t="e">
        <f t="shared" si="5"/>
        <v>#REF!</v>
      </c>
      <c r="P53" s="337" t="s">
        <v>201</v>
      </c>
      <c r="Q53" s="338"/>
      <c r="R53" s="339"/>
      <c r="S53" s="129" t="e">
        <f>S52-M53+J53</f>
        <v>#REF!</v>
      </c>
      <c r="T53" s="25"/>
      <c r="U53" s="83"/>
      <c r="V53" s="25"/>
      <c r="W53" s="25"/>
      <c r="X53" s="25"/>
      <c r="Y53" s="25"/>
      <c r="Z53" s="25"/>
      <c r="AA53" s="25"/>
      <c r="AB53" s="25"/>
      <c r="AC53" s="25"/>
    </row>
    <row r="54" spans="1:29" s="37" customFormat="1" ht="11.25" customHeight="1">
      <c r="A54" s="80"/>
      <c r="B54" s="371">
        <v>45796</v>
      </c>
      <c r="C54" s="372" t="s">
        <v>162</v>
      </c>
      <c r="D54" s="373" t="s">
        <v>148</v>
      </c>
      <c r="E54" s="374">
        <v>33</v>
      </c>
      <c r="F54" s="375" t="s">
        <v>32</v>
      </c>
      <c r="G54" s="375" t="s">
        <v>33</v>
      </c>
      <c r="H54" s="375"/>
      <c r="I54" s="375"/>
      <c r="J54" s="375"/>
      <c r="K54" s="376" t="e">
        <f>3060-K53</f>
        <v>#REF!</v>
      </c>
      <c r="L54" s="377" t="e">
        <f>#REF!</f>
        <v>#REF!</v>
      </c>
      <c r="M54" s="367" t="e">
        <f t="shared" si="11"/>
        <v>#REF!</v>
      </c>
      <c r="N54" s="378" t="e">
        <f t="shared" si="4"/>
        <v>#REF!</v>
      </c>
      <c r="O54" s="378" t="e">
        <f t="shared" si="5"/>
        <v>#REF!</v>
      </c>
      <c r="P54" s="379" t="s">
        <v>131</v>
      </c>
      <c r="Q54" s="380"/>
      <c r="R54" s="352"/>
      <c r="S54" s="129" t="e">
        <f>47865-M54+J54</f>
        <v>#REF!</v>
      </c>
      <c r="T54" s="25"/>
      <c r="U54" s="83"/>
      <c r="V54" s="25"/>
      <c r="W54" s="25"/>
      <c r="X54" s="25"/>
      <c r="Y54" s="25"/>
      <c r="Z54" s="25"/>
      <c r="AA54" s="25"/>
      <c r="AB54" s="25"/>
      <c r="AC54" s="25"/>
    </row>
    <row r="55" spans="1:29" s="37" customFormat="1" ht="11.25" customHeight="1">
      <c r="A55" s="80"/>
      <c r="B55" s="381">
        <v>45796</v>
      </c>
      <c r="C55" s="358" t="s">
        <v>163</v>
      </c>
      <c r="D55" s="395" t="s">
        <v>148</v>
      </c>
      <c r="E55" s="382">
        <v>34</v>
      </c>
      <c r="F55" s="383" t="s">
        <v>32</v>
      </c>
      <c r="G55" s="383" t="s">
        <v>33</v>
      </c>
      <c r="H55" s="383"/>
      <c r="I55" s="383"/>
      <c r="J55" s="383"/>
      <c r="K55" s="384">
        <v>179</v>
      </c>
      <c r="L55" s="385" t="e">
        <f>#REF!</f>
        <v>#REF!</v>
      </c>
      <c r="M55" s="367" t="e">
        <f t="shared" si="11"/>
        <v>#REF!</v>
      </c>
      <c r="N55" s="386" t="e">
        <f t="shared" si="4"/>
        <v>#REF!</v>
      </c>
      <c r="O55" s="386" t="e">
        <f t="shared" si="5"/>
        <v>#REF!</v>
      </c>
      <c r="P55" s="387" t="s">
        <v>131</v>
      </c>
      <c r="Q55" s="388"/>
      <c r="R55" s="353"/>
      <c r="S55" s="129" t="e">
        <f>S54-M55+J55</f>
        <v>#REF!</v>
      </c>
      <c r="T55" s="25"/>
      <c r="U55" s="83"/>
      <c r="V55" s="25"/>
      <c r="W55" s="25"/>
      <c r="X55" s="25"/>
      <c r="Y55" s="25"/>
      <c r="Z55" s="25"/>
      <c r="AA55" s="25"/>
      <c r="AB55" s="25"/>
      <c r="AC55" s="25"/>
    </row>
    <row r="56" spans="1:29" s="37" customFormat="1" ht="11.25" customHeight="1">
      <c r="A56" s="80"/>
      <c r="B56" s="381">
        <v>45796</v>
      </c>
      <c r="C56" s="358" t="s">
        <v>164</v>
      </c>
      <c r="D56" s="395" t="s">
        <v>148</v>
      </c>
      <c r="E56" s="382">
        <v>35</v>
      </c>
      <c r="F56" s="383" t="s">
        <v>32</v>
      </c>
      <c r="G56" s="383" t="s">
        <v>33</v>
      </c>
      <c r="H56" s="383"/>
      <c r="I56" s="383"/>
      <c r="J56" s="383"/>
      <c r="K56" s="384">
        <v>852</v>
      </c>
      <c r="L56" s="385" t="e">
        <f>#REF!</f>
        <v>#REF!</v>
      </c>
      <c r="M56" s="367" t="e">
        <f t="shared" si="11"/>
        <v>#REF!</v>
      </c>
      <c r="N56" s="386" t="e">
        <f t="shared" si="4"/>
        <v>#REF!</v>
      </c>
      <c r="O56" s="386" t="e">
        <f t="shared" si="5"/>
        <v>#REF!</v>
      </c>
      <c r="P56" s="387" t="s">
        <v>131</v>
      </c>
      <c r="Q56" s="388"/>
      <c r="R56" s="353"/>
      <c r="S56" s="129" t="e">
        <f t="shared" ref="S56:S110" si="12">S55-M56+J56</f>
        <v>#REF!</v>
      </c>
      <c r="T56" s="25"/>
      <c r="U56" s="83"/>
      <c r="V56" s="25"/>
      <c r="W56" s="25"/>
      <c r="X56" s="25"/>
      <c r="Y56" s="25"/>
      <c r="Z56" s="25"/>
      <c r="AA56" s="25"/>
      <c r="AB56" s="25"/>
      <c r="AC56" s="25"/>
    </row>
    <row r="57" spans="1:29" s="37" customFormat="1" ht="11.25" customHeight="1">
      <c r="A57" s="80"/>
      <c r="B57" s="381">
        <v>45796</v>
      </c>
      <c r="C57" s="358" t="s">
        <v>68</v>
      </c>
      <c r="D57" s="395" t="s">
        <v>148</v>
      </c>
      <c r="E57" s="382">
        <v>36</v>
      </c>
      <c r="F57" s="389" t="s">
        <v>25</v>
      </c>
      <c r="G57" s="390"/>
      <c r="H57" s="383"/>
      <c r="I57" s="383"/>
      <c r="J57" s="383"/>
      <c r="K57" s="384">
        <v>3.6</v>
      </c>
      <c r="L57" s="385" t="e">
        <f>#REF!</f>
        <v>#REF!</v>
      </c>
      <c r="M57" s="367" t="e">
        <f t="shared" si="11"/>
        <v>#REF!</v>
      </c>
      <c r="N57" s="386" t="e">
        <f t="shared" si="4"/>
        <v>#REF!</v>
      </c>
      <c r="O57" s="386" t="e">
        <f t="shared" si="5"/>
        <v>#REF!</v>
      </c>
      <c r="P57" s="387" t="s">
        <v>131</v>
      </c>
      <c r="Q57" s="388"/>
      <c r="R57" s="387"/>
      <c r="S57" s="129" t="e">
        <f t="shared" si="12"/>
        <v>#REF!</v>
      </c>
      <c r="T57" s="25"/>
      <c r="U57" s="83"/>
      <c r="V57" s="25"/>
      <c r="W57" s="25"/>
      <c r="X57" s="25"/>
      <c r="Y57" s="25"/>
      <c r="Z57" s="25"/>
      <c r="AA57" s="25"/>
      <c r="AB57" s="25"/>
      <c r="AC57" s="25"/>
    </row>
    <row r="58" spans="1:29" s="37" customFormat="1" ht="11.25" customHeight="1">
      <c r="A58" s="80"/>
      <c r="B58" s="381">
        <v>45796</v>
      </c>
      <c r="C58" s="358" t="s">
        <v>164</v>
      </c>
      <c r="D58" s="395" t="s">
        <v>149</v>
      </c>
      <c r="E58" s="382">
        <v>37</v>
      </c>
      <c r="F58" s="383" t="s">
        <v>32</v>
      </c>
      <c r="G58" s="383" t="s">
        <v>33</v>
      </c>
      <c r="H58" s="383"/>
      <c r="I58" s="383"/>
      <c r="J58" s="383"/>
      <c r="K58" s="384">
        <v>551</v>
      </c>
      <c r="L58" s="385" t="e">
        <f>#REF!</f>
        <v>#REF!</v>
      </c>
      <c r="M58" s="367" t="e">
        <f t="shared" si="11"/>
        <v>#REF!</v>
      </c>
      <c r="N58" s="386" t="e">
        <f t="shared" si="4"/>
        <v>#REF!</v>
      </c>
      <c r="O58" s="386" t="e">
        <f t="shared" si="5"/>
        <v>#REF!</v>
      </c>
      <c r="P58" s="387" t="s">
        <v>131</v>
      </c>
      <c r="Q58" s="388"/>
      <c r="R58" s="387"/>
      <c r="S58" s="129" t="e">
        <f t="shared" si="12"/>
        <v>#REF!</v>
      </c>
      <c r="T58" s="25"/>
      <c r="U58" s="83"/>
      <c r="V58" s="25"/>
      <c r="W58" s="25"/>
      <c r="X58" s="25"/>
      <c r="Y58" s="25"/>
      <c r="Z58" s="25"/>
      <c r="AA58" s="25"/>
      <c r="AB58" s="25"/>
      <c r="AC58" s="25"/>
    </row>
    <row r="59" spans="1:29" s="37" customFormat="1" ht="11.25" customHeight="1">
      <c r="A59" s="80"/>
      <c r="B59" s="381">
        <v>45796</v>
      </c>
      <c r="C59" s="358" t="s">
        <v>162</v>
      </c>
      <c r="D59" s="395" t="s">
        <v>149</v>
      </c>
      <c r="E59" s="382">
        <v>38</v>
      </c>
      <c r="F59" s="389" t="s">
        <v>32</v>
      </c>
      <c r="G59" s="390" t="s">
        <v>33</v>
      </c>
      <c r="H59" s="383"/>
      <c r="I59" s="391"/>
      <c r="J59" s="383"/>
      <c r="K59" s="384">
        <v>2361</v>
      </c>
      <c r="L59" s="385" t="e">
        <f>#REF!</f>
        <v>#REF!</v>
      </c>
      <c r="M59" s="367" t="e">
        <f t="shared" si="11"/>
        <v>#REF!</v>
      </c>
      <c r="N59" s="386" t="e">
        <f t="shared" si="4"/>
        <v>#REF!</v>
      </c>
      <c r="O59" s="386" t="e">
        <f t="shared" si="5"/>
        <v>#REF!</v>
      </c>
      <c r="P59" s="387" t="s">
        <v>131</v>
      </c>
      <c r="Q59" s="388"/>
      <c r="R59" s="387"/>
      <c r="S59" s="129" t="e">
        <f t="shared" si="12"/>
        <v>#REF!</v>
      </c>
      <c r="T59" s="25"/>
      <c r="U59" s="83"/>
      <c r="V59" s="25"/>
      <c r="W59" s="25"/>
      <c r="X59" s="25"/>
      <c r="Y59" s="25"/>
      <c r="Z59" s="25"/>
      <c r="AA59" s="25"/>
      <c r="AB59" s="25"/>
      <c r="AC59" s="25"/>
    </row>
    <row r="60" spans="1:29" s="37" customFormat="1" ht="11.25" customHeight="1">
      <c r="A60" s="80"/>
      <c r="B60" s="381">
        <v>45796</v>
      </c>
      <c r="C60" s="358" t="s">
        <v>163</v>
      </c>
      <c r="D60" s="395" t="s">
        <v>149</v>
      </c>
      <c r="E60" s="382">
        <v>39</v>
      </c>
      <c r="F60" s="389" t="s">
        <v>32</v>
      </c>
      <c r="G60" s="390" t="s">
        <v>33</v>
      </c>
      <c r="H60" s="383"/>
      <c r="I60" s="391"/>
      <c r="J60" s="383"/>
      <c r="K60" s="384">
        <v>84</v>
      </c>
      <c r="L60" s="385" t="e">
        <f>#REF!</f>
        <v>#REF!</v>
      </c>
      <c r="M60" s="367" t="e">
        <f t="shared" si="11"/>
        <v>#REF!</v>
      </c>
      <c r="N60" s="386" t="e">
        <f t="shared" si="4"/>
        <v>#REF!</v>
      </c>
      <c r="O60" s="386" t="e">
        <f t="shared" si="5"/>
        <v>#REF!</v>
      </c>
      <c r="P60" s="387" t="s">
        <v>131</v>
      </c>
      <c r="Q60" s="388"/>
      <c r="R60" s="387"/>
      <c r="S60" s="129" t="e">
        <f t="shared" si="12"/>
        <v>#REF!</v>
      </c>
      <c r="T60" s="25"/>
      <c r="U60" s="83"/>
      <c r="V60" s="25"/>
      <c r="W60" s="25"/>
      <c r="X60" s="25"/>
      <c r="Y60" s="25"/>
      <c r="Z60" s="25"/>
      <c r="AA60" s="25"/>
      <c r="AB60" s="25"/>
      <c r="AC60" s="25"/>
    </row>
    <row r="61" spans="1:29" s="37" customFormat="1" ht="11.25" customHeight="1">
      <c r="A61" s="80"/>
      <c r="B61" s="381">
        <v>45796</v>
      </c>
      <c r="C61" s="358" t="s">
        <v>68</v>
      </c>
      <c r="D61" s="395" t="s">
        <v>149</v>
      </c>
      <c r="E61" s="382">
        <v>40</v>
      </c>
      <c r="F61" s="389" t="s">
        <v>25</v>
      </c>
      <c r="G61" s="390"/>
      <c r="H61" s="383"/>
      <c r="I61" s="391"/>
      <c r="J61" s="383"/>
      <c r="K61" s="384">
        <v>3.6</v>
      </c>
      <c r="L61" s="385" t="e">
        <f>#REF!</f>
        <v>#REF!</v>
      </c>
      <c r="M61" s="367" t="e">
        <f t="shared" si="11"/>
        <v>#REF!</v>
      </c>
      <c r="N61" s="386" t="e">
        <f t="shared" si="4"/>
        <v>#REF!</v>
      </c>
      <c r="O61" s="386" t="e">
        <f t="shared" si="5"/>
        <v>#REF!</v>
      </c>
      <c r="P61" s="387" t="s">
        <v>131</v>
      </c>
      <c r="Q61" s="388"/>
      <c r="R61" s="387"/>
      <c r="S61" s="129" t="e">
        <f t="shared" si="12"/>
        <v>#REF!</v>
      </c>
      <c r="T61" s="25"/>
      <c r="U61" s="83"/>
      <c r="V61" s="25"/>
      <c r="W61" s="25"/>
      <c r="X61" s="25"/>
      <c r="Y61" s="25"/>
      <c r="Z61" s="25"/>
      <c r="AA61" s="25"/>
      <c r="AB61" s="25"/>
      <c r="AC61" s="25"/>
    </row>
    <row r="62" spans="1:29" s="37" customFormat="1" ht="11.25" customHeight="1">
      <c r="A62" s="80"/>
      <c r="B62" s="381">
        <v>45796</v>
      </c>
      <c r="C62" s="392" t="s">
        <v>51</v>
      </c>
      <c r="D62" s="382"/>
      <c r="E62" s="382">
        <v>41</v>
      </c>
      <c r="F62" s="389" t="s">
        <v>24</v>
      </c>
      <c r="G62" s="390" t="s">
        <v>38</v>
      </c>
      <c r="H62" s="393"/>
      <c r="I62" s="394"/>
      <c r="J62" s="394"/>
      <c r="K62" s="384">
        <v>10500</v>
      </c>
      <c r="L62" s="385" t="e">
        <f>#REF!</f>
        <v>#REF!</v>
      </c>
      <c r="M62" s="367" t="e">
        <f t="shared" si="11"/>
        <v>#REF!</v>
      </c>
      <c r="N62" s="386" t="e">
        <f t="shared" si="4"/>
        <v>#REF!</v>
      </c>
      <c r="O62" s="386" t="e">
        <f t="shared" si="5"/>
        <v>#REF!</v>
      </c>
      <c r="P62" s="387" t="s">
        <v>131</v>
      </c>
      <c r="Q62" s="388"/>
      <c r="R62" s="387"/>
      <c r="S62" s="129" t="e">
        <f t="shared" si="12"/>
        <v>#REF!</v>
      </c>
      <c r="T62" s="25"/>
      <c r="U62" s="83"/>
      <c r="V62" s="25"/>
      <c r="W62" s="25"/>
      <c r="X62" s="25"/>
      <c r="Y62" s="25"/>
      <c r="Z62" s="25"/>
      <c r="AA62" s="25"/>
      <c r="AB62" s="25"/>
      <c r="AC62" s="25"/>
    </row>
    <row r="63" spans="1:29" s="37" customFormat="1" ht="11.25" customHeight="1">
      <c r="A63" s="80"/>
      <c r="B63" s="381">
        <v>45796</v>
      </c>
      <c r="C63" s="392" t="s">
        <v>112</v>
      </c>
      <c r="D63" s="382"/>
      <c r="E63" s="382">
        <v>41</v>
      </c>
      <c r="F63" s="389" t="s">
        <v>25</v>
      </c>
      <c r="G63" s="390"/>
      <c r="H63" s="393"/>
      <c r="I63" s="394"/>
      <c r="J63" s="394"/>
      <c r="K63" s="384">
        <v>6000</v>
      </c>
      <c r="L63" s="385" t="e">
        <f>#REF!</f>
        <v>#REF!</v>
      </c>
      <c r="M63" s="367" t="e">
        <f t="shared" si="11"/>
        <v>#REF!</v>
      </c>
      <c r="N63" s="386" t="e">
        <f t="shared" si="4"/>
        <v>#REF!</v>
      </c>
      <c r="O63" s="386" t="e">
        <f t="shared" si="5"/>
        <v>#REF!</v>
      </c>
      <c r="P63" s="387" t="s">
        <v>131</v>
      </c>
      <c r="Q63" s="388"/>
      <c r="R63" s="387"/>
      <c r="S63" s="129" t="e">
        <f t="shared" si="12"/>
        <v>#REF!</v>
      </c>
      <c r="T63" s="25"/>
      <c r="U63" s="83"/>
      <c r="V63" s="25"/>
      <c r="W63" s="25"/>
      <c r="X63" s="25"/>
      <c r="Y63" s="25"/>
      <c r="Z63" s="25"/>
      <c r="AA63" s="25"/>
      <c r="AB63" s="25"/>
      <c r="AC63" s="25"/>
    </row>
    <row r="64" spans="1:29" s="37" customFormat="1" ht="11.25" customHeight="1">
      <c r="A64" s="80"/>
      <c r="B64" s="381">
        <v>45796</v>
      </c>
      <c r="C64" s="392" t="s">
        <v>113</v>
      </c>
      <c r="D64" s="382"/>
      <c r="E64" s="382">
        <v>41</v>
      </c>
      <c r="F64" s="389" t="s">
        <v>25</v>
      </c>
      <c r="G64" s="390"/>
      <c r="H64" s="393"/>
      <c r="I64" s="394"/>
      <c r="J64" s="394"/>
      <c r="K64" s="384">
        <v>660</v>
      </c>
      <c r="L64" s="385" t="e">
        <f>#REF!</f>
        <v>#REF!</v>
      </c>
      <c r="M64" s="367" t="e">
        <f t="shared" si="11"/>
        <v>#REF!</v>
      </c>
      <c r="N64" s="386" t="e">
        <f t="shared" si="4"/>
        <v>#REF!</v>
      </c>
      <c r="O64" s="386" t="e">
        <f t="shared" si="5"/>
        <v>#REF!</v>
      </c>
      <c r="P64" s="387" t="s">
        <v>131</v>
      </c>
      <c r="Q64" s="388"/>
      <c r="R64" s="387"/>
      <c r="S64" s="129" t="e">
        <f t="shared" si="12"/>
        <v>#REF!</v>
      </c>
      <c r="T64" s="25"/>
      <c r="U64" s="83"/>
      <c r="V64" s="25"/>
      <c r="W64" s="25"/>
      <c r="X64" s="25"/>
      <c r="Y64" s="25"/>
      <c r="Z64" s="25"/>
      <c r="AA64" s="25"/>
      <c r="AB64" s="25"/>
      <c r="AC64" s="25"/>
    </row>
    <row r="65" spans="1:29" s="37" customFormat="1" ht="11.25" customHeight="1">
      <c r="A65" s="80"/>
      <c r="B65" s="381">
        <v>45796</v>
      </c>
      <c r="C65" s="392" t="s">
        <v>51</v>
      </c>
      <c r="D65" s="382"/>
      <c r="E65" s="382">
        <v>41</v>
      </c>
      <c r="F65" s="389" t="s">
        <v>24</v>
      </c>
      <c r="G65" s="390" t="s">
        <v>38</v>
      </c>
      <c r="H65" s="393"/>
      <c r="I65" s="394"/>
      <c r="J65" s="394"/>
      <c r="K65" s="384">
        <v>7000</v>
      </c>
      <c r="L65" s="385" t="e">
        <f>#REF!</f>
        <v>#REF!</v>
      </c>
      <c r="M65" s="367" t="e">
        <f t="shared" si="11"/>
        <v>#REF!</v>
      </c>
      <c r="N65" s="386" t="e">
        <f t="shared" si="4"/>
        <v>#REF!</v>
      </c>
      <c r="O65" s="386" t="e">
        <f t="shared" si="5"/>
        <v>#REF!</v>
      </c>
      <c r="P65" s="387" t="s">
        <v>131</v>
      </c>
      <c r="Q65" s="388"/>
      <c r="R65" s="387"/>
      <c r="S65" s="129" t="e">
        <f t="shared" si="12"/>
        <v>#REF!</v>
      </c>
      <c r="T65" s="25"/>
      <c r="U65" s="83"/>
      <c r="V65" s="25"/>
      <c r="W65" s="25"/>
      <c r="X65" s="25"/>
      <c r="Y65" s="25"/>
      <c r="Z65" s="25"/>
      <c r="AA65" s="25"/>
      <c r="AB65" s="25"/>
      <c r="AC65" s="25"/>
    </row>
    <row r="66" spans="1:29" s="37" customFormat="1" ht="11.25" customHeight="1">
      <c r="A66" s="80"/>
      <c r="B66" s="381">
        <v>45796</v>
      </c>
      <c r="C66" s="392" t="s">
        <v>112</v>
      </c>
      <c r="D66" s="382"/>
      <c r="E66" s="382">
        <v>41</v>
      </c>
      <c r="F66" s="389" t="s">
        <v>25</v>
      </c>
      <c r="G66" s="390"/>
      <c r="H66" s="393"/>
      <c r="I66" s="394"/>
      <c r="J66" s="394"/>
      <c r="K66" s="384">
        <v>6000</v>
      </c>
      <c r="L66" s="385" t="e">
        <f>#REF!</f>
        <v>#REF!</v>
      </c>
      <c r="M66" s="367" t="e">
        <f t="shared" si="11"/>
        <v>#REF!</v>
      </c>
      <c r="N66" s="386" t="e">
        <f t="shared" si="4"/>
        <v>#REF!</v>
      </c>
      <c r="O66" s="386" t="e">
        <f t="shared" si="5"/>
        <v>#REF!</v>
      </c>
      <c r="P66" s="387" t="s">
        <v>131</v>
      </c>
      <c r="Q66" s="388"/>
      <c r="R66" s="387"/>
      <c r="S66" s="129" t="e">
        <f t="shared" si="12"/>
        <v>#REF!</v>
      </c>
      <c r="T66" s="25"/>
      <c r="U66" s="83"/>
      <c r="V66" s="25"/>
      <c r="W66" s="25"/>
      <c r="X66" s="25"/>
      <c r="Y66" s="25"/>
      <c r="Z66" s="25"/>
      <c r="AA66" s="25"/>
      <c r="AB66" s="25"/>
      <c r="AC66" s="25"/>
    </row>
    <row r="67" spans="1:29" s="37" customFormat="1" ht="11.25" customHeight="1">
      <c r="A67" s="80"/>
      <c r="B67" s="381">
        <v>45796</v>
      </c>
      <c r="C67" s="392" t="s">
        <v>113</v>
      </c>
      <c r="D67" s="382"/>
      <c r="E67" s="382">
        <v>41</v>
      </c>
      <c r="F67" s="389" t="s">
        <v>25</v>
      </c>
      <c r="G67" s="390"/>
      <c r="H67" s="393"/>
      <c r="I67" s="394"/>
      <c r="J67" s="394"/>
      <c r="K67" s="384">
        <v>140</v>
      </c>
      <c r="L67" s="385" t="e">
        <f>#REF!</f>
        <v>#REF!</v>
      </c>
      <c r="M67" s="367" t="e">
        <f t="shared" si="11"/>
        <v>#REF!</v>
      </c>
      <c r="N67" s="386" t="e">
        <f t="shared" si="4"/>
        <v>#REF!</v>
      </c>
      <c r="O67" s="386" t="e">
        <f t="shared" si="5"/>
        <v>#REF!</v>
      </c>
      <c r="P67" s="387" t="s">
        <v>131</v>
      </c>
      <c r="Q67" s="388"/>
      <c r="R67" s="395"/>
      <c r="S67" s="129" t="e">
        <f t="shared" si="12"/>
        <v>#REF!</v>
      </c>
      <c r="T67" s="25"/>
      <c r="U67" s="83"/>
      <c r="V67" s="25"/>
      <c r="W67" s="25"/>
      <c r="X67" s="25"/>
      <c r="Y67" s="25"/>
      <c r="Z67" s="25"/>
      <c r="AA67" s="25"/>
      <c r="AB67" s="25"/>
      <c r="AC67" s="25"/>
    </row>
    <row r="68" spans="1:29" s="37" customFormat="1" ht="11.25" customHeight="1">
      <c r="A68" s="80"/>
      <c r="B68" s="381">
        <v>45796</v>
      </c>
      <c r="C68" s="392" t="s">
        <v>51</v>
      </c>
      <c r="D68" s="382"/>
      <c r="E68" s="382">
        <v>41</v>
      </c>
      <c r="F68" s="389" t="s">
        <v>24</v>
      </c>
      <c r="G68" s="390" t="s">
        <v>38</v>
      </c>
      <c r="H68" s="393"/>
      <c r="I68" s="394"/>
      <c r="J68" s="394"/>
      <c r="K68" s="396">
        <v>3096</v>
      </c>
      <c r="L68" s="385" t="e">
        <f>#REF!</f>
        <v>#REF!</v>
      </c>
      <c r="M68" s="367" t="e">
        <f t="shared" si="11"/>
        <v>#REF!</v>
      </c>
      <c r="N68" s="386" t="e">
        <f t="shared" si="4"/>
        <v>#REF!</v>
      </c>
      <c r="O68" s="386" t="e">
        <f t="shared" si="5"/>
        <v>#REF!</v>
      </c>
      <c r="P68" s="387" t="s">
        <v>131</v>
      </c>
      <c r="Q68" s="388"/>
      <c r="R68" s="395"/>
      <c r="S68" s="129" t="e">
        <f t="shared" si="12"/>
        <v>#REF!</v>
      </c>
      <c r="T68" s="25"/>
      <c r="U68" s="83"/>
      <c r="V68" s="25"/>
      <c r="W68" s="25"/>
      <c r="X68" s="25"/>
      <c r="Y68" s="25"/>
      <c r="Z68" s="25"/>
      <c r="AA68" s="25"/>
      <c r="AB68" s="25"/>
      <c r="AC68" s="25"/>
    </row>
    <row r="69" spans="1:29" s="37" customFormat="1" ht="11.25" customHeight="1">
      <c r="A69" s="80"/>
      <c r="B69" s="381">
        <v>45796</v>
      </c>
      <c r="C69" s="392" t="s">
        <v>112</v>
      </c>
      <c r="D69" s="382"/>
      <c r="E69" s="382">
        <v>41</v>
      </c>
      <c r="F69" s="389" t="s">
        <v>25</v>
      </c>
      <c r="G69" s="390"/>
      <c r="H69" s="383"/>
      <c r="I69" s="391"/>
      <c r="J69" s="383"/>
      <c r="K69" s="397">
        <v>3096</v>
      </c>
      <c r="L69" s="385" t="e">
        <f>#REF!</f>
        <v>#REF!</v>
      </c>
      <c r="M69" s="367" t="e">
        <f t="shared" si="11"/>
        <v>#REF!</v>
      </c>
      <c r="N69" s="386" t="e">
        <f t="shared" si="4"/>
        <v>#REF!</v>
      </c>
      <c r="O69" s="386" t="e">
        <f t="shared" si="5"/>
        <v>#REF!</v>
      </c>
      <c r="P69" s="387" t="s">
        <v>131</v>
      </c>
      <c r="Q69" s="388"/>
      <c r="R69" s="395"/>
      <c r="S69" s="129" t="e">
        <f t="shared" si="12"/>
        <v>#REF!</v>
      </c>
      <c r="T69" s="25"/>
      <c r="U69" s="83"/>
      <c r="V69" s="25"/>
      <c r="W69" s="25"/>
      <c r="X69" s="25"/>
      <c r="Y69" s="25"/>
      <c r="Z69" s="25"/>
      <c r="AA69" s="25"/>
      <c r="AB69" s="25"/>
      <c r="AC69" s="25"/>
    </row>
    <row r="70" spans="1:29" s="37" customFormat="1" ht="11.25" customHeight="1">
      <c r="A70" s="80"/>
      <c r="B70" s="381">
        <v>45796</v>
      </c>
      <c r="C70" s="392" t="s">
        <v>41</v>
      </c>
      <c r="D70" s="382"/>
      <c r="E70" s="382">
        <v>42</v>
      </c>
      <c r="F70" s="389" t="s">
        <v>25</v>
      </c>
      <c r="G70" s="390"/>
      <c r="H70" s="383"/>
      <c r="I70" s="391"/>
      <c r="J70" s="383"/>
      <c r="K70" s="384">
        <v>7.2</v>
      </c>
      <c r="L70" s="385" t="e">
        <f>#REF!</f>
        <v>#REF!</v>
      </c>
      <c r="M70" s="367" t="e">
        <f t="shared" si="11"/>
        <v>#REF!</v>
      </c>
      <c r="N70" s="386" t="e">
        <f t="shared" si="4"/>
        <v>#REF!</v>
      </c>
      <c r="O70" s="386" t="e">
        <f t="shared" si="5"/>
        <v>#REF!</v>
      </c>
      <c r="P70" s="387" t="s">
        <v>131</v>
      </c>
      <c r="Q70" s="388"/>
      <c r="R70" s="395"/>
      <c r="S70" s="129" t="e">
        <f t="shared" si="12"/>
        <v>#REF!</v>
      </c>
      <c r="T70" s="25"/>
      <c r="U70" s="83"/>
      <c r="V70" s="25"/>
      <c r="W70" s="25"/>
      <c r="X70" s="25"/>
      <c r="Y70" s="25"/>
      <c r="Z70" s="25"/>
      <c r="AA70" s="25"/>
      <c r="AB70" s="25"/>
      <c r="AC70" s="25"/>
    </row>
    <row r="71" spans="1:29" s="37" customFormat="1" ht="11.25" customHeight="1">
      <c r="A71" s="80"/>
      <c r="B71" s="381">
        <v>45797</v>
      </c>
      <c r="C71" s="358" t="s">
        <v>2</v>
      </c>
      <c r="D71" s="395" t="s">
        <v>210</v>
      </c>
      <c r="E71" s="382">
        <v>43</v>
      </c>
      <c r="F71" s="389" t="s">
        <v>28</v>
      </c>
      <c r="G71" s="390" t="s">
        <v>31</v>
      </c>
      <c r="H71" s="383"/>
      <c r="I71" s="391"/>
      <c r="J71" s="383"/>
      <c r="K71" s="384">
        <v>14265.08</v>
      </c>
      <c r="L71" s="385" t="e">
        <f>#REF!</f>
        <v>#REF!</v>
      </c>
      <c r="M71" s="367" t="e">
        <f t="shared" si="11"/>
        <v>#REF!</v>
      </c>
      <c r="N71" s="386" t="e">
        <f t="shared" si="4"/>
        <v>#REF!</v>
      </c>
      <c r="O71" s="386" t="e">
        <f t="shared" si="5"/>
        <v>#REF!</v>
      </c>
      <c r="P71" s="387" t="s">
        <v>131</v>
      </c>
      <c r="Q71" s="388"/>
      <c r="R71" s="395"/>
      <c r="S71" s="129" t="e">
        <f t="shared" si="12"/>
        <v>#REF!</v>
      </c>
      <c r="T71" s="25"/>
      <c r="U71" s="83"/>
      <c r="V71" s="25"/>
      <c r="W71" s="25"/>
      <c r="X71" s="25"/>
      <c r="Y71" s="25"/>
      <c r="Z71" s="25"/>
      <c r="AA71" s="25"/>
      <c r="AB71" s="25"/>
      <c r="AC71" s="25"/>
    </row>
    <row r="72" spans="1:29" s="37" customFormat="1" ht="11.25" customHeight="1">
      <c r="A72" s="80"/>
      <c r="B72" s="381">
        <v>45797</v>
      </c>
      <c r="C72" s="358" t="s">
        <v>159</v>
      </c>
      <c r="D72" s="395" t="s">
        <v>210</v>
      </c>
      <c r="E72" s="382">
        <v>44</v>
      </c>
      <c r="F72" s="389" t="s">
        <v>32</v>
      </c>
      <c r="G72" s="390" t="s">
        <v>33</v>
      </c>
      <c r="H72" s="383"/>
      <c r="I72" s="391"/>
      <c r="J72" s="383"/>
      <c r="K72" s="384">
        <v>11800.94</v>
      </c>
      <c r="L72" s="385" t="e">
        <f>#REF!</f>
        <v>#REF!</v>
      </c>
      <c r="M72" s="367" t="e">
        <f t="shared" si="11"/>
        <v>#REF!</v>
      </c>
      <c r="N72" s="386" t="e">
        <f t="shared" si="4"/>
        <v>#REF!</v>
      </c>
      <c r="O72" s="386" t="e">
        <f t="shared" si="5"/>
        <v>#REF!</v>
      </c>
      <c r="P72" s="387" t="s">
        <v>131</v>
      </c>
      <c r="Q72" s="388"/>
      <c r="R72" s="395"/>
      <c r="S72" s="129" t="e">
        <f t="shared" si="12"/>
        <v>#REF!</v>
      </c>
      <c r="T72" s="25"/>
      <c r="U72" s="83"/>
      <c r="V72" s="25"/>
      <c r="W72" s="25"/>
      <c r="X72" s="25"/>
      <c r="Y72" s="25"/>
      <c r="Z72" s="25"/>
      <c r="AA72" s="25"/>
      <c r="AB72" s="25"/>
      <c r="AC72" s="25"/>
    </row>
    <row r="73" spans="1:29" s="37" customFormat="1" ht="11.25" customHeight="1">
      <c r="A73" s="80"/>
      <c r="B73" s="381">
        <v>45797</v>
      </c>
      <c r="C73" s="358" t="s">
        <v>160</v>
      </c>
      <c r="D73" s="395" t="s">
        <v>210</v>
      </c>
      <c r="E73" s="382">
        <v>45</v>
      </c>
      <c r="F73" s="389" t="s">
        <v>32</v>
      </c>
      <c r="G73" s="390" t="s">
        <v>33</v>
      </c>
      <c r="H73" s="383"/>
      <c r="I73" s="391"/>
      <c r="J73" s="383"/>
      <c r="K73" s="384">
        <v>35.74</v>
      </c>
      <c r="L73" s="385" t="e">
        <f>#REF!</f>
        <v>#REF!</v>
      </c>
      <c r="M73" s="367" t="e">
        <f t="shared" si="11"/>
        <v>#REF!</v>
      </c>
      <c r="N73" s="386" t="e">
        <f t="shared" si="4"/>
        <v>#REF!</v>
      </c>
      <c r="O73" s="386" t="e">
        <f t="shared" si="5"/>
        <v>#REF!</v>
      </c>
      <c r="P73" s="387" t="s">
        <v>131</v>
      </c>
      <c r="Q73" s="388"/>
      <c r="R73" s="395"/>
      <c r="S73" s="129" t="e">
        <f t="shared" si="12"/>
        <v>#REF!</v>
      </c>
      <c r="T73" s="25"/>
      <c r="U73" s="83"/>
      <c r="V73" s="25"/>
      <c r="W73" s="25"/>
      <c r="X73" s="25"/>
      <c r="Y73" s="25"/>
      <c r="Z73" s="25"/>
      <c r="AA73" s="25"/>
      <c r="AB73" s="25"/>
      <c r="AC73" s="25"/>
    </row>
    <row r="74" spans="1:29" s="37" customFormat="1" ht="11.25" customHeight="1">
      <c r="A74" s="80"/>
      <c r="B74" s="381">
        <v>45797</v>
      </c>
      <c r="C74" s="358" t="s">
        <v>8</v>
      </c>
      <c r="D74" s="395" t="s">
        <v>210</v>
      </c>
      <c r="E74" s="382">
        <v>46</v>
      </c>
      <c r="F74" s="389" t="s">
        <v>27</v>
      </c>
      <c r="G74" s="390" t="s">
        <v>30</v>
      </c>
      <c r="H74" s="383"/>
      <c r="I74" s="391"/>
      <c r="J74" s="383"/>
      <c r="K74" s="384">
        <v>300</v>
      </c>
      <c r="L74" s="385" t="e">
        <f>#REF!</f>
        <v>#REF!</v>
      </c>
      <c r="M74" s="367" t="e">
        <f t="shared" si="11"/>
        <v>#REF!</v>
      </c>
      <c r="N74" s="386" t="e">
        <f t="shared" si="4"/>
        <v>#REF!</v>
      </c>
      <c r="O74" s="386" t="e">
        <f t="shared" si="5"/>
        <v>#REF!</v>
      </c>
      <c r="P74" s="387" t="s">
        <v>131</v>
      </c>
      <c r="Q74" s="388"/>
      <c r="R74" s="395"/>
      <c r="S74" s="129" t="e">
        <f t="shared" si="12"/>
        <v>#REF!</v>
      </c>
      <c r="T74" s="25"/>
      <c r="U74" s="83"/>
      <c r="V74" s="25"/>
      <c r="W74" s="25"/>
      <c r="X74" s="25"/>
      <c r="Y74" s="25"/>
      <c r="Z74" s="25"/>
      <c r="AA74" s="25"/>
      <c r="AB74" s="25"/>
      <c r="AC74" s="25"/>
    </row>
    <row r="75" spans="1:29" s="37" customFormat="1" ht="11.25" customHeight="1">
      <c r="A75" s="80"/>
      <c r="B75" s="381">
        <v>45797</v>
      </c>
      <c r="C75" s="392" t="s">
        <v>41</v>
      </c>
      <c r="D75" s="395" t="s">
        <v>210</v>
      </c>
      <c r="E75" s="382">
        <v>47</v>
      </c>
      <c r="F75" s="389" t="s">
        <v>25</v>
      </c>
      <c r="G75" s="390"/>
      <c r="H75" s="383"/>
      <c r="I75" s="391"/>
      <c r="J75" s="383"/>
      <c r="K75" s="384">
        <v>7.2</v>
      </c>
      <c r="L75" s="385" t="e">
        <f>#REF!</f>
        <v>#REF!</v>
      </c>
      <c r="M75" s="367" t="e">
        <f t="shared" si="11"/>
        <v>#REF!</v>
      </c>
      <c r="N75" s="386" t="e">
        <f t="shared" si="4"/>
        <v>#REF!</v>
      </c>
      <c r="O75" s="386" t="e">
        <f t="shared" si="5"/>
        <v>#REF!</v>
      </c>
      <c r="P75" s="387" t="s">
        <v>131</v>
      </c>
      <c r="Q75" s="388"/>
      <c r="R75" s="395"/>
      <c r="S75" s="129" t="e">
        <f t="shared" si="12"/>
        <v>#REF!</v>
      </c>
      <c r="T75" s="25"/>
      <c r="U75" s="83"/>
      <c r="V75" s="25"/>
      <c r="W75" s="25"/>
      <c r="X75" s="25"/>
      <c r="Y75" s="25"/>
      <c r="Z75" s="25"/>
      <c r="AA75" s="25"/>
      <c r="AB75" s="25"/>
      <c r="AC75" s="25"/>
    </row>
    <row r="76" spans="1:29" s="37" customFormat="1" ht="11.25" customHeight="1">
      <c r="A76" s="80"/>
      <c r="B76" s="381">
        <v>45797</v>
      </c>
      <c r="C76" s="358" t="s">
        <v>209</v>
      </c>
      <c r="D76" s="382"/>
      <c r="E76" s="398">
        <v>48</v>
      </c>
      <c r="F76" s="389" t="s">
        <v>25</v>
      </c>
      <c r="G76" s="390"/>
      <c r="H76" s="383"/>
      <c r="I76" s="391"/>
      <c r="J76" s="383"/>
      <c r="K76" s="399">
        <v>9010</v>
      </c>
      <c r="L76" s="385" t="e">
        <f>#REF!</f>
        <v>#REF!</v>
      </c>
      <c r="M76" s="367" t="e">
        <f t="shared" si="11"/>
        <v>#REF!</v>
      </c>
      <c r="N76" s="386" t="e">
        <f t="shared" si="4"/>
        <v>#REF!</v>
      </c>
      <c r="O76" s="386" t="e">
        <f t="shared" si="5"/>
        <v>#REF!</v>
      </c>
      <c r="P76" s="387" t="s">
        <v>131</v>
      </c>
      <c r="Q76" s="388"/>
      <c r="R76" s="358" t="s">
        <v>211</v>
      </c>
      <c r="S76" s="129" t="e">
        <f t="shared" si="12"/>
        <v>#REF!</v>
      </c>
      <c r="T76" s="25"/>
      <c r="U76" s="83"/>
      <c r="V76" s="25"/>
      <c r="W76" s="25"/>
      <c r="X76" s="25"/>
      <c r="Y76" s="25"/>
      <c r="Z76" s="25"/>
      <c r="AA76" s="25"/>
      <c r="AB76" s="25"/>
      <c r="AC76" s="25"/>
    </row>
    <row r="77" spans="1:29" s="37" customFormat="1" ht="11.25" customHeight="1">
      <c r="A77" s="80"/>
      <c r="B77" s="381">
        <v>45797</v>
      </c>
      <c r="C77" s="392" t="s">
        <v>41</v>
      </c>
      <c r="D77" s="382"/>
      <c r="E77" s="398">
        <v>49</v>
      </c>
      <c r="F77" s="389" t="s">
        <v>25</v>
      </c>
      <c r="G77" s="390"/>
      <c r="H77" s="383"/>
      <c r="I77" s="391"/>
      <c r="J77" s="383"/>
      <c r="K77" s="399">
        <v>3.6</v>
      </c>
      <c r="L77" s="385" t="e">
        <f>#REF!</f>
        <v>#REF!</v>
      </c>
      <c r="M77" s="367" t="e">
        <f t="shared" si="11"/>
        <v>#REF!</v>
      </c>
      <c r="N77" s="386" t="e">
        <f t="shared" si="4"/>
        <v>#REF!</v>
      </c>
      <c r="O77" s="386" t="e">
        <f t="shared" si="5"/>
        <v>#REF!</v>
      </c>
      <c r="P77" s="387" t="s">
        <v>131</v>
      </c>
      <c r="Q77" s="388"/>
      <c r="R77" s="358"/>
      <c r="S77" s="129" t="e">
        <f t="shared" si="12"/>
        <v>#REF!</v>
      </c>
      <c r="T77" s="25"/>
      <c r="U77" s="83"/>
      <c r="V77" s="25"/>
      <c r="W77" s="25"/>
      <c r="X77" s="25"/>
      <c r="Y77" s="25"/>
      <c r="Z77" s="25"/>
      <c r="AA77" s="25"/>
      <c r="AB77" s="25"/>
      <c r="AC77" s="25"/>
    </row>
    <row r="78" spans="1:29" s="37" customFormat="1" ht="11.25" customHeight="1">
      <c r="A78" s="80"/>
      <c r="B78" s="381">
        <v>45800</v>
      </c>
      <c r="C78" s="358" t="s">
        <v>204</v>
      </c>
      <c r="D78" s="382"/>
      <c r="E78" s="398">
        <v>50</v>
      </c>
      <c r="F78" s="389" t="s">
        <v>25</v>
      </c>
      <c r="G78" s="390"/>
      <c r="H78" s="383"/>
      <c r="I78" s="391"/>
      <c r="J78" s="383"/>
      <c r="K78" s="399">
        <v>80</v>
      </c>
      <c r="L78" s="385" t="e">
        <f>#REF!</f>
        <v>#REF!</v>
      </c>
      <c r="M78" s="367" t="e">
        <f t="shared" si="11"/>
        <v>#REF!</v>
      </c>
      <c r="N78" s="386" t="e">
        <f t="shared" si="4"/>
        <v>#REF!</v>
      </c>
      <c r="O78" s="386" t="e">
        <f t="shared" si="5"/>
        <v>#REF!</v>
      </c>
      <c r="P78" s="387" t="s">
        <v>131</v>
      </c>
      <c r="Q78" s="388"/>
      <c r="R78" s="358" t="s">
        <v>212</v>
      </c>
      <c r="S78" s="129" t="e">
        <f t="shared" si="12"/>
        <v>#REF!</v>
      </c>
      <c r="T78" s="25"/>
      <c r="U78" s="83"/>
      <c r="V78" s="25"/>
      <c r="W78" s="25"/>
      <c r="X78" s="25"/>
      <c r="Y78" s="25"/>
      <c r="Z78" s="25"/>
      <c r="AA78" s="25"/>
      <c r="AB78" s="25"/>
      <c r="AC78" s="25"/>
    </row>
    <row r="79" spans="1:29" s="37" customFormat="1" ht="11.25" customHeight="1">
      <c r="A79" s="80"/>
      <c r="B79" s="381">
        <v>45800</v>
      </c>
      <c r="C79" s="358" t="s">
        <v>69</v>
      </c>
      <c r="D79" s="382"/>
      <c r="E79" s="382">
        <v>51</v>
      </c>
      <c r="F79" s="389" t="s">
        <v>25</v>
      </c>
      <c r="G79" s="390"/>
      <c r="H79" s="383"/>
      <c r="I79" s="391"/>
      <c r="J79" s="383"/>
      <c r="K79" s="400">
        <v>16000</v>
      </c>
      <c r="L79" s="385" t="e">
        <f>#REF!</f>
        <v>#REF!</v>
      </c>
      <c r="M79" s="367" t="e">
        <f t="shared" si="11"/>
        <v>#REF!</v>
      </c>
      <c r="N79" s="386" t="e">
        <f t="shared" si="4"/>
        <v>#REF!</v>
      </c>
      <c r="O79" s="386" t="e">
        <f t="shared" si="5"/>
        <v>#REF!</v>
      </c>
      <c r="P79" s="387" t="s">
        <v>131</v>
      </c>
      <c r="Q79" s="388"/>
      <c r="R79" s="639" t="s">
        <v>213</v>
      </c>
      <c r="S79" s="129" t="e">
        <f t="shared" si="12"/>
        <v>#REF!</v>
      </c>
      <c r="T79" s="25"/>
      <c r="U79" s="83"/>
      <c r="V79" s="25"/>
      <c r="W79" s="25"/>
      <c r="X79" s="25"/>
      <c r="Y79" s="25"/>
      <c r="Z79" s="25"/>
      <c r="AA79" s="25"/>
      <c r="AB79" s="25"/>
      <c r="AC79" s="25"/>
    </row>
    <row r="80" spans="1:29" s="37" customFormat="1" ht="11.25" customHeight="1">
      <c r="A80" s="80"/>
      <c r="B80" s="381">
        <v>45800</v>
      </c>
      <c r="C80" s="358" t="s">
        <v>75</v>
      </c>
      <c r="D80" s="382"/>
      <c r="E80" s="382">
        <v>51</v>
      </c>
      <c r="F80" s="389" t="s">
        <v>25</v>
      </c>
      <c r="G80" s="390"/>
      <c r="H80" s="383"/>
      <c r="I80" s="391"/>
      <c r="J80" s="383"/>
      <c r="K80" s="400">
        <v>24000</v>
      </c>
      <c r="L80" s="385" t="e">
        <f>#REF!</f>
        <v>#REF!</v>
      </c>
      <c r="M80" s="367" t="e">
        <f t="shared" si="11"/>
        <v>#REF!</v>
      </c>
      <c r="N80" s="386" t="e">
        <f t="shared" si="4"/>
        <v>#REF!</v>
      </c>
      <c r="O80" s="386" t="e">
        <f t="shared" si="5"/>
        <v>#REF!</v>
      </c>
      <c r="P80" s="387" t="s">
        <v>131</v>
      </c>
      <c r="Q80" s="388"/>
      <c r="R80" s="640"/>
      <c r="S80" s="129" t="e">
        <f t="shared" si="12"/>
        <v>#REF!</v>
      </c>
      <c r="T80" s="25"/>
      <c r="U80" s="83"/>
      <c r="V80" s="25"/>
      <c r="W80" s="25"/>
      <c r="X80" s="25"/>
      <c r="Y80" s="25"/>
      <c r="Z80" s="25"/>
      <c r="AA80" s="25"/>
      <c r="AB80" s="25"/>
      <c r="AC80" s="25"/>
    </row>
    <row r="81" spans="1:29" s="37" customFormat="1" ht="11.25" customHeight="1">
      <c r="A81" s="80"/>
      <c r="B81" s="381">
        <v>45800</v>
      </c>
      <c r="C81" s="358" t="s">
        <v>70</v>
      </c>
      <c r="D81" s="382"/>
      <c r="E81" s="382">
        <v>51</v>
      </c>
      <c r="F81" s="389" t="s">
        <v>25</v>
      </c>
      <c r="G81" s="390"/>
      <c r="H81" s="383"/>
      <c r="I81" s="391"/>
      <c r="J81" s="383"/>
      <c r="K81" s="400">
        <v>9305.1899999999987</v>
      </c>
      <c r="L81" s="385" t="e">
        <f>#REF!</f>
        <v>#REF!</v>
      </c>
      <c r="M81" s="367" t="e">
        <f t="shared" si="11"/>
        <v>#REF!</v>
      </c>
      <c r="N81" s="386" t="e">
        <f t="shared" si="4"/>
        <v>#REF!</v>
      </c>
      <c r="O81" s="386" t="e">
        <f t="shared" si="5"/>
        <v>#REF!</v>
      </c>
      <c r="P81" s="387" t="s">
        <v>131</v>
      </c>
      <c r="Q81" s="388"/>
      <c r="R81" s="640"/>
      <c r="S81" s="129" t="e">
        <f t="shared" si="12"/>
        <v>#REF!</v>
      </c>
      <c r="T81" s="25"/>
      <c r="U81" s="83"/>
      <c r="V81" s="25"/>
      <c r="W81" s="25"/>
      <c r="X81" s="25"/>
      <c r="Y81" s="25"/>
      <c r="Z81" s="25"/>
      <c r="AA81" s="25"/>
      <c r="AB81" s="25"/>
      <c r="AC81" s="25"/>
    </row>
    <row r="82" spans="1:29" s="37" customFormat="1" ht="11.25" customHeight="1">
      <c r="A82" s="80"/>
      <c r="B82" s="381">
        <v>45800</v>
      </c>
      <c r="C82" s="358" t="s">
        <v>71</v>
      </c>
      <c r="D82" s="382"/>
      <c r="E82" s="382">
        <v>51</v>
      </c>
      <c r="F82" s="389" t="s">
        <v>25</v>
      </c>
      <c r="G82" s="390"/>
      <c r="H82" s="383"/>
      <c r="I82" s="391"/>
      <c r="J82" s="383"/>
      <c r="K82" s="400">
        <v>4468.7999999999993</v>
      </c>
      <c r="L82" s="385" t="e">
        <f>#REF!</f>
        <v>#REF!</v>
      </c>
      <c r="M82" s="367" t="e">
        <f t="shared" si="11"/>
        <v>#REF!</v>
      </c>
      <c r="N82" s="386" t="e">
        <f t="shared" si="4"/>
        <v>#REF!</v>
      </c>
      <c r="O82" s="386" t="e">
        <f t="shared" si="5"/>
        <v>#REF!</v>
      </c>
      <c r="P82" s="387" t="s">
        <v>131</v>
      </c>
      <c r="Q82" s="388"/>
      <c r="R82" s="640"/>
      <c r="S82" s="129" t="e">
        <f t="shared" si="12"/>
        <v>#REF!</v>
      </c>
      <c r="T82" s="25"/>
      <c r="U82" s="83"/>
      <c r="V82" s="25"/>
      <c r="W82" s="25"/>
      <c r="X82" s="25"/>
      <c r="Y82" s="25"/>
      <c r="Z82" s="25"/>
      <c r="AA82" s="25"/>
      <c r="AB82" s="25"/>
      <c r="AC82" s="25"/>
    </row>
    <row r="83" spans="1:29" s="37" customFormat="1" ht="11.25" customHeight="1">
      <c r="A83" s="80"/>
      <c r="B83" s="381">
        <v>45800</v>
      </c>
      <c r="C83" s="358" t="s">
        <v>73</v>
      </c>
      <c r="D83" s="382"/>
      <c r="E83" s="382">
        <v>51</v>
      </c>
      <c r="F83" s="389" t="s">
        <v>25</v>
      </c>
      <c r="G83" s="390"/>
      <c r="H83" s="383"/>
      <c r="I83" s="391"/>
      <c r="J83" s="383"/>
      <c r="K83" s="400">
        <v>300</v>
      </c>
      <c r="L83" s="385" t="e">
        <f>#REF!</f>
        <v>#REF!</v>
      </c>
      <c r="M83" s="367" t="e">
        <f t="shared" si="11"/>
        <v>#REF!</v>
      </c>
      <c r="N83" s="386" t="e">
        <f t="shared" si="4"/>
        <v>#REF!</v>
      </c>
      <c r="O83" s="386" t="e">
        <f t="shared" si="5"/>
        <v>#REF!</v>
      </c>
      <c r="P83" s="387" t="s">
        <v>131</v>
      </c>
      <c r="Q83" s="388"/>
      <c r="R83" s="640"/>
      <c r="S83" s="129" t="e">
        <f t="shared" si="12"/>
        <v>#REF!</v>
      </c>
      <c r="T83" s="25"/>
      <c r="U83" s="83"/>
      <c r="V83" s="25"/>
      <c r="W83" s="25"/>
      <c r="X83" s="25"/>
      <c r="Y83" s="25"/>
      <c r="Z83" s="25"/>
      <c r="AA83" s="25"/>
      <c r="AB83" s="25"/>
      <c r="AC83" s="25"/>
    </row>
    <row r="84" spans="1:29" s="37" customFormat="1" ht="11.25" customHeight="1">
      <c r="A84" s="80"/>
      <c r="B84" s="381">
        <v>45800</v>
      </c>
      <c r="C84" s="358" t="s">
        <v>69</v>
      </c>
      <c r="D84" s="382"/>
      <c r="E84" s="382">
        <v>51</v>
      </c>
      <c r="F84" s="389" t="s">
        <v>25</v>
      </c>
      <c r="G84" s="390"/>
      <c r="H84" s="383"/>
      <c r="I84" s="391"/>
      <c r="J84" s="383"/>
      <c r="K84" s="400">
        <v>16000</v>
      </c>
      <c r="L84" s="385" t="e">
        <f>#REF!</f>
        <v>#REF!</v>
      </c>
      <c r="M84" s="367" t="e">
        <f t="shared" si="11"/>
        <v>#REF!</v>
      </c>
      <c r="N84" s="386" t="e">
        <f t="shared" si="4"/>
        <v>#REF!</v>
      </c>
      <c r="O84" s="386" t="e">
        <f t="shared" si="5"/>
        <v>#REF!</v>
      </c>
      <c r="P84" s="387" t="s">
        <v>131</v>
      </c>
      <c r="Q84" s="388"/>
      <c r="R84" s="639" t="s">
        <v>115</v>
      </c>
      <c r="S84" s="129" t="e">
        <f t="shared" si="12"/>
        <v>#REF!</v>
      </c>
      <c r="T84" s="25"/>
      <c r="U84" s="83"/>
      <c r="V84" s="25"/>
      <c r="W84" s="25"/>
      <c r="X84" s="25"/>
      <c r="Y84" s="25"/>
      <c r="Z84" s="25"/>
      <c r="AA84" s="25"/>
      <c r="AB84" s="25"/>
      <c r="AC84" s="25"/>
    </row>
    <row r="85" spans="1:29" s="37" customFormat="1" ht="11.25" customHeight="1">
      <c r="A85" s="80"/>
      <c r="B85" s="381">
        <v>45800</v>
      </c>
      <c r="C85" s="358" t="s">
        <v>75</v>
      </c>
      <c r="D85" s="382"/>
      <c r="E85" s="382">
        <v>51</v>
      </c>
      <c r="F85" s="389" t="s">
        <v>25</v>
      </c>
      <c r="G85" s="390"/>
      <c r="H85" s="383"/>
      <c r="I85" s="391"/>
      <c r="J85" s="383"/>
      <c r="K85" s="400">
        <v>24000</v>
      </c>
      <c r="L85" s="385" t="e">
        <f>#REF!</f>
        <v>#REF!</v>
      </c>
      <c r="M85" s="367" t="e">
        <f t="shared" si="11"/>
        <v>#REF!</v>
      </c>
      <c r="N85" s="386" t="e">
        <f t="shared" ref="N85:N110" si="13">N84+H85-K85</f>
        <v>#REF!</v>
      </c>
      <c r="O85" s="386" t="e">
        <f t="shared" ref="O85:O110" si="14">O84+J85-M85</f>
        <v>#REF!</v>
      </c>
      <c r="P85" s="387" t="s">
        <v>131</v>
      </c>
      <c r="Q85" s="388"/>
      <c r="R85" s="640"/>
      <c r="S85" s="129" t="e">
        <f t="shared" si="12"/>
        <v>#REF!</v>
      </c>
      <c r="T85" s="25"/>
      <c r="U85" s="83"/>
      <c r="V85" s="25"/>
      <c r="W85" s="25"/>
      <c r="X85" s="25"/>
      <c r="Y85" s="25"/>
      <c r="Z85" s="25"/>
      <c r="AA85" s="25"/>
      <c r="AB85" s="25"/>
      <c r="AC85" s="25"/>
    </row>
    <row r="86" spans="1:29" s="37" customFormat="1" ht="11.25" customHeight="1">
      <c r="A86" s="80"/>
      <c r="B86" s="381">
        <v>45800</v>
      </c>
      <c r="C86" s="358" t="s">
        <v>70</v>
      </c>
      <c r="D86" s="382"/>
      <c r="E86" s="382">
        <v>51</v>
      </c>
      <c r="F86" s="389" t="s">
        <v>25</v>
      </c>
      <c r="G86" s="390"/>
      <c r="H86" s="383"/>
      <c r="I86" s="391"/>
      <c r="J86" s="383"/>
      <c r="K86" s="354">
        <v>5305.1900000000005</v>
      </c>
      <c r="L86" s="385" t="e">
        <f>#REF!</f>
        <v>#REF!</v>
      </c>
      <c r="M86" s="367" t="e">
        <f t="shared" si="11"/>
        <v>#REF!</v>
      </c>
      <c r="N86" s="386" t="e">
        <f t="shared" si="13"/>
        <v>#REF!</v>
      </c>
      <c r="O86" s="386" t="e">
        <f t="shared" si="14"/>
        <v>#REF!</v>
      </c>
      <c r="P86" s="387" t="s">
        <v>131</v>
      </c>
      <c r="Q86" s="388"/>
      <c r="R86" s="640"/>
      <c r="S86" s="129" t="e">
        <f t="shared" si="12"/>
        <v>#REF!</v>
      </c>
      <c r="T86" s="25"/>
      <c r="U86" s="83"/>
      <c r="V86" s="25"/>
      <c r="W86" s="25"/>
      <c r="X86" s="25"/>
      <c r="Y86" s="25"/>
      <c r="Z86" s="25"/>
      <c r="AA86" s="25"/>
      <c r="AB86" s="25"/>
      <c r="AC86" s="25"/>
    </row>
    <row r="87" spans="1:29" s="37" customFormat="1" ht="11.25" customHeight="1">
      <c r="A87" s="80"/>
      <c r="B87" s="381">
        <v>45800</v>
      </c>
      <c r="C87" s="358" t="s">
        <v>71</v>
      </c>
      <c r="D87" s="382"/>
      <c r="E87" s="382">
        <v>51</v>
      </c>
      <c r="F87" s="389" t="s">
        <v>25</v>
      </c>
      <c r="G87" s="390"/>
      <c r="H87" s="383"/>
      <c r="I87" s="391"/>
      <c r="J87" s="383"/>
      <c r="K87" s="354">
        <v>5620.7999999999993</v>
      </c>
      <c r="L87" s="385" t="e">
        <f>#REF!</f>
        <v>#REF!</v>
      </c>
      <c r="M87" s="367" t="e">
        <f t="shared" si="11"/>
        <v>#REF!</v>
      </c>
      <c r="N87" s="386" t="e">
        <f t="shared" si="13"/>
        <v>#REF!</v>
      </c>
      <c r="O87" s="386" t="e">
        <f t="shared" si="14"/>
        <v>#REF!</v>
      </c>
      <c r="P87" s="387" t="s">
        <v>131</v>
      </c>
      <c r="Q87" s="388"/>
      <c r="R87" s="640"/>
      <c r="S87" s="129" t="e">
        <f t="shared" si="12"/>
        <v>#REF!</v>
      </c>
      <c r="T87" s="25"/>
      <c r="U87" s="83"/>
      <c r="V87" s="25"/>
      <c r="W87" s="25"/>
      <c r="X87" s="25"/>
      <c r="Y87" s="25"/>
      <c r="Z87" s="25"/>
      <c r="AA87" s="25"/>
      <c r="AB87" s="25"/>
      <c r="AC87" s="25"/>
    </row>
    <row r="88" spans="1:29" s="37" customFormat="1" ht="11.25" customHeight="1">
      <c r="A88" s="80"/>
      <c r="B88" s="381">
        <v>45800</v>
      </c>
      <c r="C88" s="358" t="s">
        <v>73</v>
      </c>
      <c r="D88" s="382"/>
      <c r="E88" s="382">
        <v>51</v>
      </c>
      <c r="F88" s="389" t="s">
        <v>25</v>
      </c>
      <c r="G88" s="390"/>
      <c r="H88" s="383"/>
      <c r="I88" s="391"/>
      <c r="J88" s="383"/>
      <c r="K88" s="354">
        <v>300</v>
      </c>
      <c r="L88" s="385" t="e">
        <f>#REF!</f>
        <v>#REF!</v>
      </c>
      <c r="M88" s="367" t="e">
        <f t="shared" si="11"/>
        <v>#REF!</v>
      </c>
      <c r="N88" s="386" t="e">
        <f t="shared" si="13"/>
        <v>#REF!</v>
      </c>
      <c r="O88" s="386" t="e">
        <f t="shared" si="14"/>
        <v>#REF!</v>
      </c>
      <c r="P88" s="387" t="s">
        <v>131</v>
      </c>
      <c r="Q88" s="388"/>
      <c r="R88" s="640"/>
      <c r="S88" s="129" t="e">
        <f t="shared" si="12"/>
        <v>#REF!</v>
      </c>
      <c r="T88" s="25"/>
      <c r="U88" s="83"/>
      <c r="V88" s="25"/>
      <c r="W88" s="25"/>
      <c r="X88" s="25"/>
      <c r="Y88" s="25"/>
      <c r="Z88" s="25"/>
      <c r="AA88" s="25"/>
      <c r="AB88" s="25"/>
      <c r="AC88" s="25"/>
    </row>
    <row r="89" spans="1:29" s="37" customFormat="1" ht="11.25" customHeight="1">
      <c r="A89" s="80"/>
      <c r="B89" s="381">
        <v>45800</v>
      </c>
      <c r="C89" s="358" t="s">
        <v>72</v>
      </c>
      <c r="D89" s="382"/>
      <c r="E89" s="382">
        <v>51</v>
      </c>
      <c r="F89" s="389" t="s">
        <v>25</v>
      </c>
      <c r="G89" s="390"/>
      <c r="H89" s="383"/>
      <c r="I89" s="391"/>
      <c r="J89" s="383"/>
      <c r="K89" s="355">
        <v>25750</v>
      </c>
      <c r="L89" s="385" t="e">
        <f>#REF!</f>
        <v>#REF!</v>
      </c>
      <c r="M89" s="367" t="e">
        <f t="shared" si="11"/>
        <v>#REF!</v>
      </c>
      <c r="N89" s="386" t="e">
        <f t="shared" si="13"/>
        <v>#REF!</v>
      </c>
      <c r="O89" s="386" t="e">
        <f t="shared" si="14"/>
        <v>#REF!</v>
      </c>
      <c r="P89" s="387" t="s">
        <v>131</v>
      </c>
      <c r="Q89" s="388"/>
      <c r="R89" s="639" t="s">
        <v>195</v>
      </c>
      <c r="S89" s="129" t="e">
        <f t="shared" si="12"/>
        <v>#REF!</v>
      </c>
      <c r="T89" s="25"/>
      <c r="U89" s="83"/>
      <c r="V89" s="25"/>
      <c r="W89" s="25"/>
      <c r="X89" s="25"/>
      <c r="Y89" s="25"/>
      <c r="Z89" s="25"/>
      <c r="AA89" s="25"/>
      <c r="AB89" s="25"/>
      <c r="AC89" s="25"/>
    </row>
    <row r="90" spans="1:29" ht="11.25" customHeight="1">
      <c r="B90" s="381">
        <v>45800</v>
      </c>
      <c r="C90" s="358" t="s">
        <v>114</v>
      </c>
      <c r="D90" s="382"/>
      <c r="E90" s="382">
        <v>51</v>
      </c>
      <c r="F90" s="389" t="s">
        <v>25</v>
      </c>
      <c r="G90" s="390"/>
      <c r="H90" s="383"/>
      <c r="I90" s="391"/>
      <c r="J90" s="383"/>
      <c r="K90" s="355">
        <v>1000</v>
      </c>
      <c r="L90" s="385" t="e">
        <f>#REF!</f>
        <v>#REF!</v>
      </c>
      <c r="M90" s="367" t="e">
        <f t="shared" si="11"/>
        <v>#REF!</v>
      </c>
      <c r="N90" s="386" t="e">
        <f t="shared" si="13"/>
        <v>#REF!</v>
      </c>
      <c r="O90" s="386" t="e">
        <f t="shared" si="14"/>
        <v>#REF!</v>
      </c>
      <c r="P90" s="387" t="s">
        <v>131</v>
      </c>
      <c r="Q90" s="388"/>
      <c r="R90" s="639"/>
      <c r="S90" s="129" t="e">
        <f t="shared" si="12"/>
        <v>#REF!</v>
      </c>
    </row>
    <row r="91" spans="1:29" ht="11.25" customHeight="1">
      <c r="B91" s="381">
        <v>45800</v>
      </c>
      <c r="C91" s="358" t="s">
        <v>76</v>
      </c>
      <c r="D91" s="382"/>
      <c r="E91" s="382">
        <v>51</v>
      </c>
      <c r="F91" s="389" t="s">
        <v>25</v>
      </c>
      <c r="G91" s="390"/>
      <c r="H91" s="383"/>
      <c r="I91" s="391"/>
      <c r="J91" s="383"/>
      <c r="K91" s="354">
        <v>7431.44</v>
      </c>
      <c r="L91" s="385" t="e">
        <f>#REF!</f>
        <v>#REF!</v>
      </c>
      <c r="M91" s="367" t="e">
        <f t="shared" si="11"/>
        <v>#REF!</v>
      </c>
      <c r="N91" s="386" t="e">
        <f t="shared" si="13"/>
        <v>#REF!</v>
      </c>
      <c r="O91" s="386" t="e">
        <f t="shared" si="14"/>
        <v>#REF!</v>
      </c>
      <c r="P91" s="387" t="s">
        <v>131</v>
      </c>
      <c r="Q91" s="388"/>
      <c r="R91" s="640"/>
      <c r="S91" s="129" t="e">
        <f t="shared" si="12"/>
        <v>#REF!</v>
      </c>
    </row>
    <row r="92" spans="1:29" ht="11.25" customHeight="1">
      <c r="B92" s="381">
        <v>45800</v>
      </c>
      <c r="C92" s="358" t="s">
        <v>73</v>
      </c>
      <c r="D92" s="382"/>
      <c r="E92" s="382">
        <v>51</v>
      </c>
      <c r="F92" s="389" t="s">
        <v>25</v>
      </c>
      <c r="G92" s="390"/>
      <c r="H92" s="383"/>
      <c r="I92" s="391"/>
      <c r="J92" s="383"/>
      <c r="K92" s="354">
        <v>300</v>
      </c>
      <c r="L92" s="385" t="e">
        <f>#REF!</f>
        <v>#REF!</v>
      </c>
      <c r="M92" s="367" t="e">
        <f t="shared" si="11"/>
        <v>#REF!</v>
      </c>
      <c r="N92" s="386" t="e">
        <f t="shared" si="13"/>
        <v>#REF!</v>
      </c>
      <c r="O92" s="386" t="e">
        <f t="shared" si="14"/>
        <v>#REF!</v>
      </c>
      <c r="P92" s="387" t="s">
        <v>131</v>
      </c>
      <c r="Q92" s="388"/>
      <c r="R92" s="640"/>
      <c r="S92" s="129" t="e">
        <f t="shared" si="12"/>
        <v>#REF!</v>
      </c>
    </row>
    <row r="93" spans="1:29" ht="11.25" customHeight="1">
      <c r="B93" s="381">
        <v>45800</v>
      </c>
      <c r="C93" s="358" t="s">
        <v>77</v>
      </c>
      <c r="D93" s="382"/>
      <c r="E93" s="382">
        <v>51</v>
      </c>
      <c r="F93" s="389" t="s">
        <v>25</v>
      </c>
      <c r="G93" s="390"/>
      <c r="H93" s="383"/>
      <c r="I93" s="391"/>
      <c r="J93" s="383"/>
      <c r="K93" s="355">
        <v>200</v>
      </c>
      <c r="L93" s="385" t="e">
        <f>#REF!</f>
        <v>#REF!</v>
      </c>
      <c r="M93" s="367" t="e">
        <f t="shared" si="11"/>
        <v>#REF!</v>
      </c>
      <c r="N93" s="386" t="e">
        <f t="shared" si="13"/>
        <v>#REF!</v>
      </c>
      <c r="O93" s="386" t="e">
        <f t="shared" si="14"/>
        <v>#REF!</v>
      </c>
      <c r="P93" s="387" t="s">
        <v>131</v>
      </c>
      <c r="Q93" s="388"/>
      <c r="R93" s="640"/>
      <c r="S93" s="129" t="e">
        <f t="shared" si="12"/>
        <v>#REF!</v>
      </c>
    </row>
    <row r="94" spans="1:29" ht="11.25" customHeight="1">
      <c r="B94" s="381">
        <v>45800</v>
      </c>
      <c r="C94" s="358" t="s">
        <v>72</v>
      </c>
      <c r="D94" s="382"/>
      <c r="E94" s="382">
        <v>51</v>
      </c>
      <c r="F94" s="389" t="s">
        <v>25</v>
      </c>
      <c r="G94" s="390"/>
      <c r="H94" s="383"/>
      <c r="I94" s="391"/>
      <c r="J94" s="383"/>
      <c r="K94" s="355">
        <v>13390</v>
      </c>
      <c r="L94" s="385" t="e">
        <f>#REF!</f>
        <v>#REF!</v>
      </c>
      <c r="M94" s="367" t="e">
        <f t="shared" si="11"/>
        <v>#REF!</v>
      </c>
      <c r="N94" s="386" t="e">
        <f t="shared" si="13"/>
        <v>#REF!</v>
      </c>
      <c r="O94" s="386" t="e">
        <f t="shared" si="14"/>
        <v>#REF!</v>
      </c>
      <c r="P94" s="387" t="s">
        <v>131</v>
      </c>
      <c r="Q94" s="388"/>
      <c r="R94" s="641" t="s">
        <v>196</v>
      </c>
      <c r="S94" s="129" t="e">
        <f t="shared" si="12"/>
        <v>#REF!</v>
      </c>
    </row>
    <row r="95" spans="1:29" ht="11.25" customHeight="1">
      <c r="B95" s="381">
        <v>45800</v>
      </c>
      <c r="C95" s="358" t="s">
        <v>114</v>
      </c>
      <c r="D95" s="382"/>
      <c r="E95" s="382">
        <v>51</v>
      </c>
      <c r="F95" s="389" t="s">
        <v>25</v>
      </c>
      <c r="G95" s="390"/>
      <c r="H95" s="383"/>
      <c r="I95" s="391"/>
      <c r="J95" s="383"/>
      <c r="K95" s="355">
        <v>1000</v>
      </c>
      <c r="L95" s="385" t="e">
        <f>#REF!</f>
        <v>#REF!</v>
      </c>
      <c r="M95" s="367" t="e">
        <f t="shared" si="11"/>
        <v>#REF!</v>
      </c>
      <c r="N95" s="386" t="e">
        <f t="shared" si="13"/>
        <v>#REF!</v>
      </c>
      <c r="O95" s="386" t="e">
        <f t="shared" si="14"/>
        <v>#REF!</v>
      </c>
      <c r="P95" s="387" t="s">
        <v>131</v>
      </c>
      <c r="Q95" s="388"/>
      <c r="R95" s="639"/>
      <c r="S95" s="129" t="e">
        <f t="shared" si="12"/>
        <v>#REF!</v>
      </c>
    </row>
    <row r="96" spans="1:29" ht="11.25" customHeight="1">
      <c r="B96" s="381">
        <v>45800</v>
      </c>
      <c r="C96" s="358" t="s">
        <v>76</v>
      </c>
      <c r="D96" s="382"/>
      <c r="E96" s="382">
        <v>51</v>
      </c>
      <c r="F96" s="389" t="s">
        <v>25</v>
      </c>
      <c r="G96" s="390"/>
      <c r="H96" s="383"/>
      <c r="I96" s="391"/>
      <c r="J96" s="383"/>
      <c r="K96" s="356">
        <v>3281.57</v>
      </c>
      <c r="L96" s="385" t="e">
        <f>#REF!</f>
        <v>#REF!</v>
      </c>
      <c r="M96" s="367" t="e">
        <f t="shared" si="11"/>
        <v>#REF!</v>
      </c>
      <c r="N96" s="386" t="e">
        <f t="shared" si="13"/>
        <v>#REF!</v>
      </c>
      <c r="O96" s="386" t="e">
        <f t="shared" si="14"/>
        <v>#REF!</v>
      </c>
      <c r="P96" s="387" t="s">
        <v>131</v>
      </c>
      <c r="Q96" s="388"/>
      <c r="R96" s="640"/>
      <c r="S96" s="129" t="e">
        <f t="shared" si="12"/>
        <v>#REF!</v>
      </c>
    </row>
    <row r="97" spans="1:29" ht="11.25" customHeight="1">
      <c r="B97" s="381">
        <v>45800</v>
      </c>
      <c r="C97" s="358" t="s">
        <v>73</v>
      </c>
      <c r="D97" s="382"/>
      <c r="E97" s="382">
        <v>51</v>
      </c>
      <c r="F97" s="389" t="s">
        <v>25</v>
      </c>
      <c r="G97" s="390"/>
      <c r="H97" s="383"/>
      <c r="I97" s="391"/>
      <c r="J97" s="383"/>
      <c r="K97" s="356">
        <v>300</v>
      </c>
      <c r="L97" s="385" t="e">
        <f>#REF!</f>
        <v>#REF!</v>
      </c>
      <c r="M97" s="367" t="e">
        <f t="shared" si="11"/>
        <v>#REF!</v>
      </c>
      <c r="N97" s="386" t="e">
        <f t="shared" si="13"/>
        <v>#REF!</v>
      </c>
      <c r="O97" s="386" t="e">
        <f t="shared" si="14"/>
        <v>#REF!</v>
      </c>
      <c r="P97" s="387" t="s">
        <v>131</v>
      </c>
      <c r="Q97" s="388"/>
      <c r="R97" s="640"/>
      <c r="S97" s="129" t="e">
        <f t="shared" si="12"/>
        <v>#REF!</v>
      </c>
    </row>
    <row r="98" spans="1:29" ht="11.25" customHeight="1">
      <c r="B98" s="381">
        <v>45800</v>
      </c>
      <c r="C98" s="358" t="s">
        <v>77</v>
      </c>
      <c r="D98" s="382"/>
      <c r="E98" s="382">
        <v>51</v>
      </c>
      <c r="F98" s="389" t="s">
        <v>25</v>
      </c>
      <c r="G98" s="390"/>
      <c r="H98" s="383"/>
      <c r="I98" s="391"/>
      <c r="J98" s="383"/>
      <c r="K98" s="355">
        <v>1100</v>
      </c>
      <c r="L98" s="385" t="e">
        <f>#REF!</f>
        <v>#REF!</v>
      </c>
      <c r="M98" s="367" t="e">
        <f t="shared" si="11"/>
        <v>#REF!</v>
      </c>
      <c r="N98" s="386" t="e">
        <f t="shared" si="13"/>
        <v>#REF!</v>
      </c>
      <c r="O98" s="386" t="e">
        <f t="shared" si="14"/>
        <v>#REF!</v>
      </c>
      <c r="P98" s="387" t="s">
        <v>131</v>
      </c>
      <c r="Q98" s="388"/>
      <c r="R98" s="640"/>
      <c r="S98" s="129" t="e">
        <f t="shared" si="12"/>
        <v>#REF!</v>
      </c>
    </row>
    <row r="99" spans="1:29" ht="11.25" customHeight="1">
      <c r="B99" s="381">
        <v>45800</v>
      </c>
      <c r="C99" s="358" t="s">
        <v>72</v>
      </c>
      <c r="D99" s="382"/>
      <c r="E99" s="382">
        <v>51</v>
      </c>
      <c r="F99" s="389" t="s">
        <v>25</v>
      </c>
      <c r="G99" s="390"/>
      <c r="H99" s="383"/>
      <c r="I99" s="391"/>
      <c r="J99" s="383"/>
      <c r="K99" s="355">
        <v>25750</v>
      </c>
      <c r="L99" s="385" t="e">
        <f>#REF!</f>
        <v>#REF!</v>
      </c>
      <c r="M99" s="367" t="e">
        <f t="shared" si="11"/>
        <v>#REF!</v>
      </c>
      <c r="N99" s="386" t="e">
        <f t="shared" si="13"/>
        <v>#REF!</v>
      </c>
      <c r="O99" s="386" t="e">
        <f t="shared" si="14"/>
        <v>#REF!</v>
      </c>
      <c r="P99" s="387" t="s">
        <v>131</v>
      </c>
      <c r="Q99" s="388"/>
      <c r="R99" s="639" t="s">
        <v>197</v>
      </c>
      <c r="S99" s="129" t="e">
        <f t="shared" si="12"/>
        <v>#REF!</v>
      </c>
    </row>
    <row r="100" spans="1:29" ht="11.25" customHeight="1">
      <c r="B100" s="381">
        <v>45800</v>
      </c>
      <c r="C100" s="358" t="s">
        <v>114</v>
      </c>
      <c r="D100" s="382"/>
      <c r="E100" s="382">
        <v>51</v>
      </c>
      <c r="F100" s="389" t="s">
        <v>25</v>
      </c>
      <c r="G100" s="390"/>
      <c r="H100" s="383"/>
      <c r="I100" s="391"/>
      <c r="J100" s="383"/>
      <c r="K100" s="355">
        <v>1000</v>
      </c>
      <c r="L100" s="385" t="e">
        <f>#REF!</f>
        <v>#REF!</v>
      </c>
      <c r="M100" s="367" t="e">
        <f t="shared" si="11"/>
        <v>#REF!</v>
      </c>
      <c r="N100" s="386" t="e">
        <f t="shared" si="13"/>
        <v>#REF!</v>
      </c>
      <c r="O100" s="386" t="e">
        <f t="shared" si="14"/>
        <v>#REF!</v>
      </c>
      <c r="P100" s="387" t="s">
        <v>131</v>
      </c>
      <c r="Q100" s="388"/>
      <c r="R100" s="639"/>
      <c r="S100" s="129" t="e">
        <f t="shared" si="12"/>
        <v>#REF!</v>
      </c>
    </row>
    <row r="101" spans="1:29" ht="11.25" customHeight="1">
      <c r="B101" s="381">
        <v>45800</v>
      </c>
      <c r="C101" s="358" t="s">
        <v>76</v>
      </c>
      <c r="D101" s="382"/>
      <c r="E101" s="382">
        <v>51</v>
      </c>
      <c r="F101" s="389" t="s">
        <v>25</v>
      </c>
      <c r="G101" s="390"/>
      <c r="H101" s="383"/>
      <c r="I101" s="391"/>
      <c r="J101" s="383"/>
      <c r="K101" s="356">
        <v>7431.44</v>
      </c>
      <c r="L101" s="385" t="e">
        <f>#REF!</f>
        <v>#REF!</v>
      </c>
      <c r="M101" s="367" t="e">
        <f t="shared" si="11"/>
        <v>#REF!</v>
      </c>
      <c r="N101" s="386" t="e">
        <f t="shared" si="13"/>
        <v>#REF!</v>
      </c>
      <c r="O101" s="386" t="e">
        <f t="shared" si="14"/>
        <v>#REF!</v>
      </c>
      <c r="P101" s="387" t="s">
        <v>131</v>
      </c>
      <c r="Q101" s="388"/>
      <c r="R101" s="640"/>
      <c r="S101" s="129" t="e">
        <f t="shared" si="12"/>
        <v>#REF!</v>
      </c>
    </row>
    <row r="102" spans="1:29" ht="11.25" customHeight="1">
      <c r="B102" s="381">
        <v>45800</v>
      </c>
      <c r="C102" s="358" t="s">
        <v>73</v>
      </c>
      <c r="D102" s="382"/>
      <c r="E102" s="382">
        <v>51</v>
      </c>
      <c r="F102" s="389" t="s">
        <v>25</v>
      </c>
      <c r="G102" s="390"/>
      <c r="H102" s="383"/>
      <c r="I102" s="391"/>
      <c r="J102" s="383"/>
      <c r="K102" s="356">
        <v>300</v>
      </c>
      <c r="L102" s="385" t="e">
        <f>#REF!</f>
        <v>#REF!</v>
      </c>
      <c r="M102" s="367" t="e">
        <f t="shared" si="11"/>
        <v>#REF!</v>
      </c>
      <c r="N102" s="386" t="e">
        <f t="shared" si="13"/>
        <v>#REF!</v>
      </c>
      <c r="O102" s="386" t="e">
        <f t="shared" si="14"/>
        <v>#REF!</v>
      </c>
      <c r="P102" s="387" t="s">
        <v>131</v>
      </c>
      <c r="Q102" s="388"/>
      <c r="R102" s="640"/>
      <c r="S102" s="129" t="e">
        <f t="shared" si="12"/>
        <v>#REF!</v>
      </c>
    </row>
    <row r="103" spans="1:29" ht="11.25" customHeight="1">
      <c r="B103" s="381">
        <v>45800</v>
      </c>
      <c r="C103" s="358" t="s">
        <v>72</v>
      </c>
      <c r="D103" s="382"/>
      <c r="E103" s="382">
        <v>51</v>
      </c>
      <c r="F103" s="389" t="s">
        <v>25</v>
      </c>
      <c r="G103" s="390"/>
      <c r="H103" s="383"/>
      <c r="I103" s="391"/>
      <c r="J103" s="383"/>
      <c r="K103" s="357">
        <v>21300</v>
      </c>
      <c r="L103" s="385" t="e">
        <f>#REF!</f>
        <v>#REF!</v>
      </c>
      <c r="M103" s="367" t="e">
        <f t="shared" si="11"/>
        <v>#REF!</v>
      </c>
      <c r="N103" s="386" t="e">
        <f t="shared" si="13"/>
        <v>#REF!</v>
      </c>
      <c r="O103" s="386" t="e">
        <f t="shared" si="14"/>
        <v>#REF!</v>
      </c>
      <c r="P103" s="387" t="s">
        <v>131</v>
      </c>
      <c r="Q103" s="388"/>
      <c r="R103" s="639" t="s">
        <v>198</v>
      </c>
      <c r="S103" s="129" t="e">
        <f t="shared" si="12"/>
        <v>#REF!</v>
      </c>
    </row>
    <row r="104" spans="1:29" ht="11.25" customHeight="1">
      <c r="B104" s="381">
        <v>45800</v>
      </c>
      <c r="C104" s="358" t="s">
        <v>114</v>
      </c>
      <c r="D104" s="382"/>
      <c r="E104" s="382">
        <v>51</v>
      </c>
      <c r="F104" s="389" t="s">
        <v>25</v>
      </c>
      <c r="G104" s="390"/>
      <c r="H104" s="383"/>
      <c r="I104" s="391"/>
      <c r="J104" s="383"/>
      <c r="K104" s="357">
        <v>1000</v>
      </c>
      <c r="L104" s="385" t="e">
        <f>#REF!</f>
        <v>#REF!</v>
      </c>
      <c r="M104" s="367" t="e">
        <f t="shared" si="11"/>
        <v>#REF!</v>
      </c>
      <c r="N104" s="386" t="e">
        <f t="shared" si="13"/>
        <v>#REF!</v>
      </c>
      <c r="O104" s="386" t="e">
        <f t="shared" si="14"/>
        <v>#REF!</v>
      </c>
      <c r="P104" s="387" t="s">
        <v>131</v>
      </c>
      <c r="Q104" s="388"/>
      <c r="R104" s="639"/>
      <c r="S104" s="129" t="e">
        <f t="shared" si="12"/>
        <v>#REF!</v>
      </c>
    </row>
    <row r="105" spans="1:29" s="37" customFormat="1" ht="11.25" customHeight="1">
      <c r="A105" s="80"/>
      <c r="B105" s="381">
        <v>45800</v>
      </c>
      <c r="C105" s="358" t="s">
        <v>76</v>
      </c>
      <c r="D105" s="382"/>
      <c r="E105" s="382">
        <v>51</v>
      </c>
      <c r="F105" s="389" t="s">
        <v>25</v>
      </c>
      <c r="G105" s="390"/>
      <c r="H105" s="383"/>
      <c r="I105" s="391"/>
      <c r="J105" s="383"/>
      <c r="K105" s="401">
        <v>5941.29</v>
      </c>
      <c r="L105" s="385" t="e">
        <f>#REF!</f>
        <v>#REF!</v>
      </c>
      <c r="M105" s="367">
        <v>827.44399999999996</v>
      </c>
      <c r="N105" s="386" t="e">
        <f t="shared" si="13"/>
        <v>#REF!</v>
      </c>
      <c r="O105" s="386" t="e">
        <f t="shared" si="14"/>
        <v>#REF!</v>
      </c>
      <c r="P105" s="387" t="s">
        <v>131</v>
      </c>
      <c r="Q105" s="388"/>
      <c r="R105" s="640"/>
      <c r="S105" s="129" t="e">
        <f t="shared" si="12"/>
        <v>#REF!</v>
      </c>
      <c r="T105" s="25"/>
      <c r="U105" s="83"/>
      <c r="V105" s="25"/>
      <c r="W105" s="25"/>
      <c r="X105" s="25"/>
      <c r="Y105" s="25"/>
      <c r="Z105" s="25"/>
      <c r="AA105" s="25"/>
      <c r="AB105" s="25"/>
      <c r="AC105" s="25"/>
    </row>
    <row r="106" spans="1:29" s="37" customFormat="1" ht="11.25" customHeight="1">
      <c r="A106" s="80"/>
      <c r="B106" s="381">
        <v>45800</v>
      </c>
      <c r="C106" s="358" t="s">
        <v>73</v>
      </c>
      <c r="D106" s="382"/>
      <c r="E106" s="382">
        <v>51</v>
      </c>
      <c r="F106" s="389" t="s">
        <v>25</v>
      </c>
      <c r="G106" s="390"/>
      <c r="H106" s="383"/>
      <c r="I106" s="391"/>
      <c r="J106" s="383"/>
      <c r="K106" s="401">
        <v>300</v>
      </c>
      <c r="L106" s="385" t="e">
        <f>#REF!</f>
        <v>#REF!</v>
      </c>
      <c r="M106" s="367" t="e">
        <f t="shared" si="11"/>
        <v>#REF!</v>
      </c>
      <c r="N106" s="386" t="e">
        <f t="shared" si="13"/>
        <v>#REF!</v>
      </c>
      <c r="O106" s="386" t="e">
        <f t="shared" si="14"/>
        <v>#REF!</v>
      </c>
      <c r="P106" s="387" t="s">
        <v>131</v>
      </c>
      <c r="Q106" s="388"/>
      <c r="R106" s="640"/>
      <c r="S106" s="129" t="e">
        <f t="shared" si="12"/>
        <v>#REF!</v>
      </c>
      <c r="T106" s="25"/>
      <c r="U106" s="83"/>
      <c r="V106" s="25"/>
      <c r="W106" s="25"/>
      <c r="X106" s="25"/>
      <c r="Y106" s="25"/>
      <c r="Z106" s="25"/>
      <c r="AA106" s="25"/>
      <c r="AB106" s="25"/>
      <c r="AC106" s="25"/>
    </row>
    <row r="107" spans="1:29" s="37" customFormat="1" ht="11.25" customHeight="1">
      <c r="A107" s="80"/>
      <c r="B107" s="381">
        <v>45800</v>
      </c>
      <c r="C107" s="358" t="s">
        <v>77</v>
      </c>
      <c r="D107" s="382"/>
      <c r="E107" s="382">
        <v>51</v>
      </c>
      <c r="F107" s="389" t="s">
        <v>25</v>
      </c>
      <c r="G107" s="390"/>
      <c r="H107" s="383"/>
      <c r="I107" s="391"/>
      <c r="J107" s="383"/>
      <c r="K107" s="401">
        <v>200</v>
      </c>
      <c r="L107" s="385" t="e">
        <f>#REF!</f>
        <v>#REF!</v>
      </c>
      <c r="M107" s="367" t="e">
        <f t="shared" si="11"/>
        <v>#REF!</v>
      </c>
      <c r="N107" s="386" t="e">
        <f t="shared" si="13"/>
        <v>#REF!</v>
      </c>
      <c r="O107" s="386" t="e">
        <f t="shared" si="14"/>
        <v>#REF!</v>
      </c>
      <c r="P107" s="387" t="s">
        <v>131</v>
      </c>
      <c r="Q107" s="388"/>
      <c r="R107" s="640"/>
      <c r="S107" s="129" t="e">
        <f t="shared" si="12"/>
        <v>#REF!</v>
      </c>
      <c r="T107" s="25"/>
      <c r="U107" s="83"/>
      <c r="V107" s="25"/>
      <c r="W107" s="25"/>
      <c r="X107" s="25"/>
      <c r="Y107" s="25"/>
      <c r="Z107" s="25"/>
      <c r="AA107" s="25"/>
      <c r="AB107" s="25"/>
      <c r="AC107" s="25"/>
    </row>
    <row r="108" spans="1:29" s="37" customFormat="1" ht="11.25" customHeight="1">
      <c r="A108" s="80"/>
      <c r="B108" s="381">
        <v>45800</v>
      </c>
      <c r="C108" s="358" t="s">
        <v>41</v>
      </c>
      <c r="D108" s="382"/>
      <c r="E108" s="402">
        <v>52</v>
      </c>
      <c r="F108" s="389" t="s">
        <v>25</v>
      </c>
      <c r="G108" s="390"/>
      <c r="H108" s="383"/>
      <c r="I108" s="391"/>
      <c r="J108" s="383"/>
      <c r="K108" s="403">
        <v>12</v>
      </c>
      <c r="L108" s="385" t="e">
        <f>#REF!</f>
        <v>#REF!</v>
      </c>
      <c r="M108" s="405" t="e">
        <f t="shared" si="11"/>
        <v>#REF!</v>
      </c>
      <c r="N108" s="386" t="e">
        <f t="shared" si="13"/>
        <v>#REF!</v>
      </c>
      <c r="O108" s="386" t="e">
        <f t="shared" si="14"/>
        <v>#REF!</v>
      </c>
      <c r="P108" s="387" t="s">
        <v>131</v>
      </c>
      <c r="Q108" s="388"/>
      <c r="R108" s="358"/>
      <c r="S108" s="129" t="e">
        <f t="shared" si="12"/>
        <v>#REF!</v>
      </c>
      <c r="T108" s="25"/>
      <c r="U108" s="83"/>
      <c r="V108" s="25"/>
      <c r="W108" s="25"/>
      <c r="X108" s="25"/>
      <c r="Y108" s="25"/>
      <c r="Z108" s="25"/>
      <c r="AA108" s="25"/>
      <c r="AB108" s="25"/>
      <c r="AC108" s="25"/>
    </row>
    <row r="109" spans="1:29" s="37" customFormat="1" ht="11.25" customHeight="1">
      <c r="A109" s="80"/>
      <c r="B109" s="381">
        <v>45800</v>
      </c>
      <c r="C109" s="358" t="s">
        <v>205</v>
      </c>
      <c r="D109" s="382"/>
      <c r="E109" s="382">
        <v>53</v>
      </c>
      <c r="F109" s="389" t="s">
        <v>32</v>
      </c>
      <c r="G109" s="390" t="s">
        <v>33</v>
      </c>
      <c r="H109" s="383"/>
      <c r="I109" s="391"/>
      <c r="J109" s="383"/>
      <c r="K109" s="403">
        <v>800</v>
      </c>
      <c r="L109" s="385" t="e">
        <f>#REF!</f>
        <v>#REF!</v>
      </c>
      <c r="M109" s="367">
        <v>111.41800000000001</v>
      </c>
      <c r="N109" s="386" t="e">
        <f t="shared" si="13"/>
        <v>#REF!</v>
      </c>
      <c r="O109" s="386" t="e">
        <f t="shared" si="14"/>
        <v>#REF!</v>
      </c>
      <c r="P109" s="387" t="s">
        <v>131</v>
      </c>
      <c r="Q109" s="388"/>
      <c r="R109" s="358" t="s">
        <v>205</v>
      </c>
      <c r="S109" s="129" t="e">
        <f t="shared" si="12"/>
        <v>#REF!</v>
      </c>
      <c r="T109" s="25"/>
      <c r="U109" s="83"/>
      <c r="V109" s="25"/>
      <c r="W109" s="25"/>
      <c r="X109" s="25"/>
      <c r="Y109" s="25"/>
      <c r="Z109" s="25"/>
      <c r="AA109" s="25"/>
      <c r="AB109" s="25"/>
      <c r="AC109" s="25"/>
    </row>
    <row r="110" spans="1:29" s="37" customFormat="1" ht="11.25" customHeight="1">
      <c r="A110" s="80"/>
      <c r="B110" s="381">
        <v>45800</v>
      </c>
      <c r="C110" s="392" t="s">
        <v>41</v>
      </c>
      <c r="D110" s="382"/>
      <c r="E110" s="382">
        <v>54</v>
      </c>
      <c r="F110" s="389" t="s">
        <v>25</v>
      </c>
      <c r="G110" s="390"/>
      <c r="H110" s="383"/>
      <c r="I110" s="391"/>
      <c r="J110" s="383"/>
      <c r="K110" s="400">
        <v>3.6</v>
      </c>
      <c r="L110" s="385" t="e">
        <f>#REF!</f>
        <v>#REF!</v>
      </c>
      <c r="M110" s="367" t="e">
        <f>K110/L110</f>
        <v>#REF!</v>
      </c>
      <c r="N110" s="406" t="e">
        <f t="shared" si="13"/>
        <v>#REF!</v>
      </c>
      <c r="O110" s="406" t="e">
        <f t="shared" si="14"/>
        <v>#REF!</v>
      </c>
      <c r="P110" s="387" t="s">
        <v>131</v>
      </c>
      <c r="Q110" s="388"/>
      <c r="R110" s="395"/>
      <c r="S110" s="132" t="e">
        <f t="shared" si="12"/>
        <v>#REF!</v>
      </c>
      <c r="T110" s="25"/>
      <c r="U110" s="83"/>
      <c r="V110" s="25"/>
      <c r="W110" s="25"/>
      <c r="X110" s="25"/>
      <c r="Y110" s="25"/>
      <c r="Z110" s="25"/>
      <c r="AA110" s="25"/>
      <c r="AB110" s="25"/>
      <c r="AC110" s="25"/>
    </row>
    <row r="111" spans="1:29" ht="11.25" customHeight="1">
      <c r="C111" s="25"/>
      <c r="M111" s="118"/>
    </row>
    <row r="112" spans="1:29" ht="11.25" customHeight="1">
      <c r="M112" s="118"/>
    </row>
  </sheetData>
  <autoFilter ref="B18:R110" xr:uid="{00000000-0009-0000-0000-000001000000}">
    <filterColumn colId="14" showButton="0"/>
    <sortState xmlns:xlrd2="http://schemas.microsoft.com/office/spreadsheetml/2017/richdata2" ref="B19:R110">
      <sortCondition sortBy="cellColor" ref="M18:M110" dxfId="2"/>
    </sortState>
  </autoFilter>
  <mergeCells count="11">
    <mergeCell ref="H17:J17"/>
    <mergeCell ref="K17:M17"/>
    <mergeCell ref="N17:O17"/>
    <mergeCell ref="P17:Q17"/>
    <mergeCell ref="P18:Q18"/>
    <mergeCell ref="R103:R107"/>
    <mergeCell ref="R79:R83"/>
    <mergeCell ref="R84:R88"/>
    <mergeCell ref="R89:R93"/>
    <mergeCell ref="R94:R98"/>
    <mergeCell ref="R99:R102"/>
  </mergeCells>
  <phoneticPr fontId="10" type="noConversion"/>
  <pageMargins left="0.7" right="0.7" top="0.75" bottom="0.75" header="0.3" footer="0.3"/>
  <pageSetup paperSize="256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47A15-8CDB-4380-8057-790B4A1009F8}">
  <sheetPr>
    <tabColor rgb="FFFFC000"/>
  </sheetPr>
  <dimension ref="A1:Y259"/>
  <sheetViews>
    <sheetView showGridLines="0" tabSelected="1" zoomScaleNormal="100" workbookViewId="0">
      <pane ySplit="21" topLeftCell="A55" activePane="bottomLeft" state="frozen"/>
      <selection activeCell="G119" sqref="G119"/>
      <selection pane="bottomLeft" activeCell="F26" sqref="F26"/>
    </sheetView>
  </sheetViews>
  <sheetFormatPr defaultColWidth="9" defaultRowHeight="11.25" customHeight="1"/>
  <cols>
    <col min="1" max="1" width="1.75" style="441" customWidth="1"/>
    <col min="2" max="2" width="10.625" style="505" customWidth="1"/>
    <col min="3" max="3" width="10.625" style="443" customWidth="1"/>
    <col min="4" max="4" width="15.75" style="440" customWidth="1"/>
    <col min="5" max="5" width="10" style="440" bestFit="1" customWidth="1"/>
    <col min="6" max="6" width="15.125" style="440" customWidth="1"/>
    <col min="7" max="7" width="9.875" style="445" customWidth="1"/>
    <col min="8" max="8" width="9.75" style="440" customWidth="1"/>
    <col min="9" max="9" width="9.875" style="440" customWidth="1"/>
    <col min="10" max="10" width="10.5" style="445" customWidth="1"/>
    <col min="11" max="11" width="11" style="503" customWidth="1"/>
    <col min="12" max="12" width="11.125" style="440" customWidth="1"/>
    <col min="13" max="13" width="9.75" style="440" customWidth="1"/>
    <col min="14" max="14" width="12.375" style="440" customWidth="1"/>
    <col min="15" max="15" width="9.875" style="440" customWidth="1"/>
    <col min="16" max="16" width="10.75" style="440" customWidth="1"/>
    <col min="17" max="17" width="9.625" style="440" customWidth="1"/>
    <col min="18" max="18" width="15.625" style="445" customWidth="1"/>
    <col min="19" max="19" width="15.625" style="452" customWidth="1"/>
    <col min="20" max="16384" width="9" style="440"/>
  </cols>
  <sheetData>
    <row r="1" spans="1:23" ht="12">
      <c r="A1" s="427"/>
      <c r="B1" s="428"/>
      <c r="C1" s="429"/>
      <c r="D1" s="430"/>
      <c r="E1" s="431"/>
      <c r="F1" s="431"/>
      <c r="G1" s="432"/>
      <c r="H1" s="431"/>
      <c r="I1" s="431"/>
      <c r="J1" s="433"/>
      <c r="K1" s="434"/>
      <c r="L1" s="435"/>
      <c r="M1" s="436"/>
      <c r="N1" s="436"/>
      <c r="O1" s="430"/>
      <c r="P1" s="437"/>
      <c r="Q1" s="437"/>
      <c r="R1" s="438"/>
      <c r="S1" s="439"/>
    </row>
    <row r="2" spans="1:23" ht="15" customHeight="1">
      <c r="B2" s="442" t="s">
        <v>309</v>
      </c>
      <c r="D2" s="443"/>
      <c r="F2" s="444"/>
      <c r="G2" s="445" t="s">
        <v>89</v>
      </c>
      <c r="H2" s="446" t="s">
        <v>154</v>
      </c>
      <c r="I2" s="447"/>
      <c r="J2" s="447"/>
      <c r="K2" s="448"/>
      <c r="L2" s="447"/>
      <c r="M2" s="447"/>
      <c r="N2" s="449"/>
      <c r="O2" s="450"/>
      <c r="Q2" s="451"/>
    </row>
    <row r="3" spans="1:23" s="458" customFormat="1" ht="11.25" customHeight="1">
      <c r="A3" s="453"/>
      <c r="B3" s="454" t="s">
        <v>310</v>
      </c>
      <c r="C3" s="455"/>
      <c r="D3" s="455"/>
      <c r="E3" s="526"/>
      <c r="F3" s="456">
        <v>1405.6</v>
      </c>
      <c r="G3" s="457"/>
      <c r="H3" s="454" t="s">
        <v>311</v>
      </c>
      <c r="I3" s="455"/>
      <c r="K3" s="459"/>
      <c r="L3" s="456">
        <v>1358.9</v>
      </c>
      <c r="Q3" s="454"/>
      <c r="R3" s="454"/>
      <c r="T3" s="454"/>
    </row>
    <row r="4" spans="1:23" ht="11.25" customHeight="1">
      <c r="A4" s="427"/>
      <c r="B4" s="460" t="s">
        <v>0</v>
      </c>
      <c r="C4" s="461" t="s">
        <v>1</v>
      </c>
      <c r="D4" s="462" t="s">
        <v>90</v>
      </c>
      <c r="E4" s="527" t="s">
        <v>91</v>
      </c>
      <c r="F4" s="463" t="s">
        <v>92</v>
      </c>
      <c r="H4" s="460" t="s">
        <v>0</v>
      </c>
      <c r="I4" s="462" t="s">
        <v>1</v>
      </c>
      <c r="J4" s="464" t="s">
        <v>90</v>
      </c>
      <c r="K4" s="465" t="s">
        <v>91</v>
      </c>
      <c r="L4" s="463" t="s">
        <v>92</v>
      </c>
      <c r="M4" s="458"/>
      <c r="N4" s="458"/>
      <c r="O4" s="458"/>
      <c r="P4" s="458"/>
      <c r="Q4" s="454"/>
      <c r="R4" s="454"/>
    </row>
    <row r="5" spans="1:23" ht="11.25" customHeight="1">
      <c r="A5" s="452">
        <v>51131050</v>
      </c>
      <c r="B5" s="466" t="s">
        <v>93</v>
      </c>
      <c r="C5" s="467" t="s">
        <v>3</v>
      </c>
      <c r="D5" s="468"/>
      <c r="E5" s="528"/>
      <c r="F5" s="469">
        <f>ROUND(E5*$F$3,0)</f>
        <v>0</v>
      </c>
      <c r="G5" s="470"/>
      <c r="H5" s="471" t="s">
        <v>2</v>
      </c>
      <c r="I5" s="471" t="s">
        <v>3</v>
      </c>
      <c r="J5" s="472"/>
      <c r="K5" s="473"/>
      <c r="L5" s="474">
        <f>ROUND(K5*$L$3,0)</f>
        <v>0</v>
      </c>
      <c r="M5" s="458"/>
      <c r="N5" s="458"/>
      <c r="O5" s="458"/>
      <c r="P5" s="458"/>
      <c r="Q5" s="454"/>
      <c r="R5" s="454"/>
      <c r="S5" s="475">
        <f>F5+L5+R5</f>
        <v>0</v>
      </c>
    </row>
    <row r="6" spans="1:23" ht="11.25" customHeight="1">
      <c r="A6" s="452">
        <v>51061030</v>
      </c>
      <c r="B6" s="466" t="s">
        <v>94</v>
      </c>
      <c r="C6" s="467" t="s">
        <v>95</v>
      </c>
      <c r="D6" s="468"/>
      <c r="E6" s="529"/>
      <c r="F6" s="469">
        <f t="shared" ref="F6:F13" si="0">ROUND(E6*$F$3,0)</f>
        <v>0</v>
      </c>
      <c r="G6" s="476"/>
      <c r="H6" s="471" t="s">
        <v>4</v>
      </c>
      <c r="I6" s="471" t="s">
        <v>5</v>
      </c>
      <c r="J6" s="472"/>
      <c r="K6" s="473"/>
      <c r="L6" s="474">
        <f t="shared" ref="L6:L13" si="1">ROUND(K6*$L$3,0)</f>
        <v>0</v>
      </c>
      <c r="M6" s="458"/>
      <c r="N6" s="458"/>
      <c r="O6" s="458"/>
      <c r="P6" s="458"/>
      <c r="Q6" s="454"/>
      <c r="R6" s="454"/>
      <c r="S6" s="475">
        <f>F6+L6+R6</f>
        <v>0</v>
      </c>
      <c r="V6" s="447"/>
      <c r="W6" s="445"/>
    </row>
    <row r="7" spans="1:23" ht="11.25" customHeight="1">
      <c r="A7" s="452">
        <v>51201020</v>
      </c>
      <c r="B7" s="466" t="s">
        <v>6</v>
      </c>
      <c r="C7" s="467" t="s">
        <v>34</v>
      </c>
      <c r="D7" s="468"/>
      <c r="E7" s="529"/>
      <c r="F7" s="469">
        <f t="shared" si="0"/>
        <v>0</v>
      </c>
      <c r="G7" s="477"/>
      <c r="H7" s="471" t="s">
        <v>6</v>
      </c>
      <c r="I7" s="471" t="s">
        <v>96</v>
      </c>
      <c r="J7" s="478"/>
      <c r="K7" s="479"/>
      <c r="L7" s="474">
        <f t="shared" si="1"/>
        <v>0</v>
      </c>
      <c r="M7" s="458"/>
      <c r="N7" s="458"/>
      <c r="O7" s="458"/>
      <c r="P7" s="458"/>
      <c r="Q7" s="454"/>
      <c r="R7" s="454"/>
      <c r="S7" s="475">
        <f>F7+L7+R7</f>
        <v>0</v>
      </c>
    </row>
    <row r="8" spans="1:23" ht="12.95" customHeight="1">
      <c r="A8" s="452">
        <v>51201030</v>
      </c>
      <c r="B8" s="466" t="s">
        <v>97</v>
      </c>
      <c r="C8" s="467" t="s">
        <v>7</v>
      </c>
      <c r="D8" s="468"/>
      <c r="E8" s="529"/>
      <c r="F8" s="469">
        <f t="shared" si="0"/>
        <v>0</v>
      </c>
      <c r="G8" s="477"/>
      <c r="H8" s="471" t="s">
        <v>6</v>
      </c>
      <c r="I8" s="467" t="s">
        <v>7</v>
      </c>
      <c r="J8" s="478"/>
      <c r="K8" s="479"/>
      <c r="L8" s="474">
        <f t="shared" si="1"/>
        <v>0</v>
      </c>
      <c r="M8" s="458"/>
      <c r="N8" s="458"/>
      <c r="O8" s="458"/>
      <c r="P8" s="458"/>
      <c r="Q8" s="454"/>
      <c r="R8" s="454"/>
      <c r="S8" s="475">
        <f>F8+L8+R8</f>
        <v>0</v>
      </c>
    </row>
    <row r="9" spans="1:23" ht="11.25" customHeight="1">
      <c r="A9" s="452">
        <v>51071700</v>
      </c>
      <c r="B9" s="466" t="s">
        <v>8</v>
      </c>
      <c r="C9" s="467" t="s">
        <v>9</v>
      </c>
      <c r="D9" s="468"/>
      <c r="E9" s="529"/>
      <c r="F9" s="469">
        <f t="shared" si="0"/>
        <v>0</v>
      </c>
      <c r="G9" s="480"/>
      <c r="H9" s="471" t="s">
        <v>8</v>
      </c>
      <c r="I9" s="467" t="s">
        <v>9</v>
      </c>
      <c r="J9" s="478"/>
      <c r="K9" s="479"/>
      <c r="L9" s="474">
        <f t="shared" si="1"/>
        <v>0</v>
      </c>
      <c r="M9" s="458"/>
      <c r="N9" s="458"/>
      <c r="O9" s="458"/>
      <c r="P9" s="458"/>
      <c r="Q9" s="454"/>
      <c r="R9" s="454"/>
      <c r="S9" s="475"/>
    </row>
    <row r="10" spans="1:23" ht="11.25" customHeight="1">
      <c r="A10" s="452">
        <v>51321010</v>
      </c>
      <c r="B10" s="466" t="s">
        <v>10</v>
      </c>
      <c r="C10" s="467"/>
      <c r="D10" s="468"/>
      <c r="E10" s="529"/>
      <c r="F10" s="469">
        <f t="shared" si="0"/>
        <v>0</v>
      </c>
      <c r="G10" s="481"/>
      <c r="H10" s="471" t="s">
        <v>10</v>
      </c>
      <c r="I10" s="471"/>
      <c r="J10" s="472"/>
      <c r="K10" s="473"/>
      <c r="L10" s="474">
        <f t="shared" si="1"/>
        <v>0</v>
      </c>
      <c r="M10" s="458"/>
      <c r="N10" s="458"/>
      <c r="O10" s="458"/>
      <c r="P10" s="458"/>
      <c r="Q10" s="454"/>
      <c r="R10" s="454"/>
      <c r="S10" s="475"/>
      <c r="V10" s="447"/>
      <c r="W10" s="445"/>
    </row>
    <row r="11" spans="1:23" s="590" customFormat="1" ht="11.25" customHeight="1">
      <c r="A11" s="585"/>
      <c r="B11" s="586" t="s">
        <v>312</v>
      </c>
      <c r="C11" s="586" t="s">
        <v>218</v>
      </c>
      <c r="D11" s="587"/>
      <c r="E11" s="588"/>
      <c r="F11" s="589">
        <f t="shared" si="0"/>
        <v>0</v>
      </c>
      <c r="H11" s="586" t="s">
        <v>312</v>
      </c>
      <c r="I11" s="586" t="s">
        <v>218</v>
      </c>
      <c r="J11" s="472"/>
      <c r="K11" s="473"/>
      <c r="L11" s="474">
        <f t="shared" ref="L11" si="2">ROUND(K11*$L$3,0)</f>
        <v>0</v>
      </c>
      <c r="T11" s="591"/>
    </row>
    <row r="12" spans="1:23" ht="11.25" customHeight="1">
      <c r="A12" s="452">
        <v>51031020</v>
      </c>
      <c r="B12" s="482" t="s">
        <v>98</v>
      </c>
      <c r="C12" s="483" t="s">
        <v>99</v>
      </c>
      <c r="D12" s="482"/>
      <c r="E12" s="482"/>
      <c r="F12" s="484"/>
      <c r="G12" s="485" t="e">
        <f>G14/G13</f>
        <v>#REF!</v>
      </c>
      <c r="H12" s="482" t="s">
        <v>98</v>
      </c>
      <c r="I12" s="482" t="s">
        <v>130</v>
      </c>
      <c r="J12" s="486"/>
      <c r="K12" s="487"/>
      <c r="L12" s="488">
        <f t="shared" si="1"/>
        <v>0</v>
      </c>
      <c r="M12" s="458"/>
      <c r="N12" s="458"/>
      <c r="O12" s="458"/>
      <c r="P12" s="458"/>
      <c r="Q12" s="489"/>
      <c r="R12" s="454"/>
      <c r="S12" s="475"/>
      <c r="V12" s="447"/>
      <c r="W12" s="445"/>
    </row>
    <row r="13" spans="1:23" ht="11.25" customHeight="1">
      <c r="A13" s="452">
        <v>52981010</v>
      </c>
      <c r="B13" s="471" t="s">
        <v>215</v>
      </c>
      <c r="C13" s="467" t="s">
        <v>101</v>
      </c>
      <c r="D13" s="490"/>
      <c r="E13" s="529"/>
      <c r="F13" s="469">
        <f t="shared" si="0"/>
        <v>0</v>
      </c>
      <c r="G13" s="491">
        <f>E14+R14+V14</f>
        <v>0</v>
      </c>
      <c r="H13" s="471" t="s">
        <v>215</v>
      </c>
      <c r="I13" s="471" t="s">
        <v>101</v>
      </c>
      <c r="J13" s="492"/>
      <c r="K13" s="493"/>
      <c r="L13" s="474">
        <f t="shared" si="1"/>
        <v>0</v>
      </c>
      <c r="M13" s="458"/>
      <c r="N13" s="458"/>
      <c r="O13" s="458"/>
      <c r="P13" s="458"/>
      <c r="Q13" s="489"/>
      <c r="R13" s="454"/>
      <c r="S13" s="475"/>
      <c r="V13" s="447"/>
      <c r="W13" s="445"/>
    </row>
    <row r="14" spans="1:23" s="445" customFormat="1" ht="12">
      <c r="A14" s="494"/>
      <c r="B14" s="495" t="s">
        <v>11</v>
      </c>
      <c r="C14" s="496"/>
      <c r="D14" s="497">
        <f>SUM(D5:D12)-D13</f>
        <v>0</v>
      </c>
      <c r="E14" s="498">
        <f>SUM(E5:E12)-E13</f>
        <v>0</v>
      </c>
      <c r="F14" s="499">
        <f>SUM(F5:F12)-F13</f>
        <v>0</v>
      </c>
      <c r="G14" s="500" t="e">
        <f>F14+#REF!+W14</f>
        <v>#REF!</v>
      </c>
      <c r="H14" s="495" t="s">
        <v>11</v>
      </c>
      <c r="I14" s="501"/>
      <c r="J14" s="497">
        <f>SUM(J5:J12)-J13</f>
        <v>0</v>
      </c>
      <c r="K14" s="465">
        <f>SUM(K5:K12)-K13</f>
        <v>0</v>
      </c>
      <c r="L14" s="499">
        <f>SUM(L5:L12)-L13</f>
        <v>0</v>
      </c>
      <c r="M14" s="458"/>
      <c r="N14" s="458"/>
      <c r="O14" s="458"/>
      <c r="P14" s="458"/>
      <c r="R14" s="458"/>
      <c r="S14" s="475"/>
      <c r="V14" s="504"/>
    </row>
    <row r="15" spans="1:23" ht="13.5">
      <c r="A15" s="427"/>
      <c r="D15" s="506"/>
      <c r="E15" s="530"/>
      <c r="F15" s="507"/>
      <c r="G15" s="508"/>
      <c r="J15" s="592">
        <f>J14-J13</f>
        <v>0</v>
      </c>
      <c r="K15" s="592">
        <f>K14-K13</f>
        <v>0</v>
      </c>
      <c r="L15" s="592">
        <f>L14-L13</f>
        <v>0</v>
      </c>
      <c r="M15" s="458"/>
      <c r="N15" s="458"/>
      <c r="O15" s="458"/>
      <c r="P15" s="458"/>
      <c r="Q15" s="489"/>
      <c r="R15" s="454"/>
      <c r="V15" s="447"/>
      <c r="W15" s="445"/>
    </row>
    <row r="16" spans="1:23" ht="13.5">
      <c r="A16" s="427"/>
      <c r="D16" s="506"/>
      <c r="E16" s="530"/>
      <c r="F16" s="507"/>
      <c r="G16" s="508"/>
      <c r="J16" s="592"/>
      <c r="K16" s="592"/>
      <c r="L16" s="592"/>
      <c r="M16" s="458"/>
      <c r="N16" s="458"/>
      <c r="O16" s="458"/>
      <c r="P16" s="458"/>
      <c r="Q16" s="489"/>
      <c r="R16" s="454"/>
      <c r="V16" s="447"/>
      <c r="W16" s="445"/>
    </row>
    <row r="17" spans="1:25" ht="12">
      <c r="A17" s="427"/>
      <c r="D17" s="506"/>
      <c r="E17" s="530"/>
      <c r="F17" s="506"/>
      <c r="G17" s="508"/>
      <c r="J17" s="509"/>
      <c r="K17" s="502"/>
      <c r="L17" s="509"/>
      <c r="M17" s="502"/>
      <c r="O17" s="489"/>
      <c r="P17" s="489"/>
      <c r="Q17" s="489"/>
      <c r="R17" s="510"/>
      <c r="V17" s="447"/>
      <c r="W17" s="445"/>
    </row>
    <row r="18" spans="1:25" ht="11.1" customHeight="1">
      <c r="A18" s="427"/>
      <c r="D18" s="443"/>
      <c r="E18" s="531"/>
      <c r="F18" s="511"/>
      <c r="G18" s="508"/>
      <c r="I18" s="593">
        <f>SUBTOTAL(9,J21:J96)</f>
        <v>0</v>
      </c>
      <c r="J18" s="504"/>
      <c r="K18" s="593">
        <f>SUBTOTAL(9,L21:L96)</f>
        <v>0</v>
      </c>
      <c r="L18" s="593">
        <f>SUBTOTAL(9,M21:M96)</f>
        <v>0</v>
      </c>
      <c r="M18" s="512">
        <f>SUBTOTAL(9,O21:O109)</f>
        <v>0</v>
      </c>
      <c r="N18" s="593">
        <f>SUBTOTAL(9,O21:O96)</f>
        <v>0</v>
      </c>
      <c r="Q18" s="447"/>
    </row>
    <row r="19" spans="1:25" ht="11.45" customHeight="1">
      <c r="A19" s="427"/>
      <c r="B19" s="513" t="s">
        <v>12</v>
      </c>
      <c r="C19" s="513"/>
      <c r="D19" s="513"/>
      <c r="E19" s="514" t="s">
        <v>13</v>
      </c>
      <c r="F19" s="515" t="s">
        <v>102</v>
      </c>
      <c r="G19" s="532" t="s">
        <v>14</v>
      </c>
      <c r="H19" s="515" t="s">
        <v>0</v>
      </c>
      <c r="I19" s="516" t="s">
        <v>1</v>
      </c>
      <c r="J19" s="642" t="s">
        <v>15</v>
      </c>
      <c r="K19" s="642"/>
      <c r="L19" s="642"/>
      <c r="M19" s="642" t="s">
        <v>16</v>
      </c>
      <c r="N19" s="642"/>
      <c r="O19" s="643"/>
      <c r="P19" s="644" t="s">
        <v>17</v>
      </c>
      <c r="Q19" s="644"/>
      <c r="R19" s="645" t="s">
        <v>18</v>
      </c>
      <c r="S19" s="645"/>
      <c r="T19" s="516" t="s">
        <v>103</v>
      </c>
      <c r="U19" s="452"/>
    </row>
    <row r="20" spans="1:25" s="450" customFormat="1" ht="13.5">
      <c r="A20" s="595"/>
      <c r="B20" s="594" t="s">
        <v>313</v>
      </c>
      <c r="C20" s="594" t="s">
        <v>314</v>
      </c>
      <c r="D20" s="594" t="s">
        <v>317</v>
      </c>
      <c r="E20" s="539" t="s">
        <v>105</v>
      </c>
      <c r="F20" s="539" t="s">
        <v>106</v>
      </c>
      <c r="G20" s="596" t="s">
        <v>107</v>
      </c>
      <c r="H20" s="598" t="s">
        <v>108</v>
      </c>
      <c r="I20" s="599" t="s">
        <v>109</v>
      </c>
      <c r="J20" s="517" t="s">
        <v>110</v>
      </c>
      <c r="K20" s="517" t="s">
        <v>111</v>
      </c>
      <c r="L20" s="518" t="s">
        <v>19</v>
      </c>
      <c r="M20" s="518" t="s">
        <v>110</v>
      </c>
      <c r="N20" s="517" t="s">
        <v>111</v>
      </c>
      <c r="O20" s="519" t="s">
        <v>19</v>
      </c>
      <c r="P20" s="538" t="s">
        <v>110</v>
      </c>
      <c r="Q20" s="538" t="s">
        <v>19</v>
      </c>
      <c r="R20" s="539" t="s">
        <v>315</v>
      </c>
      <c r="S20" s="539" t="s">
        <v>316</v>
      </c>
      <c r="T20" s="520" t="s">
        <v>103</v>
      </c>
      <c r="U20" s="597"/>
    </row>
    <row r="21" spans="1:25" s="537" customFormat="1" ht="11.1" customHeight="1">
      <c r="A21" s="441"/>
      <c r="B21" s="610"/>
      <c r="C21" s="610"/>
      <c r="D21" s="610"/>
      <c r="E21" s="611"/>
      <c r="F21" s="612"/>
      <c r="G21" s="613"/>
      <c r="H21" s="614"/>
      <c r="I21" s="613"/>
      <c r="J21" s="615"/>
      <c r="K21" s="615"/>
      <c r="L21" s="615"/>
      <c r="M21" s="616"/>
      <c r="N21" s="617"/>
      <c r="O21" s="618"/>
      <c r="P21" s="619"/>
      <c r="Q21" s="619">
        <v>0</v>
      </c>
      <c r="R21" s="620"/>
      <c r="S21" s="620"/>
      <c r="T21" s="620"/>
      <c r="U21" s="521"/>
      <c r="V21" s="440"/>
      <c r="W21" s="440"/>
      <c r="X21" s="440"/>
      <c r="Y21" s="440"/>
    </row>
    <row r="22" spans="1:25" s="537" customFormat="1" ht="11.1" customHeight="1">
      <c r="A22" s="441"/>
      <c r="B22" s="600"/>
      <c r="C22" s="600"/>
      <c r="D22" s="600"/>
      <c r="E22" s="306"/>
      <c r="F22" s="601"/>
      <c r="G22" s="602"/>
      <c r="H22" s="603"/>
      <c r="I22" s="602"/>
      <c r="J22" s="604"/>
      <c r="K22" s="604"/>
      <c r="L22" s="604"/>
      <c r="M22" s="605"/>
      <c r="N22" s="606"/>
      <c r="O22" s="607"/>
      <c r="P22" s="608">
        <f t="shared" ref="P22:P86" si="3">P21+J22-M22</f>
        <v>0</v>
      </c>
      <c r="Q22" s="608"/>
      <c r="R22" s="609"/>
      <c r="S22" s="609"/>
      <c r="T22" s="609"/>
      <c r="U22" s="521"/>
      <c r="V22" s="440"/>
      <c r="W22" s="440"/>
      <c r="X22" s="440"/>
      <c r="Y22" s="440"/>
    </row>
    <row r="23" spans="1:25" s="542" customFormat="1" ht="11.25" customHeight="1">
      <c r="A23" s="540"/>
      <c r="B23" s="600"/>
      <c r="C23" s="600"/>
      <c r="D23" s="600"/>
      <c r="E23" s="306"/>
      <c r="F23" s="601"/>
      <c r="G23" s="602"/>
      <c r="H23" s="603"/>
      <c r="I23" s="602"/>
      <c r="J23" s="604"/>
      <c r="K23" s="604"/>
      <c r="L23" s="604"/>
      <c r="M23" s="605"/>
      <c r="N23" s="606"/>
      <c r="O23" s="607"/>
      <c r="P23" s="608">
        <f t="shared" si="3"/>
        <v>0</v>
      </c>
      <c r="Q23" s="608"/>
      <c r="R23" s="609"/>
      <c r="S23" s="609"/>
      <c r="T23" s="609"/>
      <c r="U23" s="521"/>
      <c r="V23" s="541"/>
      <c r="W23" s="541"/>
      <c r="X23" s="541"/>
      <c r="Y23" s="541"/>
    </row>
    <row r="24" spans="1:25" s="542" customFormat="1" ht="11.25" customHeight="1">
      <c r="A24" s="540"/>
      <c r="B24" s="600"/>
      <c r="C24" s="600"/>
      <c r="D24" s="600"/>
      <c r="E24" s="306"/>
      <c r="F24" s="601"/>
      <c r="G24" s="602"/>
      <c r="H24" s="603"/>
      <c r="I24" s="602"/>
      <c r="J24" s="604"/>
      <c r="K24" s="604"/>
      <c r="L24" s="604"/>
      <c r="M24" s="605"/>
      <c r="N24" s="606"/>
      <c r="O24" s="607"/>
      <c r="P24" s="608">
        <f t="shared" si="3"/>
        <v>0</v>
      </c>
      <c r="Q24" s="608"/>
      <c r="R24" s="609"/>
      <c r="S24" s="609"/>
      <c r="T24" s="609"/>
      <c r="U24" s="521"/>
      <c r="V24" s="541"/>
      <c r="W24" s="541"/>
      <c r="X24" s="541"/>
      <c r="Y24" s="541"/>
    </row>
    <row r="25" spans="1:25" s="542" customFormat="1" ht="11.25" customHeight="1">
      <c r="A25" s="540"/>
      <c r="B25" s="600"/>
      <c r="C25" s="600"/>
      <c r="D25" s="600"/>
      <c r="E25" s="306"/>
      <c r="F25" s="601"/>
      <c r="G25" s="602"/>
      <c r="H25" s="603"/>
      <c r="I25" s="602"/>
      <c r="J25" s="604"/>
      <c r="K25" s="604"/>
      <c r="L25" s="604"/>
      <c r="M25" s="605"/>
      <c r="N25" s="606"/>
      <c r="O25" s="607"/>
      <c r="P25" s="608">
        <f t="shared" si="3"/>
        <v>0</v>
      </c>
      <c r="Q25" s="608"/>
      <c r="R25" s="609"/>
      <c r="S25" s="609"/>
      <c r="T25" s="609"/>
      <c r="U25" s="521"/>
      <c r="V25" s="541"/>
      <c r="W25" s="541"/>
      <c r="X25" s="541"/>
      <c r="Y25" s="541"/>
    </row>
    <row r="26" spans="1:25" s="542" customFormat="1" ht="11.25" customHeight="1">
      <c r="A26" s="540"/>
      <c r="B26" s="600"/>
      <c r="C26" s="600"/>
      <c r="D26" s="600"/>
      <c r="E26" s="306"/>
      <c r="F26" s="601"/>
      <c r="G26" s="602"/>
      <c r="H26" s="603"/>
      <c r="I26" s="602"/>
      <c r="J26" s="604"/>
      <c r="K26" s="604"/>
      <c r="L26" s="604"/>
      <c r="M26" s="605"/>
      <c r="N26" s="606"/>
      <c r="O26" s="607"/>
      <c r="P26" s="608">
        <f t="shared" si="3"/>
        <v>0</v>
      </c>
      <c r="Q26" s="608"/>
      <c r="R26" s="609"/>
      <c r="S26" s="609"/>
      <c r="T26" s="609"/>
      <c r="U26" s="521"/>
      <c r="V26" s="541"/>
      <c r="W26" s="541"/>
      <c r="X26" s="541"/>
      <c r="Y26" s="541"/>
    </row>
    <row r="27" spans="1:25" s="542" customFormat="1" ht="11.25" customHeight="1">
      <c r="A27" s="540"/>
      <c r="B27" s="600"/>
      <c r="C27" s="600"/>
      <c r="D27" s="600"/>
      <c r="E27" s="306"/>
      <c r="F27" s="601"/>
      <c r="G27" s="602"/>
      <c r="H27" s="603"/>
      <c r="I27" s="602"/>
      <c r="J27" s="604"/>
      <c r="K27" s="604"/>
      <c r="L27" s="604"/>
      <c r="M27" s="605"/>
      <c r="N27" s="606"/>
      <c r="O27" s="607"/>
      <c r="P27" s="608">
        <f t="shared" si="3"/>
        <v>0</v>
      </c>
      <c r="Q27" s="608"/>
      <c r="R27" s="609"/>
      <c r="S27" s="609"/>
      <c r="T27" s="609"/>
      <c r="U27" s="521"/>
      <c r="V27" s="541"/>
      <c r="W27" s="541"/>
      <c r="X27" s="541"/>
      <c r="Y27" s="541"/>
    </row>
    <row r="28" spans="1:25" s="542" customFormat="1" ht="11.25" customHeight="1">
      <c r="A28" s="540"/>
      <c r="B28" s="600"/>
      <c r="C28" s="600"/>
      <c r="D28" s="600"/>
      <c r="E28" s="306"/>
      <c r="F28" s="601"/>
      <c r="G28" s="602"/>
      <c r="H28" s="603"/>
      <c r="I28" s="602"/>
      <c r="J28" s="604"/>
      <c r="K28" s="604"/>
      <c r="L28" s="604"/>
      <c r="M28" s="605"/>
      <c r="N28" s="606"/>
      <c r="O28" s="607"/>
      <c r="P28" s="608">
        <f t="shared" si="3"/>
        <v>0</v>
      </c>
      <c r="Q28" s="608"/>
      <c r="R28" s="609"/>
      <c r="S28" s="609"/>
      <c r="T28" s="609"/>
      <c r="U28" s="521"/>
      <c r="V28" s="541"/>
      <c r="W28" s="541"/>
      <c r="X28" s="541"/>
      <c r="Y28" s="541"/>
    </row>
    <row r="29" spans="1:25" s="542" customFormat="1" ht="12" customHeight="1">
      <c r="A29" s="540"/>
      <c r="B29" s="600"/>
      <c r="C29" s="600"/>
      <c r="D29" s="600"/>
      <c r="E29" s="306"/>
      <c r="F29" s="601"/>
      <c r="G29" s="602"/>
      <c r="H29" s="603"/>
      <c r="I29" s="602"/>
      <c r="J29" s="604"/>
      <c r="K29" s="604"/>
      <c r="L29" s="604"/>
      <c r="M29" s="605"/>
      <c r="N29" s="606"/>
      <c r="O29" s="607"/>
      <c r="P29" s="608">
        <f t="shared" si="3"/>
        <v>0</v>
      </c>
      <c r="Q29" s="608"/>
      <c r="R29" s="609"/>
      <c r="S29" s="609"/>
      <c r="T29" s="609"/>
      <c r="U29" s="521"/>
      <c r="V29" s="541"/>
      <c r="W29" s="541"/>
      <c r="X29" s="541"/>
      <c r="Y29" s="541"/>
    </row>
    <row r="30" spans="1:25" s="542" customFormat="1" ht="12" customHeight="1">
      <c r="A30" s="540"/>
      <c r="B30" s="600"/>
      <c r="C30" s="600"/>
      <c r="D30" s="600"/>
      <c r="E30" s="306"/>
      <c r="F30" s="601"/>
      <c r="G30" s="602"/>
      <c r="H30" s="603"/>
      <c r="I30" s="602"/>
      <c r="J30" s="604"/>
      <c r="K30" s="604"/>
      <c r="L30" s="604"/>
      <c r="M30" s="605"/>
      <c r="N30" s="606"/>
      <c r="O30" s="607"/>
      <c r="P30" s="608">
        <f t="shared" si="3"/>
        <v>0</v>
      </c>
      <c r="Q30" s="608"/>
      <c r="R30" s="609"/>
      <c r="S30" s="609"/>
      <c r="T30" s="609"/>
      <c r="U30" s="521"/>
      <c r="V30" s="541"/>
      <c r="W30" s="541"/>
      <c r="X30" s="541"/>
      <c r="Y30" s="541"/>
    </row>
    <row r="31" spans="1:25" s="542" customFormat="1" ht="12" customHeight="1">
      <c r="A31" s="540"/>
      <c r="B31" s="600"/>
      <c r="C31" s="600"/>
      <c r="D31" s="600"/>
      <c r="E31" s="306"/>
      <c r="F31" s="601"/>
      <c r="G31" s="602"/>
      <c r="H31" s="603"/>
      <c r="I31" s="602"/>
      <c r="J31" s="604"/>
      <c r="K31" s="604"/>
      <c r="L31" s="604"/>
      <c r="M31" s="605"/>
      <c r="N31" s="606" t="s">
        <v>88</v>
      </c>
      <c r="O31" s="607"/>
      <c r="P31" s="608">
        <f t="shared" si="3"/>
        <v>0</v>
      </c>
      <c r="Q31" s="608"/>
      <c r="R31" s="609"/>
      <c r="S31" s="609"/>
      <c r="T31" s="609"/>
      <c r="U31" s="521"/>
      <c r="V31" s="541"/>
      <c r="W31" s="541"/>
      <c r="X31" s="541"/>
      <c r="Y31" s="541"/>
    </row>
    <row r="32" spans="1:25" s="542" customFormat="1" ht="12" customHeight="1">
      <c r="A32" s="540"/>
      <c r="B32" s="600"/>
      <c r="C32" s="600"/>
      <c r="D32" s="600"/>
      <c r="E32" s="306"/>
      <c r="F32" s="601"/>
      <c r="G32" s="602"/>
      <c r="H32" s="603"/>
      <c r="I32" s="602"/>
      <c r="J32" s="604"/>
      <c r="K32" s="604"/>
      <c r="L32" s="604"/>
      <c r="M32" s="605"/>
      <c r="N32" s="606"/>
      <c r="O32" s="607"/>
      <c r="P32" s="608">
        <f t="shared" si="3"/>
        <v>0</v>
      </c>
      <c r="Q32" s="608"/>
      <c r="R32" s="609"/>
      <c r="S32" s="609"/>
      <c r="T32" s="609"/>
      <c r="U32" s="521"/>
      <c r="V32" s="541"/>
      <c r="W32" s="541"/>
      <c r="X32" s="541"/>
      <c r="Y32" s="541"/>
    </row>
    <row r="33" spans="1:25" s="542" customFormat="1" ht="12" customHeight="1">
      <c r="A33" s="540"/>
      <c r="B33" s="600"/>
      <c r="C33" s="600"/>
      <c r="D33" s="600"/>
      <c r="E33" s="306"/>
      <c r="F33" s="601"/>
      <c r="G33" s="602"/>
      <c r="H33" s="603"/>
      <c r="I33" s="602"/>
      <c r="J33" s="604"/>
      <c r="K33" s="604"/>
      <c r="L33" s="604"/>
      <c r="M33" s="605"/>
      <c r="N33" s="606"/>
      <c r="O33" s="607"/>
      <c r="P33" s="608">
        <f t="shared" si="3"/>
        <v>0</v>
      </c>
      <c r="Q33" s="608"/>
      <c r="R33" s="609"/>
      <c r="S33" s="609"/>
      <c r="T33" s="609"/>
      <c r="U33" s="521"/>
      <c r="V33" s="541"/>
      <c r="W33" s="541"/>
      <c r="X33" s="541"/>
      <c r="Y33" s="541"/>
    </row>
    <row r="34" spans="1:25" s="542" customFormat="1" ht="12" customHeight="1">
      <c r="A34" s="540"/>
      <c r="B34" s="600"/>
      <c r="C34" s="600"/>
      <c r="D34" s="600"/>
      <c r="E34" s="306"/>
      <c r="F34" s="601"/>
      <c r="G34" s="602"/>
      <c r="H34" s="603"/>
      <c r="I34" s="602"/>
      <c r="J34" s="604"/>
      <c r="K34" s="604"/>
      <c r="L34" s="604"/>
      <c r="M34" s="605"/>
      <c r="N34" s="606"/>
      <c r="O34" s="607"/>
      <c r="P34" s="608">
        <f t="shared" si="3"/>
        <v>0</v>
      </c>
      <c r="Q34" s="608"/>
      <c r="R34" s="609"/>
      <c r="S34" s="609"/>
      <c r="T34" s="609"/>
      <c r="U34" s="521"/>
      <c r="V34" s="541"/>
      <c r="W34" s="541"/>
      <c r="X34" s="541"/>
      <c r="Y34" s="541"/>
    </row>
    <row r="35" spans="1:25" s="542" customFormat="1" ht="12" customHeight="1">
      <c r="A35" s="540"/>
      <c r="B35" s="600"/>
      <c r="C35" s="600"/>
      <c r="D35" s="600"/>
      <c r="E35" s="306"/>
      <c r="F35" s="601"/>
      <c r="G35" s="602"/>
      <c r="H35" s="603"/>
      <c r="I35" s="602"/>
      <c r="J35" s="604"/>
      <c r="K35" s="604"/>
      <c r="L35" s="604"/>
      <c r="M35" s="605"/>
      <c r="N35" s="606"/>
      <c r="O35" s="607"/>
      <c r="P35" s="608">
        <f t="shared" si="3"/>
        <v>0</v>
      </c>
      <c r="Q35" s="608"/>
      <c r="R35" s="609"/>
      <c r="S35" s="609"/>
      <c r="T35" s="609"/>
      <c r="U35" s="521"/>
      <c r="V35" s="541"/>
      <c r="W35" s="541"/>
      <c r="X35" s="541"/>
      <c r="Y35" s="541"/>
    </row>
    <row r="36" spans="1:25" s="542" customFormat="1" ht="12" customHeight="1">
      <c r="A36" s="540"/>
      <c r="B36" s="600"/>
      <c r="C36" s="600"/>
      <c r="D36" s="600"/>
      <c r="E36" s="306"/>
      <c r="F36" s="601"/>
      <c r="G36" s="602"/>
      <c r="H36" s="603"/>
      <c r="I36" s="602"/>
      <c r="J36" s="604"/>
      <c r="K36" s="604"/>
      <c r="L36" s="604"/>
      <c r="M36" s="605"/>
      <c r="N36" s="606"/>
      <c r="O36" s="607"/>
      <c r="P36" s="608">
        <f t="shared" si="3"/>
        <v>0</v>
      </c>
      <c r="Q36" s="608"/>
      <c r="R36" s="609"/>
      <c r="S36" s="609"/>
      <c r="T36" s="609"/>
      <c r="U36" s="521"/>
      <c r="V36" s="541"/>
      <c r="W36" s="541"/>
      <c r="X36" s="541"/>
      <c r="Y36" s="541"/>
    </row>
    <row r="37" spans="1:25" s="542" customFormat="1" ht="12" customHeight="1">
      <c r="A37" s="540"/>
      <c r="B37" s="600"/>
      <c r="C37" s="600"/>
      <c r="D37" s="600"/>
      <c r="E37" s="306"/>
      <c r="F37" s="601"/>
      <c r="G37" s="602"/>
      <c r="H37" s="603"/>
      <c r="I37" s="602"/>
      <c r="J37" s="604"/>
      <c r="K37" s="604"/>
      <c r="L37" s="604"/>
      <c r="M37" s="605"/>
      <c r="N37" s="606"/>
      <c r="O37" s="607"/>
      <c r="P37" s="608">
        <f t="shared" si="3"/>
        <v>0</v>
      </c>
      <c r="Q37" s="608"/>
      <c r="R37" s="609"/>
      <c r="S37" s="609"/>
      <c r="T37" s="609"/>
      <c r="U37" s="521"/>
      <c r="V37" s="541"/>
      <c r="W37" s="541"/>
      <c r="X37" s="541"/>
      <c r="Y37" s="541"/>
    </row>
    <row r="38" spans="1:25" s="542" customFormat="1" ht="12" customHeight="1">
      <c r="A38" s="540"/>
      <c r="B38" s="600"/>
      <c r="C38" s="600"/>
      <c r="D38" s="600"/>
      <c r="E38" s="306"/>
      <c r="F38" s="601"/>
      <c r="G38" s="602"/>
      <c r="H38" s="603"/>
      <c r="I38" s="602"/>
      <c r="J38" s="604"/>
      <c r="K38" s="604"/>
      <c r="L38" s="604"/>
      <c r="M38" s="605"/>
      <c r="N38" s="606"/>
      <c r="O38" s="607"/>
      <c r="P38" s="608">
        <f t="shared" si="3"/>
        <v>0</v>
      </c>
      <c r="Q38" s="608"/>
      <c r="R38" s="609"/>
      <c r="S38" s="609"/>
      <c r="T38" s="609"/>
      <c r="U38" s="521"/>
      <c r="V38" s="541"/>
      <c r="W38" s="541"/>
      <c r="X38" s="541"/>
      <c r="Y38" s="541"/>
    </row>
    <row r="39" spans="1:25" s="537" customFormat="1" ht="11.1" customHeight="1">
      <c r="A39" s="441"/>
      <c r="B39" s="600"/>
      <c r="C39" s="600"/>
      <c r="D39" s="600"/>
      <c r="E39" s="306"/>
      <c r="F39" s="601"/>
      <c r="G39" s="602"/>
      <c r="H39" s="603"/>
      <c r="I39" s="602"/>
      <c r="J39" s="604"/>
      <c r="K39" s="604"/>
      <c r="L39" s="604"/>
      <c r="M39" s="605"/>
      <c r="N39" s="606"/>
      <c r="O39" s="607"/>
      <c r="P39" s="608">
        <f t="shared" si="3"/>
        <v>0</v>
      </c>
      <c r="Q39" s="608"/>
      <c r="R39" s="609"/>
      <c r="S39" s="609"/>
      <c r="T39" s="609"/>
      <c r="U39" s="521"/>
      <c r="V39" s="440"/>
      <c r="W39" s="440"/>
      <c r="X39" s="440"/>
      <c r="Y39" s="440"/>
    </row>
    <row r="40" spans="1:25" s="542" customFormat="1" ht="11.25" customHeight="1">
      <c r="A40" s="540"/>
      <c r="B40" s="600"/>
      <c r="C40" s="600"/>
      <c r="D40" s="600"/>
      <c r="E40" s="306"/>
      <c r="F40" s="601"/>
      <c r="G40" s="602"/>
      <c r="H40" s="603"/>
      <c r="I40" s="602"/>
      <c r="J40" s="604"/>
      <c r="K40" s="604"/>
      <c r="L40" s="604"/>
      <c r="M40" s="605"/>
      <c r="N40" s="606"/>
      <c r="O40" s="607"/>
      <c r="P40" s="608">
        <f t="shared" si="3"/>
        <v>0</v>
      </c>
      <c r="Q40" s="608"/>
      <c r="R40" s="609"/>
      <c r="S40" s="609"/>
      <c r="T40" s="609"/>
      <c r="U40" s="521"/>
      <c r="V40" s="541"/>
      <c r="W40" s="541"/>
      <c r="X40" s="541"/>
      <c r="Y40" s="541"/>
    </row>
    <row r="41" spans="1:25" s="542" customFormat="1" ht="11.25" customHeight="1">
      <c r="A41" s="540"/>
      <c r="B41" s="600"/>
      <c r="C41" s="600"/>
      <c r="D41" s="600"/>
      <c r="E41" s="306"/>
      <c r="F41" s="601"/>
      <c r="G41" s="602"/>
      <c r="H41" s="603"/>
      <c r="I41" s="602"/>
      <c r="J41" s="604"/>
      <c r="K41" s="604"/>
      <c r="L41" s="604"/>
      <c r="M41" s="605"/>
      <c r="N41" s="606"/>
      <c r="O41" s="607"/>
      <c r="P41" s="608">
        <f t="shared" si="3"/>
        <v>0</v>
      </c>
      <c r="Q41" s="608"/>
      <c r="R41" s="609"/>
      <c r="S41" s="609"/>
      <c r="T41" s="609"/>
      <c r="U41" s="521"/>
      <c r="V41" s="541"/>
      <c r="W41" s="541"/>
      <c r="X41" s="541"/>
      <c r="Y41" s="541"/>
    </row>
    <row r="42" spans="1:25" s="542" customFormat="1" ht="11.25" customHeight="1">
      <c r="A42" s="540"/>
      <c r="B42" s="600"/>
      <c r="C42" s="600"/>
      <c r="D42" s="600"/>
      <c r="E42" s="306"/>
      <c r="F42" s="601"/>
      <c r="G42" s="602"/>
      <c r="H42" s="603"/>
      <c r="I42" s="602"/>
      <c r="J42" s="604"/>
      <c r="K42" s="604"/>
      <c r="L42" s="604"/>
      <c r="M42" s="605"/>
      <c r="N42" s="606"/>
      <c r="O42" s="607"/>
      <c r="P42" s="608">
        <f t="shared" si="3"/>
        <v>0</v>
      </c>
      <c r="Q42" s="608"/>
      <c r="R42" s="609"/>
      <c r="S42" s="609"/>
      <c r="T42" s="609"/>
      <c r="U42" s="521"/>
      <c r="V42" s="541"/>
      <c r="W42" s="541"/>
      <c r="X42" s="541"/>
      <c r="Y42" s="541"/>
    </row>
    <row r="43" spans="1:25" s="542" customFormat="1" ht="11.25" customHeight="1">
      <c r="A43" s="540"/>
      <c r="B43" s="600"/>
      <c r="C43" s="600"/>
      <c r="D43" s="600"/>
      <c r="E43" s="306"/>
      <c r="F43" s="601"/>
      <c r="G43" s="602"/>
      <c r="H43" s="603"/>
      <c r="I43" s="602"/>
      <c r="J43" s="604"/>
      <c r="K43" s="604"/>
      <c r="L43" s="604"/>
      <c r="M43" s="605"/>
      <c r="N43" s="606"/>
      <c r="O43" s="607"/>
      <c r="P43" s="608">
        <f t="shared" si="3"/>
        <v>0</v>
      </c>
      <c r="Q43" s="608"/>
      <c r="R43" s="609"/>
      <c r="S43" s="609"/>
      <c r="T43" s="609"/>
      <c r="U43" s="521"/>
      <c r="V43" s="541"/>
      <c r="W43" s="541"/>
      <c r="X43" s="541"/>
      <c r="Y43" s="541"/>
    </row>
    <row r="44" spans="1:25" s="542" customFormat="1" ht="11.25" customHeight="1">
      <c r="A44" s="540"/>
      <c r="B44" s="600"/>
      <c r="C44" s="600"/>
      <c r="D44" s="600"/>
      <c r="E44" s="306"/>
      <c r="F44" s="601"/>
      <c r="G44" s="602"/>
      <c r="H44" s="603"/>
      <c r="I44" s="602"/>
      <c r="J44" s="604"/>
      <c r="K44" s="604"/>
      <c r="L44" s="604"/>
      <c r="M44" s="605"/>
      <c r="N44" s="606"/>
      <c r="O44" s="607"/>
      <c r="P44" s="608">
        <f t="shared" si="3"/>
        <v>0</v>
      </c>
      <c r="Q44" s="608"/>
      <c r="R44" s="609"/>
      <c r="S44" s="609"/>
      <c r="T44" s="609"/>
      <c r="U44" s="521"/>
      <c r="V44" s="541"/>
      <c r="W44" s="541"/>
      <c r="X44" s="541"/>
      <c r="Y44" s="541"/>
    </row>
    <row r="45" spans="1:25" s="542" customFormat="1" ht="11.25" customHeight="1">
      <c r="A45" s="540"/>
      <c r="B45" s="600"/>
      <c r="C45" s="600"/>
      <c r="D45" s="600"/>
      <c r="E45" s="306"/>
      <c r="F45" s="601"/>
      <c r="G45" s="602"/>
      <c r="H45" s="603"/>
      <c r="I45" s="602"/>
      <c r="J45" s="604"/>
      <c r="K45" s="604"/>
      <c r="L45" s="604"/>
      <c r="M45" s="605"/>
      <c r="N45" s="606"/>
      <c r="O45" s="607"/>
      <c r="P45" s="608">
        <f t="shared" si="3"/>
        <v>0</v>
      </c>
      <c r="Q45" s="608"/>
      <c r="R45" s="609"/>
      <c r="S45" s="609"/>
      <c r="T45" s="609"/>
      <c r="U45" s="521"/>
      <c r="V45" s="541"/>
      <c r="W45" s="541"/>
      <c r="X45" s="541"/>
      <c r="Y45" s="541"/>
    </row>
    <row r="46" spans="1:25" s="542" customFormat="1" ht="12" customHeight="1">
      <c r="A46" s="540"/>
      <c r="B46" s="600"/>
      <c r="C46" s="600"/>
      <c r="D46" s="600"/>
      <c r="E46" s="306"/>
      <c r="F46" s="601"/>
      <c r="G46" s="602"/>
      <c r="H46" s="603"/>
      <c r="I46" s="602"/>
      <c r="J46" s="604"/>
      <c r="K46" s="604"/>
      <c r="L46" s="604"/>
      <c r="M46" s="605"/>
      <c r="N46" s="606"/>
      <c r="O46" s="607"/>
      <c r="P46" s="608">
        <f t="shared" si="3"/>
        <v>0</v>
      </c>
      <c r="Q46" s="608"/>
      <c r="R46" s="609"/>
      <c r="S46" s="609"/>
      <c r="T46" s="609"/>
      <c r="U46" s="521"/>
      <c r="V46" s="541"/>
      <c r="W46" s="541"/>
      <c r="X46" s="541"/>
      <c r="Y46" s="541"/>
    </row>
    <row r="47" spans="1:25" s="542" customFormat="1" ht="12" customHeight="1">
      <c r="A47" s="540"/>
      <c r="B47" s="600"/>
      <c r="C47" s="600"/>
      <c r="D47" s="600"/>
      <c r="E47" s="306"/>
      <c r="F47" s="601"/>
      <c r="G47" s="602"/>
      <c r="H47" s="603"/>
      <c r="I47" s="602"/>
      <c r="J47" s="604"/>
      <c r="K47" s="604"/>
      <c r="L47" s="604"/>
      <c r="M47" s="605"/>
      <c r="N47" s="606"/>
      <c r="O47" s="607"/>
      <c r="P47" s="608">
        <f t="shared" si="3"/>
        <v>0</v>
      </c>
      <c r="Q47" s="608"/>
      <c r="R47" s="609"/>
      <c r="S47" s="609"/>
      <c r="T47" s="609"/>
      <c r="U47" s="521"/>
      <c r="V47" s="541"/>
      <c r="W47" s="541"/>
      <c r="X47" s="541"/>
      <c r="Y47" s="541"/>
    </row>
    <row r="48" spans="1:25" s="542" customFormat="1" ht="12" customHeight="1">
      <c r="A48" s="540"/>
      <c r="B48" s="600"/>
      <c r="C48" s="600"/>
      <c r="D48" s="600"/>
      <c r="E48" s="306"/>
      <c r="F48" s="601"/>
      <c r="G48" s="602"/>
      <c r="H48" s="603"/>
      <c r="I48" s="602"/>
      <c r="J48" s="604"/>
      <c r="K48" s="604"/>
      <c r="L48" s="604"/>
      <c r="M48" s="605"/>
      <c r="N48" s="606" t="s">
        <v>88</v>
      </c>
      <c r="O48" s="607"/>
      <c r="P48" s="608">
        <f t="shared" si="3"/>
        <v>0</v>
      </c>
      <c r="Q48" s="608"/>
      <c r="R48" s="609"/>
      <c r="S48" s="609"/>
      <c r="T48" s="609"/>
      <c r="U48" s="521"/>
      <c r="V48" s="541"/>
      <c r="W48" s="541"/>
      <c r="X48" s="541"/>
      <c r="Y48" s="541"/>
    </row>
    <row r="49" spans="1:25" s="542" customFormat="1" ht="12" customHeight="1">
      <c r="A49" s="540"/>
      <c r="B49" s="600"/>
      <c r="C49" s="600"/>
      <c r="D49" s="600"/>
      <c r="E49" s="306"/>
      <c r="F49" s="601"/>
      <c r="G49" s="602"/>
      <c r="H49" s="603"/>
      <c r="I49" s="602"/>
      <c r="J49" s="604"/>
      <c r="K49" s="604"/>
      <c r="L49" s="604"/>
      <c r="M49" s="605"/>
      <c r="N49" s="606"/>
      <c r="O49" s="607"/>
      <c r="P49" s="608">
        <f t="shared" si="3"/>
        <v>0</v>
      </c>
      <c r="Q49" s="608"/>
      <c r="R49" s="609"/>
      <c r="S49" s="609"/>
      <c r="T49" s="609"/>
      <c r="U49" s="521"/>
      <c r="V49" s="541"/>
      <c r="W49" s="541"/>
      <c r="X49" s="541"/>
      <c r="Y49" s="541"/>
    </row>
    <row r="50" spans="1:25" s="542" customFormat="1" ht="12" customHeight="1">
      <c r="A50" s="540"/>
      <c r="B50" s="600"/>
      <c r="C50" s="600"/>
      <c r="D50" s="600"/>
      <c r="E50" s="306"/>
      <c r="F50" s="601"/>
      <c r="G50" s="602"/>
      <c r="H50" s="603"/>
      <c r="I50" s="602"/>
      <c r="J50" s="604"/>
      <c r="K50" s="604"/>
      <c r="L50" s="604"/>
      <c r="M50" s="605"/>
      <c r="N50" s="606"/>
      <c r="O50" s="607"/>
      <c r="P50" s="608">
        <f t="shared" si="3"/>
        <v>0</v>
      </c>
      <c r="Q50" s="608"/>
      <c r="R50" s="609"/>
      <c r="S50" s="609"/>
      <c r="T50" s="609"/>
      <c r="U50" s="521"/>
      <c r="V50" s="541"/>
      <c r="W50" s="541"/>
      <c r="X50" s="541"/>
      <c r="Y50" s="541"/>
    </row>
    <row r="51" spans="1:25" s="542" customFormat="1" ht="12" customHeight="1">
      <c r="A51" s="540"/>
      <c r="B51" s="600"/>
      <c r="C51" s="600"/>
      <c r="D51" s="600"/>
      <c r="E51" s="306"/>
      <c r="F51" s="601"/>
      <c r="G51" s="602"/>
      <c r="H51" s="603"/>
      <c r="I51" s="602"/>
      <c r="J51" s="604"/>
      <c r="K51" s="604"/>
      <c r="L51" s="604"/>
      <c r="M51" s="605"/>
      <c r="N51" s="606"/>
      <c r="O51" s="607"/>
      <c r="P51" s="608">
        <f t="shared" si="3"/>
        <v>0</v>
      </c>
      <c r="Q51" s="608"/>
      <c r="R51" s="609"/>
      <c r="S51" s="609"/>
      <c r="T51" s="609"/>
      <c r="U51" s="521"/>
      <c r="V51" s="541"/>
      <c r="W51" s="541"/>
      <c r="X51" s="541"/>
      <c r="Y51" s="541"/>
    </row>
    <row r="52" spans="1:25" s="542" customFormat="1" ht="12" customHeight="1">
      <c r="A52" s="540"/>
      <c r="B52" s="600"/>
      <c r="C52" s="600"/>
      <c r="D52" s="600"/>
      <c r="E52" s="306"/>
      <c r="F52" s="601"/>
      <c r="G52" s="602"/>
      <c r="H52" s="603"/>
      <c r="I52" s="602"/>
      <c r="J52" s="604"/>
      <c r="K52" s="604"/>
      <c r="L52" s="604"/>
      <c r="M52" s="605"/>
      <c r="N52" s="606"/>
      <c r="O52" s="607"/>
      <c r="P52" s="608">
        <f t="shared" si="3"/>
        <v>0</v>
      </c>
      <c r="Q52" s="608"/>
      <c r="R52" s="609"/>
      <c r="S52" s="609"/>
      <c r="T52" s="609"/>
      <c r="U52" s="521"/>
      <c r="V52" s="541"/>
      <c r="W52" s="541"/>
      <c r="X52" s="541"/>
      <c r="Y52" s="541"/>
    </row>
    <row r="53" spans="1:25" s="542" customFormat="1" ht="12" customHeight="1">
      <c r="A53" s="540"/>
      <c r="B53" s="600"/>
      <c r="C53" s="600"/>
      <c r="D53" s="600"/>
      <c r="E53" s="306"/>
      <c r="F53" s="601"/>
      <c r="G53" s="602"/>
      <c r="H53" s="603"/>
      <c r="I53" s="602"/>
      <c r="J53" s="604"/>
      <c r="K53" s="604"/>
      <c r="L53" s="604"/>
      <c r="M53" s="605"/>
      <c r="N53" s="606"/>
      <c r="O53" s="607"/>
      <c r="P53" s="608">
        <f t="shared" si="3"/>
        <v>0</v>
      </c>
      <c r="Q53" s="608"/>
      <c r="R53" s="609"/>
      <c r="S53" s="609"/>
      <c r="T53" s="609"/>
      <c r="U53" s="521"/>
      <c r="V53" s="541"/>
      <c r="W53" s="541"/>
      <c r="X53" s="541"/>
      <c r="Y53" s="541"/>
    </row>
    <row r="54" spans="1:25" s="542" customFormat="1" ht="12" customHeight="1">
      <c r="A54" s="540"/>
      <c r="B54" s="600"/>
      <c r="C54" s="600"/>
      <c r="D54" s="600"/>
      <c r="E54" s="306"/>
      <c r="F54" s="601"/>
      <c r="G54" s="602"/>
      <c r="H54" s="603"/>
      <c r="I54" s="602"/>
      <c r="J54" s="604"/>
      <c r="K54" s="604"/>
      <c r="L54" s="604"/>
      <c r="M54" s="605"/>
      <c r="N54" s="606"/>
      <c r="O54" s="607"/>
      <c r="P54" s="608">
        <f t="shared" si="3"/>
        <v>0</v>
      </c>
      <c r="Q54" s="608"/>
      <c r="R54" s="609"/>
      <c r="S54" s="609"/>
      <c r="T54" s="609"/>
      <c r="U54" s="521"/>
      <c r="V54" s="541"/>
      <c r="W54" s="541"/>
      <c r="X54" s="541"/>
      <c r="Y54" s="541"/>
    </row>
    <row r="55" spans="1:25" s="542" customFormat="1" ht="12" customHeight="1">
      <c r="A55" s="540"/>
      <c r="B55" s="600"/>
      <c r="C55" s="600"/>
      <c r="D55" s="600"/>
      <c r="E55" s="306"/>
      <c r="F55" s="601"/>
      <c r="G55" s="602"/>
      <c r="H55" s="603"/>
      <c r="I55" s="602"/>
      <c r="J55" s="604"/>
      <c r="K55" s="604"/>
      <c r="L55" s="604"/>
      <c r="M55" s="605"/>
      <c r="N55" s="606"/>
      <c r="O55" s="607"/>
      <c r="P55" s="608">
        <f t="shared" si="3"/>
        <v>0</v>
      </c>
      <c r="Q55" s="608"/>
      <c r="R55" s="609"/>
      <c r="S55" s="609"/>
      <c r="T55" s="609"/>
      <c r="U55" s="521"/>
      <c r="V55" s="541"/>
      <c r="W55" s="541"/>
      <c r="X55" s="541"/>
      <c r="Y55" s="541"/>
    </row>
    <row r="56" spans="1:25" s="542" customFormat="1" ht="12" customHeight="1">
      <c r="A56" s="540"/>
      <c r="B56" s="600"/>
      <c r="C56" s="600"/>
      <c r="D56" s="600"/>
      <c r="E56" s="306"/>
      <c r="F56" s="601"/>
      <c r="G56" s="602"/>
      <c r="H56" s="603"/>
      <c r="I56" s="602"/>
      <c r="J56" s="604"/>
      <c r="K56" s="604"/>
      <c r="L56" s="604"/>
      <c r="M56" s="605"/>
      <c r="N56" s="606"/>
      <c r="O56" s="607"/>
      <c r="P56" s="608">
        <f t="shared" si="3"/>
        <v>0</v>
      </c>
      <c r="Q56" s="608"/>
      <c r="R56" s="609"/>
      <c r="S56" s="609"/>
      <c r="T56" s="609"/>
      <c r="U56" s="521"/>
      <c r="V56" s="541"/>
      <c r="W56" s="541"/>
      <c r="X56" s="541"/>
      <c r="Y56" s="541"/>
    </row>
    <row r="57" spans="1:25" s="542" customFormat="1" ht="12" customHeight="1">
      <c r="A57" s="540"/>
      <c r="B57" s="600"/>
      <c r="C57" s="600"/>
      <c r="D57" s="600"/>
      <c r="E57" s="306"/>
      <c r="F57" s="601"/>
      <c r="G57" s="602"/>
      <c r="H57" s="603"/>
      <c r="I57" s="602"/>
      <c r="J57" s="604"/>
      <c r="K57" s="604"/>
      <c r="L57" s="604"/>
      <c r="M57" s="605"/>
      <c r="N57" s="606"/>
      <c r="O57" s="607"/>
      <c r="P57" s="608">
        <f t="shared" si="3"/>
        <v>0</v>
      </c>
      <c r="Q57" s="608"/>
      <c r="R57" s="609"/>
      <c r="S57" s="609"/>
      <c r="T57" s="609"/>
      <c r="U57" s="521"/>
      <c r="V57" s="541"/>
      <c r="W57" s="541"/>
      <c r="X57" s="541"/>
      <c r="Y57" s="541"/>
    </row>
    <row r="58" spans="1:25" s="542" customFormat="1" ht="12" customHeight="1">
      <c r="A58" s="540"/>
      <c r="B58" s="600"/>
      <c r="C58" s="600"/>
      <c r="D58" s="600"/>
      <c r="E58" s="306"/>
      <c r="F58" s="601"/>
      <c r="G58" s="602"/>
      <c r="H58" s="603"/>
      <c r="I58" s="602"/>
      <c r="J58" s="604"/>
      <c r="K58" s="604"/>
      <c r="L58" s="604"/>
      <c r="M58" s="605"/>
      <c r="N58" s="606"/>
      <c r="O58" s="607"/>
      <c r="P58" s="608">
        <f t="shared" si="3"/>
        <v>0</v>
      </c>
      <c r="Q58" s="608"/>
      <c r="R58" s="609"/>
      <c r="S58" s="609"/>
      <c r="T58" s="609"/>
      <c r="U58" s="521"/>
      <c r="V58" s="541"/>
      <c r="W58" s="541"/>
      <c r="X58" s="541"/>
      <c r="Y58" s="541"/>
    </row>
    <row r="59" spans="1:25" s="542" customFormat="1" ht="12" customHeight="1">
      <c r="A59" s="540"/>
      <c r="B59" s="600"/>
      <c r="C59" s="600"/>
      <c r="D59" s="600"/>
      <c r="E59" s="306"/>
      <c r="F59" s="601"/>
      <c r="G59" s="602"/>
      <c r="H59" s="603"/>
      <c r="I59" s="602"/>
      <c r="J59" s="604"/>
      <c r="K59" s="604"/>
      <c r="L59" s="604"/>
      <c r="M59" s="605"/>
      <c r="N59" s="606"/>
      <c r="O59" s="607"/>
      <c r="P59" s="608">
        <f t="shared" si="3"/>
        <v>0</v>
      </c>
      <c r="Q59" s="608"/>
      <c r="R59" s="609"/>
      <c r="S59" s="609"/>
      <c r="T59" s="609"/>
      <c r="U59" s="521"/>
      <c r="V59" s="541"/>
      <c r="W59" s="541"/>
      <c r="X59" s="541"/>
      <c r="Y59" s="541"/>
    </row>
    <row r="60" spans="1:25" s="542" customFormat="1" ht="12" customHeight="1">
      <c r="A60" s="540"/>
      <c r="B60" s="600"/>
      <c r="C60" s="600"/>
      <c r="D60" s="600"/>
      <c r="E60" s="306"/>
      <c r="F60" s="601"/>
      <c r="G60" s="602"/>
      <c r="H60" s="603"/>
      <c r="I60" s="602"/>
      <c r="J60" s="604"/>
      <c r="K60" s="604"/>
      <c r="L60" s="604"/>
      <c r="M60" s="605"/>
      <c r="N60" s="606"/>
      <c r="O60" s="607"/>
      <c r="P60" s="608">
        <f t="shared" si="3"/>
        <v>0</v>
      </c>
      <c r="Q60" s="608"/>
      <c r="R60" s="609"/>
      <c r="S60" s="609"/>
      <c r="T60" s="609"/>
      <c r="U60" s="521"/>
      <c r="V60" s="541"/>
      <c r="W60" s="541"/>
      <c r="X60" s="541"/>
      <c r="Y60" s="541"/>
    </row>
    <row r="61" spans="1:25" s="542" customFormat="1" ht="12" customHeight="1">
      <c r="A61" s="540"/>
      <c r="B61" s="600"/>
      <c r="C61" s="600"/>
      <c r="D61" s="600"/>
      <c r="E61" s="306"/>
      <c r="F61" s="601"/>
      <c r="G61" s="602"/>
      <c r="H61" s="603"/>
      <c r="I61" s="602"/>
      <c r="J61" s="604"/>
      <c r="K61" s="604"/>
      <c r="L61" s="604"/>
      <c r="M61" s="605"/>
      <c r="N61" s="606"/>
      <c r="O61" s="607"/>
      <c r="P61" s="608">
        <f t="shared" si="3"/>
        <v>0</v>
      </c>
      <c r="Q61" s="608"/>
      <c r="R61" s="609"/>
      <c r="S61" s="609"/>
      <c r="T61" s="609"/>
      <c r="U61" s="521"/>
      <c r="V61" s="541"/>
      <c r="W61" s="541"/>
      <c r="X61" s="541"/>
      <c r="Y61" s="541"/>
    </row>
    <row r="62" spans="1:25" s="542" customFormat="1" ht="12" customHeight="1">
      <c r="A62" s="540"/>
      <c r="B62" s="600"/>
      <c r="C62" s="600"/>
      <c r="D62" s="600"/>
      <c r="E62" s="306"/>
      <c r="F62" s="601"/>
      <c r="G62" s="602"/>
      <c r="H62" s="603"/>
      <c r="I62" s="602"/>
      <c r="J62" s="604"/>
      <c r="K62" s="604"/>
      <c r="L62" s="604"/>
      <c r="M62" s="605"/>
      <c r="N62" s="606"/>
      <c r="O62" s="607"/>
      <c r="P62" s="608">
        <f t="shared" si="3"/>
        <v>0</v>
      </c>
      <c r="Q62" s="608"/>
      <c r="R62" s="609"/>
      <c r="S62" s="609"/>
      <c r="T62" s="609"/>
      <c r="U62" s="521"/>
      <c r="V62" s="541"/>
      <c r="W62" s="541"/>
      <c r="X62" s="541"/>
      <c r="Y62" s="541"/>
    </row>
    <row r="63" spans="1:25" s="542" customFormat="1" ht="12" customHeight="1">
      <c r="A63" s="540"/>
      <c r="B63" s="600"/>
      <c r="C63" s="600"/>
      <c r="D63" s="600"/>
      <c r="E63" s="306"/>
      <c r="F63" s="601"/>
      <c r="G63" s="602"/>
      <c r="H63" s="603"/>
      <c r="I63" s="602"/>
      <c r="J63" s="604"/>
      <c r="K63" s="604"/>
      <c r="L63" s="604"/>
      <c r="M63" s="605"/>
      <c r="N63" s="606"/>
      <c r="O63" s="607"/>
      <c r="P63" s="608">
        <f t="shared" si="3"/>
        <v>0</v>
      </c>
      <c r="Q63" s="608"/>
      <c r="R63" s="609"/>
      <c r="S63" s="609"/>
      <c r="T63" s="609"/>
      <c r="U63" s="521"/>
      <c r="V63" s="541"/>
      <c r="W63" s="541"/>
      <c r="X63" s="541"/>
      <c r="Y63" s="541"/>
    </row>
    <row r="64" spans="1:25" s="542" customFormat="1" ht="12" customHeight="1">
      <c r="A64" s="540"/>
      <c r="B64" s="600"/>
      <c r="C64" s="600"/>
      <c r="D64" s="600"/>
      <c r="E64" s="306"/>
      <c r="F64" s="601"/>
      <c r="G64" s="602"/>
      <c r="H64" s="603"/>
      <c r="I64" s="602"/>
      <c r="J64" s="604"/>
      <c r="K64" s="604"/>
      <c r="L64" s="604"/>
      <c r="M64" s="605"/>
      <c r="N64" s="606"/>
      <c r="O64" s="607"/>
      <c r="P64" s="608">
        <f t="shared" si="3"/>
        <v>0</v>
      </c>
      <c r="Q64" s="608"/>
      <c r="R64" s="609"/>
      <c r="S64" s="609"/>
      <c r="T64" s="609"/>
      <c r="U64" s="521"/>
      <c r="V64" s="541"/>
      <c r="W64" s="541"/>
      <c r="X64" s="541"/>
      <c r="Y64" s="541"/>
    </row>
    <row r="65" spans="1:25" s="543" customFormat="1" ht="11.25" customHeight="1">
      <c r="A65" s="540"/>
      <c r="B65" s="600"/>
      <c r="C65" s="600"/>
      <c r="D65" s="600"/>
      <c r="E65" s="306"/>
      <c r="F65" s="601"/>
      <c r="G65" s="602"/>
      <c r="H65" s="603"/>
      <c r="I65" s="602"/>
      <c r="J65" s="604"/>
      <c r="K65" s="604"/>
      <c r="L65" s="604"/>
      <c r="M65" s="605"/>
      <c r="N65" s="606"/>
      <c r="O65" s="607"/>
      <c r="P65" s="608">
        <f t="shared" si="3"/>
        <v>0</v>
      </c>
      <c r="Q65" s="608"/>
      <c r="R65" s="609"/>
      <c r="S65" s="609"/>
      <c r="T65" s="609"/>
      <c r="U65" s="521"/>
      <c r="V65" s="541"/>
      <c r="W65" s="541"/>
      <c r="X65" s="541"/>
      <c r="Y65" s="541"/>
    </row>
    <row r="66" spans="1:25" s="543" customFormat="1" ht="11.25" customHeight="1">
      <c r="A66" s="540"/>
      <c r="B66" s="600"/>
      <c r="C66" s="600"/>
      <c r="D66" s="600"/>
      <c r="E66" s="306"/>
      <c r="F66" s="601"/>
      <c r="G66" s="602"/>
      <c r="H66" s="603"/>
      <c r="I66" s="602"/>
      <c r="J66" s="604"/>
      <c r="K66" s="604"/>
      <c r="L66" s="604"/>
      <c r="M66" s="605"/>
      <c r="N66" s="606"/>
      <c r="O66" s="607"/>
      <c r="P66" s="608">
        <f t="shared" si="3"/>
        <v>0</v>
      </c>
      <c r="Q66" s="608"/>
      <c r="R66" s="609"/>
      <c r="S66" s="609"/>
      <c r="T66" s="609"/>
      <c r="U66" s="521"/>
      <c r="V66" s="541"/>
      <c r="W66" s="541"/>
      <c r="X66" s="541"/>
      <c r="Y66" s="541"/>
    </row>
    <row r="67" spans="1:25" s="543" customFormat="1" ht="11.25" customHeight="1">
      <c r="A67" s="540"/>
      <c r="B67" s="600"/>
      <c r="C67" s="600"/>
      <c r="D67" s="600"/>
      <c r="E67" s="306"/>
      <c r="F67" s="601"/>
      <c r="G67" s="602"/>
      <c r="H67" s="603"/>
      <c r="I67" s="602"/>
      <c r="J67" s="604"/>
      <c r="K67" s="604"/>
      <c r="L67" s="604"/>
      <c r="M67" s="605"/>
      <c r="N67" s="606"/>
      <c r="O67" s="607"/>
      <c r="P67" s="608">
        <f t="shared" si="3"/>
        <v>0</v>
      </c>
      <c r="Q67" s="608"/>
      <c r="R67" s="609"/>
      <c r="S67" s="609"/>
      <c r="T67" s="609"/>
      <c r="U67" s="521"/>
      <c r="V67" s="541"/>
      <c r="W67" s="541"/>
      <c r="X67" s="541"/>
      <c r="Y67" s="541"/>
    </row>
    <row r="68" spans="1:25" s="543" customFormat="1" ht="11.25" customHeight="1">
      <c r="A68" s="540"/>
      <c r="B68" s="600"/>
      <c r="C68" s="600"/>
      <c r="D68" s="600"/>
      <c r="E68" s="306"/>
      <c r="F68" s="601"/>
      <c r="G68" s="602"/>
      <c r="H68" s="603"/>
      <c r="I68" s="602"/>
      <c r="J68" s="604"/>
      <c r="K68" s="604"/>
      <c r="L68" s="604"/>
      <c r="M68" s="605"/>
      <c r="N68" s="606"/>
      <c r="O68" s="607"/>
      <c r="P68" s="608">
        <f t="shared" si="3"/>
        <v>0</v>
      </c>
      <c r="Q68" s="608"/>
      <c r="R68" s="609"/>
      <c r="S68" s="609"/>
      <c r="T68" s="609"/>
      <c r="U68" s="521"/>
      <c r="V68" s="541"/>
      <c r="W68" s="541"/>
      <c r="X68" s="541"/>
      <c r="Y68" s="541"/>
    </row>
    <row r="69" spans="1:25" s="543" customFormat="1" ht="11.25" customHeight="1">
      <c r="A69" s="540"/>
      <c r="B69" s="600"/>
      <c r="C69" s="600"/>
      <c r="D69" s="600"/>
      <c r="E69" s="306"/>
      <c r="F69" s="601"/>
      <c r="G69" s="602"/>
      <c r="H69" s="603"/>
      <c r="I69" s="602"/>
      <c r="J69" s="604"/>
      <c r="K69" s="604"/>
      <c r="L69" s="604"/>
      <c r="M69" s="605"/>
      <c r="N69" s="606"/>
      <c r="O69" s="607"/>
      <c r="P69" s="608">
        <f t="shared" si="3"/>
        <v>0</v>
      </c>
      <c r="Q69" s="608"/>
      <c r="R69" s="609"/>
      <c r="S69" s="609"/>
      <c r="T69" s="609"/>
      <c r="U69" s="521"/>
      <c r="V69" s="541"/>
      <c r="W69" s="541"/>
      <c r="X69" s="541"/>
      <c r="Y69" s="541"/>
    </row>
    <row r="70" spans="1:25" s="543" customFormat="1" ht="11.25" customHeight="1">
      <c r="A70" s="540"/>
      <c r="B70" s="600"/>
      <c r="C70" s="600"/>
      <c r="D70" s="600"/>
      <c r="E70" s="306"/>
      <c r="F70" s="601"/>
      <c r="G70" s="602"/>
      <c r="H70" s="603"/>
      <c r="I70" s="602"/>
      <c r="J70" s="604"/>
      <c r="K70" s="604"/>
      <c r="L70" s="604"/>
      <c r="M70" s="605"/>
      <c r="N70" s="606"/>
      <c r="O70" s="607"/>
      <c r="P70" s="608">
        <f t="shared" si="3"/>
        <v>0</v>
      </c>
      <c r="Q70" s="608"/>
      <c r="R70" s="609"/>
      <c r="S70" s="609"/>
      <c r="T70" s="609"/>
      <c r="U70" s="521"/>
      <c r="V70" s="541"/>
      <c r="W70" s="541"/>
      <c r="X70" s="541"/>
      <c r="Y70" s="541"/>
    </row>
    <row r="71" spans="1:25" s="543" customFormat="1" ht="11.1" customHeight="1">
      <c r="A71" s="540"/>
      <c r="B71" s="600"/>
      <c r="C71" s="600"/>
      <c r="D71" s="600"/>
      <c r="E71" s="306"/>
      <c r="F71" s="601"/>
      <c r="G71" s="602"/>
      <c r="H71" s="603"/>
      <c r="I71" s="602"/>
      <c r="J71" s="604"/>
      <c r="K71" s="604"/>
      <c r="L71" s="604"/>
      <c r="M71" s="605"/>
      <c r="N71" s="606"/>
      <c r="O71" s="607"/>
      <c r="P71" s="608">
        <f t="shared" si="3"/>
        <v>0</v>
      </c>
      <c r="Q71" s="608"/>
      <c r="R71" s="609"/>
      <c r="S71" s="609"/>
      <c r="T71" s="609"/>
      <c r="U71" s="521"/>
      <c r="V71" s="541"/>
      <c r="W71" s="541"/>
      <c r="X71" s="541"/>
      <c r="Y71" s="541"/>
    </row>
    <row r="72" spans="1:25" s="543" customFormat="1" ht="11.25" customHeight="1">
      <c r="A72" s="540"/>
      <c r="B72" s="600"/>
      <c r="C72" s="600"/>
      <c r="D72" s="600"/>
      <c r="E72" s="306"/>
      <c r="F72" s="601"/>
      <c r="G72" s="602"/>
      <c r="H72" s="603"/>
      <c r="I72" s="602"/>
      <c r="J72" s="604"/>
      <c r="K72" s="604"/>
      <c r="L72" s="604"/>
      <c r="M72" s="605"/>
      <c r="N72" s="606"/>
      <c r="O72" s="607"/>
      <c r="P72" s="608">
        <f t="shared" si="3"/>
        <v>0</v>
      </c>
      <c r="Q72" s="608"/>
      <c r="R72" s="609"/>
      <c r="S72" s="609"/>
      <c r="T72" s="609"/>
      <c r="U72" s="521"/>
      <c r="V72" s="541"/>
      <c r="W72" s="541"/>
      <c r="X72" s="541"/>
      <c r="Y72" s="541"/>
    </row>
    <row r="73" spans="1:25" s="543" customFormat="1" ht="11.25" customHeight="1">
      <c r="A73" s="540"/>
      <c r="B73" s="600"/>
      <c r="C73" s="600"/>
      <c r="D73" s="600"/>
      <c r="E73" s="306"/>
      <c r="F73" s="601"/>
      <c r="G73" s="602"/>
      <c r="H73" s="603"/>
      <c r="I73" s="602"/>
      <c r="J73" s="604"/>
      <c r="K73" s="604"/>
      <c r="L73" s="604"/>
      <c r="M73" s="605"/>
      <c r="N73" s="606"/>
      <c r="O73" s="607"/>
      <c r="P73" s="608">
        <f t="shared" si="3"/>
        <v>0</v>
      </c>
      <c r="Q73" s="608"/>
      <c r="R73" s="609"/>
      <c r="S73" s="609"/>
      <c r="T73" s="609"/>
      <c r="U73" s="521"/>
      <c r="V73" s="541"/>
      <c r="W73" s="541"/>
      <c r="X73" s="541"/>
      <c r="Y73" s="541"/>
    </row>
    <row r="74" spans="1:25" s="543" customFormat="1" ht="11.25" customHeight="1">
      <c r="A74" s="540"/>
      <c r="B74" s="600"/>
      <c r="C74" s="600"/>
      <c r="D74" s="600"/>
      <c r="E74" s="306"/>
      <c r="F74" s="601"/>
      <c r="G74" s="602"/>
      <c r="H74" s="603"/>
      <c r="I74" s="602"/>
      <c r="J74" s="604"/>
      <c r="K74" s="604"/>
      <c r="L74" s="604"/>
      <c r="M74" s="605"/>
      <c r="N74" s="606"/>
      <c r="O74" s="607"/>
      <c r="P74" s="608">
        <f t="shared" si="3"/>
        <v>0</v>
      </c>
      <c r="Q74" s="608"/>
      <c r="R74" s="609"/>
      <c r="S74" s="609"/>
      <c r="T74" s="609"/>
      <c r="U74" s="521"/>
      <c r="V74" s="541"/>
      <c r="W74" s="541"/>
      <c r="X74" s="541"/>
      <c r="Y74" s="541"/>
    </row>
    <row r="75" spans="1:25" s="543" customFormat="1" ht="11.25" customHeight="1">
      <c r="A75" s="540"/>
      <c r="B75" s="600"/>
      <c r="C75" s="600"/>
      <c r="D75" s="600"/>
      <c r="E75" s="306"/>
      <c r="F75" s="601"/>
      <c r="G75" s="602"/>
      <c r="H75" s="603"/>
      <c r="I75" s="602"/>
      <c r="J75" s="604"/>
      <c r="K75" s="604"/>
      <c r="L75" s="604"/>
      <c r="M75" s="605"/>
      <c r="N75" s="606"/>
      <c r="O75" s="607"/>
      <c r="P75" s="608">
        <f t="shared" si="3"/>
        <v>0</v>
      </c>
      <c r="Q75" s="608"/>
      <c r="R75" s="609"/>
      <c r="S75" s="609"/>
      <c r="T75" s="609"/>
      <c r="U75" s="521"/>
      <c r="V75" s="541"/>
      <c r="W75" s="541"/>
      <c r="X75" s="541"/>
      <c r="Y75" s="541"/>
    </row>
    <row r="76" spans="1:25" s="543" customFormat="1" ht="11.25" customHeight="1">
      <c r="A76" s="540"/>
      <c r="B76" s="600"/>
      <c r="C76" s="600"/>
      <c r="D76" s="600"/>
      <c r="E76" s="306"/>
      <c r="F76" s="601"/>
      <c r="G76" s="602"/>
      <c r="H76" s="603"/>
      <c r="I76" s="602"/>
      <c r="J76" s="604"/>
      <c r="K76" s="604"/>
      <c r="L76" s="604"/>
      <c r="M76" s="605"/>
      <c r="N76" s="606"/>
      <c r="O76" s="607"/>
      <c r="P76" s="608">
        <f t="shared" si="3"/>
        <v>0</v>
      </c>
      <c r="Q76" s="608"/>
      <c r="R76" s="609"/>
      <c r="S76" s="609"/>
      <c r="T76" s="609"/>
      <c r="U76" s="521"/>
      <c r="V76" s="541"/>
      <c r="W76" s="541"/>
      <c r="X76" s="541"/>
      <c r="Y76" s="541"/>
    </row>
    <row r="77" spans="1:25" s="543" customFormat="1" ht="11.25" customHeight="1">
      <c r="A77" s="540"/>
      <c r="B77" s="600"/>
      <c r="C77" s="600"/>
      <c r="D77" s="600"/>
      <c r="E77" s="306"/>
      <c r="F77" s="601"/>
      <c r="G77" s="602"/>
      <c r="H77" s="603"/>
      <c r="I77" s="602"/>
      <c r="J77" s="604"/>
      <c r="K77" s="604"/>
      <c r="L77" s="604"/>
      <c r="M77" s="605"/>
      <c r="N77" s="606"/>
      <c r="O77" s="607"/>
      <c r="P77" s="608">
        <f t="shared" si="3"/>
        <v>0</v>
      </c>
      <c r="Q77" s="608"/>
      <c r="R77" s="609"/>
      <c r="S77" s="609"/>
      <c r="T77" s="609"/>
      <c r="U77" s="521"/>
      <c r="V77" s="541"/>
      <c r="W77" s="541"/>
      <c r="X77" s="541"/>
      <c r="Y77" s="541"/>
    </row>
    <row r="78" spans="1:25" s="543" customFormat="1" ht="11.25" customHeight="1">
      <c r="A78" s="540"/>
      <c r="B78" s="600"/>
      <c r="C78" s="600"/>
      <c r="D78" s="600"/>
      <c r="E78" s="306"/>
      <c r="F78" s="601"/>
      <c r="G78" s="602"/>
      <c r="H78" s="603"/>
      <c r="I78" s="602"/>
      <c r="J78" s="604"/>
      <c r="K78" s="604"/>
      <c r="L78" s="604"/>
      <c r="M78" s="605"/>
      <c r="N78" s="606"/>
      <c r="O78" s="607"/>
      <c r="P78" s="608">
        <f t="shared" si="3"/>
        <v>0</v>
      </c>
      <c r="Q78" s="608"/>
      <c r="R78" s="609"/>
      <c r="S78" s="609"/>
      <c r="T78" s="609"/>
      <c r="U78" s="521"/>
      <c r="V78" s="541"/>
      <c r="W78" s="541"/>
      <c r="X78" s="541"/>
      <c r="Y78" s="541"/>
    </row>
    <row r="79" spans="1:25" s="543" customFormat="1" ht="11.25" customHeight="1">
      <c r="A79" s="540"/>
      <c r="B79" s="600"/>
      <c r="C79" s="600"/>
      <c r="D79" s="600"/>
      <c r="E79" s="306"/>
      <c r="F79" s="601"/>
      <c r="G79" s="602"/>
      <c r="H79" s="603"/>
      <c r="I79" s="602"/>
      <c r="J79" s="604"/>
      <c r="K79" s="604"/>
      <c r="L79" s="604"/>
      <c r="M79" s="605"/>
      <c r="N79" s="606"/>
      <c r="O79" s="607"/>
      <c r="P79" s="608">
        <f t="shared" si="3"/>
        <v>0</v>
      </c>
      <c r="Q79" s="608"/>
      <c r="R79" s="609"/>
      <c r="S79" s="609"/>
      <c r="T79" s="609"/>
      <c r="U79" s="521"/>
      <c r="V79" s="541"/>
      <c r="W79" s="541"/>
      <c r="X79" s="541"/>
      <c r="Y79" s="541"/>
    </row>
    <row r="80" spans="1:25" s="543" customFormat="1" ht="11.25" customHeight="1">
      <c r="A80" s="540"/>
      <c r="B80" s="600"/>
      <c r="C80" s="600"/>
      <c r="D80" s="600"/>
      <c r="E80" s="306"/>
      <c r="F80" s="601"/>
      <c r="G80" s="602"/>
      <c r="H80" s="603"/>
      <c r="I80" s="602"/>
      <c r="J80" s="604"/>
      <c r="K80" s="604"/>
      <c r="L80" s="604"/>
      <c r="M80" s="605"/>
      <c r="N80" s="606"/>
      <c r="O80" s="607"/>
      <c r="P80" s="608">
        <f t="shared" si="3"/>
        <v>0</v>
      </c>
      <c r="Q80" s="608"/>
      <c r="R80" s="609"/>
      <c r="S80" s="609"/>
      <c r="T80" s="609"/>
      <c r="U80" s="521"/>
      <c r="V80" s="541"/>
      <c r="W80" s="541"/>
      <c r="X80" s="541"/>
      <c r="Y80" s="541"/>
    </row>
    <row r="81" spans="1:25" s="543" customFormat="1" ht="11.25" customHeight="1">
      <c r="A81" s="540"/>
      <c r="B81" s="600"/>
      <c r="C81" s="600"/>
      <c r="D81" s="600"/>
      <c r="E81" s="306"/>
      <c r="F81" s="601"/>
      <c r="G81" s="602"/>
      <c r="H81" s="603"/>
      <c r="I81" s="602"/>
      <c r="J81" s="604"/>
      <c r="K81" s="604"/>
      <c r="L81" s="604"/>
      <c r="M81" s="605"/>
      <c r="N81" s="606"/>
      <c r="O81" s="607"/>
      <c r="P81" s="608">
        <f t="shared" si="3"/>
        <v>0</v>
      </c>
      <c r="Q81" s="608"/>
      <c r="R81" s="609"/>
      <c r="S81" s="609"/>
      <c r="T81" s="609"/>
      <c r="U81" s="521"/>
      <c r="V81" s="541"/>
      <c r="W81" s="541"/>
      <c r="X81" s="541"/>
      <c r="Y81" s="541"/>
    </row>
    <row r="82" spans="1:25" s="543" customFormat="1" ht="11.25" customHeight="1">
      <c r="A82" s="540"/>
      <c r="B82" s="600"/>
      <c r="C82" s="600"/>
      <c r="D82" s="600"/>
      <c r="E82" s="306"/>
      <c r="F82" s="601"/>
      <c r="G82" s="602"/>
      <c r="H82" s="603"/>
      <c r="I82" s="602"/>
      <c r="J82" s="604"/>
      <c r="K82" s="604"/>
      <c r="L82" s="604"/>
      <c r="M82" s="605"/>
      <c r="N82" s="606"/>
      <c r="O82" s="607"/>
      <c r="P82" s="608">
        <f t="shared" si="3"/>
        <v>0</v>
      </c>
      <c r="Q82" s="608"/>
      <c r="R82" s="609"/>
      <c r="S82" s="609"/>
      <c r="T82" s="609"/>
      <c r="U82" s="521"/>
      <c r="V82" s="541"/>
      <c r="W82" s="541"/>
      <c r="X82" s="541"/>
      <c r="Y82" s="541"/>
    </row>
    <row r="83" spans="1:25" s="543" customFormat="1" ht="11.25" customHeight="1">
      <c r="A83" s="540"/>
      <c r="B83" s="600"/>
      <c r="C83" s="600"/>
      <c r="D83" s="600"/>
      <c r="E83" s="306"/>
      <c r="F83" s="601"/>
      <c r="G83" s="602"/>
      <c r="H83" s="603"/>
      <c r="I83" s="602"/>
      <c r="J83" s="604"/>
      <c r="K83" s="604"/>
      <c r="L83" s="604"/>
      <c r="M83" s="605"/>
      <c r="N83" s="606"/>
      <c r="O83" s="607"/>
      <c r="P83" s="608">
        <f t="shared" si="3"/>
        <v>0</v>
      </c>
      <c r="Q83" s="608"/>
      <c r="R83" s="609"/>
      <c r="S83" s="609"/>
      <c r="T83" s="609"/>
      <c r="U83" s="521"/>
      <c r="V83" s="541"/>
      <c r="W83" s="541"/>
      <c r="X83" s="541"/>
      <c r="Y83" s="541"/>
    </row>
    <row r="84" spans="1:25" s="543" customFormat="1" ht="11.25" customHeight="1">
      <c r="A84" s="540"/>
      <c r="B84" s="600"/>
      <c r="C84" s="600"/>
      <c r="D84" s="600"/>
      <c r="E84" s="306"/>
      <c r="F84" s="601"/>
      <c r="G84" s="602"/>
      <c r="H84" s="603"/>
      <c r="I84" s="602"/>
      <c r="J84" s="604"/>
      <c r="K84" s="604"/>
      <c r="L84" s="604"/>
      <c r="M84" s="605"/>
      <c r="N84" s="606"/>
      <c r="O84" s="607"/>
      <c r="P84" s="608">
        <f t="shared" si="3"/>
        <v>0</v>
      </c>
      <c r="Q84" s="608"/>
      <c r="R84" s="609"/>
      <c r="S84" s="609"/>
      <c r="T84" s="609"/>
      <c r="U84" s="521"/>
      <c r="V84" s="541"/>
      <c r="W84" s="541"/>
      <c r="X84" s="541"/>
      <c r="Y84" s="541"/>
    </row>
    <row r="85" spans="1:25" s="543" customFormat="1" ht="11.25" customHeight="1">
      <c r="A85" s="540"/>
      <c r="B85" s="600"/>
      <c r="C85" s="600"/>
      <c r="D85" s="600"/>
      <c r="E85" s="306"/>
      <c r="F85" s="601"/>
      <c r="G85" s="602"/>
      <c r="H85" s="603"/>
      <c r="I85" s="602"/>
      <c r="J85" s="604"/>
      <c r="K85" s="604"/>
      <c r="L85" s="604"/>
      <c r="M85" s="605"/>
      <c r="N85" s="606"/>
      <c r="O85" s="607"/>
      <c r="P85" s="608">
        <f t="shared" si="3"/>
        <v>0</v>
      </c>
      <c r="Q85" s="608"/>
      <c r="R85" s="609"/>
      <c r="S85" s="609"/>
      <c r="T85" s="609"/>
      <c r="U85" s="521"/>
      <c r="V85" s="541"/>
      <c r="W85" s="541"/>
      <c r="X85" s="541"/>
      <c r="Y85" s="541"/>
    </row>
    <row r="86" spans="1:25" s="543" customFormat="1" ht="11.25" customHeight="1">
      <c r="A86" s="540"/>
      <c r="B86" s="600"/>
      <c r="C86" s="600"/>
      <c r="D86" s="600"/>
      <c r="E86" s="306"/>
      <c r="F86" s="601"/>
      <c r="G86" s="602"/>
      <c r="H86" s="603"/>
      <c r="I86" s="602"/>
      <c r="J86" s="604"/>
      <c r="K86" s="604"/>
      <c r="L86" s="604"/>
      <c r="M86" s="605"/>
      <c r="N86" s="606"/>
      <c r="O86" s="607"/>
      <c r="P86" s="608">
        <f t="shared" si="3"/>
        <v>0</v>
      </c>
      <c r="Q86" s="608"/>
      <c r="R86" s="609"/>
      <c r="S86" s="609"/>
      <c r="T86" s="609"/>
      <c r="U86" s="521"/>
      <c r="V86" s="541"/>
      <c r="W86" s="541"/>
      <c r="X86" s="541"/>
      <c r="Y86" s="541"/>
    </row>
    <row r="87" spans="1:25" s="543" customFormat="1" ht="11.25" customHeight="1">
      <c r="A87" s="540"/>
      <c r="B87" s="600"/>
      <c r="C87" s="600"/>
      <c r="D87" s="600"/>
      <c r="E87" s="306"/>
      <c r="F87" s="601"/>
      <c r="G87" s="602"/>
      <c r="H87" s="603"/>
      <c r="I87" s="602"/>
      <c r="J87" s="604"/>
      <c r="K87" s="604"/>
      <c r="L87" s="604"/>
      <c r="M87" s="605"/>
      <c r="N87" s="606"/>
      <c r="O87" s="607"/>
      <c r="P87" s="608">
        <f t="shared" ref="P87:P150" si="4">P86+J87-M87</f>
        <v>0</v>
      </c>
      <c r="Q87" s="608"/>
      <c r="R87" s="609"/>
      <c r="S87" s="609"/>
      <c r="T87" s="609"/>
      <c r="U87" s="521"/>
      <c r="V87" s="541"/>
      <c r="W87" s="541"/>
      <c r="X87" s="541"/>
      <c r="Y87" s="541"/>
    </row>
    <row r="88" spans="1:25" s="543" customFormat="1" ht="11.25" customHeight="1">
      <c r="A88" s="540"/>
      <c r="B88" s="600"/>
      <c r="C88" s="600"/>
      <c r="D88" s="600"/>
      <c r="E88" s="306"/>
      <c r="F88" s="601"/>
      <c r="G88" s="602"/>
      <c r="H88" s="603"/>
      <c r="I88" s="602"/>
      <c r="J88" s="604"/>
      <c r="K88" s="604"/>
      <c r="L88" s="604"/>
      <c r="M88" s="605"/>
      <c r="N88" s="606"/>
      <c r="O88" s="607"/>
      <c r="P88" s="608">
        <f t="shared" si="4"/>
        <v>0</v>
      </c>
      <c r="Q88" s="608"/>
      <c r="R88" s="609"/>
      <c r="S88" s="609"/>
      <c r="T88" s="609"/>
      <c r="U88" s="521"/>
      <c r="V88" s="541"/>
      <c r="W88" s="541"/>
      <c r="X88" s="541"/>
      <c r="Y88" s="541"/>
    </row>
    <row r="89" spans="1:25" s="543" customFormat="1" ht="11.25" customHeight="1">
      <c r="A89" s="540"/>
      <c r="B89" s="600"/>
      <c r="C89" s="600"/>
      <c r="D89" s="600"/>
      <c r="E89" s="306"/>
      <c r="F89" s="601"/>
      <c r="G89" s="602"/>
      <c r="H89" s="603"/>
      <c r="I89" s="602"/>
      <c r="J89" s="604"/>
      <c r="K89" s="604"/>
      <c r="L89" s="604"/>
      <c r="M89" s="605"/>
      <c r="N89" s="606"/>
      <c r="O89" s="607"/>
      <c r="P89" s="608">
        <f t="shared" si="4"/>
        <v>0</v>
      </c>
      <c r="Q89" s="608"/>
      <c r="R89" s="609"/>
      <c r="S89" s="609"/>
      <c r="T89" s="609"/>
      <c r="U89" s="521"/>
      <c r="V89" s="541"/>
      <c r="W89" s="541"/>
      <c r="X89" s="541"/>
      <c r="Y89" s="541"/>
    </row>
    <row r="90" spans="1:25" s="543" customFormat="1" ht="11.25" customHeight="1">
      <c r="A90" s="540"/>
      <c r="B90" s="600"/>
      <c r="C90" s="600"/>
      <c r="D90" s="600"/>
      <c r="E90" s="306"/>
      <c r="F90" s="601"/>
      <c r="G90" s="602"/>
      <c r="H90" s="603"/>
      <c r="I90" s="602"/>
      <c r="J90" s="604"/>
      <c r="K90" s="604"/>
      <c r="L90" s="604"/>
      <c r="M90" s="605"/>
      <c r="N90" s="606"/>
      <c r="O90" s="607"/>
      <c r="P90" s="608">
        <f t="shared" si="4"/>
        <v>0</v>
      </c>
      <c r="Q90" s="608"/>
      <c r="R90" s="609"/>
      <c r="S90" s="609"/>
      <c r="T90" s="609"/>
      <c r="U90" s="521"/>
      <c r="V90" s="541"/>
      <c r="W90" s="541"/>
      <c r="X90" s="541"/>
      <c r="Y90" s="541"/>
    </row>
    <row r="91" spans="1:25" s="543" customFormat="1" ht="11.25" customHeight="1">
      <c r="A91" s="540"/>
      <c r="B91" s="600"/>
      <c r="C91" s="600"/>
      <c r="D91" s="600"/>
      <c r="E91" s="306"/>
      <c r="F91" s="601"/>
      <c r="G91" s="602"/>
      <c r="H91" s="603"/>
      <c r="I91" s="602"/>
      <c r="J91" s="604"/>
      <c r="K91" s="604"/>
      <c r="L91" s="604"/>
      <c r="M91" s="605"/>
      <c r="N91" s="606"/>
      <c r="O91" s="607"/>
      <c r="P91" s="608">
        <f t="shared" si="4"/>
        <v>0</v>
      </c>
      <c r="Q91" s="608"/>
      <c r="R91" s="609"/>
      <c r="S91" s="609"/>
      <c r="T91" s="609"/>
      <c r="U91" s="521"/>
      <c r="V91" s="541"/>
      <c r="W91" s="541"/>
      <c r="X91" s="541"/>
      <c r="Y91" s="541"/>
    </row>
    <row r="92" spans="1:25" s="543" customFormat="1" ht="11.25" customHeight="1">
      <c r="A92" s="540"/>
      <c r="B92" s="600"/>
      <c r="C92" s="600"/>
      <c r="D92" s="600"/>
      <c r="E92" s="306"/>
      <c r="F92" s="601"/>
      <c r="G92" s="602"/>
      <c r="H92" s="603"/>
      <c r="I92" s="602"/>
      <c r="J92" s="604"/>
      <c r="K92" s="604"/>
      <c r="L92" s="604"/>
      <c r="M92" s="605"/>
      <c r="N92" s="606"/>
      <c r="O92" s="607"/>
      <c r="P92" s="608">
        <f t="shared" si="4"/>
        <v>0</v>
      </c>
      <c r="Q92" s="608"/>
      <c r="R92" s="609"/>
      <c r="S92" s="609"/>
      <c r="T92" s="609"/>
      <c r="U92" s="521"/>
      <c r="V92" s="541"/>
      <c r="W92" s="541"/>
      <c r="X92" s="541"/>
      <c r="Y92" s="541"/>
    </row>
    <row r="93" spans="1:25" s="543" customFormat="1" ht="11.25" customHeight="1">
      <c r="A93" s="540"/>
      <c r="B93" s="600"/>
      <c r="C93" s="600"/>
      <c r="D93" s="600"/>
      <c r="E93" s="306"/>
      <c r="F93" s="601"/>
      <c r="G93" s="602"/>
      <c r="H93" s="603"/>
      <c r="I93" s="602"/>
      <c r="J93" s="604"/>
      <c r="K93" s="604"/>
      <c r="L93" s="604"/>
      <c r="M93" s="605"/>
      <c r="N93" s="606"/>
      <c r="O93" s="607"/>
      <c r="P93" s="608">
        <f t="shared" si="4"/>
        <v>0</v>
      </c>
      <c r="Q93" s="608"/>
      <c r="R93" s="609"/>
      <c r="S93" s="609"/>
      <c r="T93" s="609"/>
      <c r="U93" s="521"/>
      <c r="V93" s="541"/>
      <c r="W93" s="541"/>
      <c r="X93" s="541"/>
      <c r="Y93" s="541"/>
    </row>
    <row r="94" spans="1:25" s="543" customFormat="1" ht="11.25" customHeight="1">
      <c r="A94" s="540"/>
      <c r="B94" s="600"/>
      <c r="C94" s="600"/>
      <c r="D94" s="600"/>
      <c r="E94" s="306"/>
      <c r="F94" s="601"/>
      <c r="G94" s="602"/>
      <c r="H94" s="603"/>
      <c r="I94" s="602"/>
      <c r="J94" s="604"/>
      <c r="K94" s="604"/>
      <c r="L94" s="604"/>
      <c r="M94" s="605"/>
      <c r="N94" s="606"/>
      <c r="O94" s="607"/>
      <c r="P94" s="608">
        <f t="shared" si="4"/>
        <v>0</v>
      </c>
      <c r="Q94" s="608"/>
      <c r="R94" s="609"/>
      <c r="S94" s="609"/>
      <c r="T94" s="609"/>
      <c r="U94" s="521"/>
      <c r="V94" s="541"/>
      <c r="W94" s="541"/>
      <c r="X94" s="541"/>
      <c r="Y94" s="541"/>
    </row>
    <row r="95" spans="1:25" s="543" customFormat="1" ht="11.25" customHeight="1">
      <c r="A95" s="540"/>
      <c r="B95" s="600"/>
      <c r="C95" s="600"/>
      <c r="D95" s="600"/>
      <c r="E95" s="306"/>
      <c r="F95" s="601"/>
      <c r="G95" s="602"/>
      <c r="H95" s="603"/>
      <c r="I95" s="602"/>
      <c r="J95" s="604"/>
      <c r="K95" s="604"/>
      <c r="L95" s="604"/>
      <c r="M95" s="605"/>
      <c r="N95" s="606"/>
      <c r="O95" s="607"/>
      <c r="P95" s="608">
        <f t="shared" si="4"/>
        <v>0</v>
      </c>
      <c r="Q95" s="608"/>
      <c r="R95" s="609"/>
      <c r="S95" s="609"/>
      <c r="T95" s="609"/>
      <c r="U95" s="521"/>
      <c r="V95" s="541"/>
      <c r="W95" s="541"/>
      <c r="X95" s="541"/>
      <c r="Y95" s="541"/>
    </row>
    <row r="96" spans="1:25" s="543" customFormat="1" ht="11.25" customHeight="1">
      <c r="A96" s="540"/>
      <c r="B96" s="600"/>
      <c r="C96" s="600"/>
      <c r="D96" s="600"/>
      <c r="E96" s="306"/>
      <c r="F96" s="601"/>
      <c r="G96" s="602"/>
      <c r="H96" s="603"/>
      <c r="I96" s="602"/>
      <c r="J96" s="604"/>
      <c r="K96" s="604"/>
      <c r="L96" s="604"/>
      <c r="M96" s="605"/>
      <c r="N96" s="606"/>
      <c r="O96" s="607"/>
      <c r="P96" s="608">
        <f t="shared" si="4"/>
        <v>0</v>
      </c>
      <c r="Q96" s="608"/>
      <c r="R96" s="609"/>
      <c r="S96" s="609"/>
      <c r="T96" s="609"/>
      <c r="U96" s="521"/>
      <c r="V96" s="541"/>
      <c r="W96" s="541"/>
      <c r="X96" s="541"/>
      <c r="Y96" s="541"/>
    </row>
    <row r="97" spans="1:25" s="543" customFormat="1" ht="11.25" customHeight="1">
      <c r="A97" s="540"/>
      <c r="B97" s="600"/>
      <c r="C97" s="600"/>
      <c r="D97" s="600"/>
      <c r="E97" s="306"/>
      <c r="F97" s="601"/>
      <c r="G97" s="602"/>
      <c r="H97" s="603"/>
      <c r="I97" s="602"/>
      <c r="J97" s="604"/>
      <c r="K97" s="604"/>
      <c r="L97" s="604"/>
      <c r="M97" s="605"/>
      <c r="N97" s="606"/>
      <c r="O97" s="607"/>
      <c r="P97" s="608">
        <f t="shared" si="4"/>
        <v>0</v>
      </c>
      <c r="Q97" s="608"/>
      <c r="R97" s="609"/>
      <c r="S97" s="609"/>
      <c r="T97" s="609"/>
      <c r="U97" s="521"/>
      <c r="V97" s="541"/>
      <c r="W97" s="541"/>
      <c r="X97" s="541"/>
      <c r="Y97" s="541"/>
    </row>
    <row r="98" spans="1:25" s="543" customFormat="1" ht="11.25" customHeight="1">
      <c r="A98" s="540"/>
      <c r="B98" s="600"/>
      <c r="C98" s="600"/>
      <c r="D98" s="600"/>
      <c r="E98" s="306"/>
      <c r="F98" s="601"/>
      <c r="G98" s="602"/>
      <c r="H98" s="603"/>
      <c r="I98" s="602"/>
      <c r="J98" s="604"/>
      <c r="K98" s="604"/>
      <c r="L98" s="604"/>
      <c r="M98" s="605"/>
      <c r="N98" s="606"/>
      <c r="O98" s="607"/>
      <c r="P98" s="608">
        <f t="shared" si="4"/>
        <v>0</v>
      </c>
      <c r="Q98" s="608"/>
      <c r="R98" s="609"/>
      <c r="S98" s="609"/>
      <c r="T98" s="609"/>
      <c r="U98" s="521"/>
      <c r="V98" s="541"/>
      <c r="W98" s="541"/>
      <c r="X98" s="541"/>
      <c r="Y98" s="541"/>
    </row>
    <row r="99" spans="1:25" s="543" customFormat="1" ht="11.25" customHeight="1">
      <c r="A99" s="540"/>
      <c r="B99" s="600"/>
      <c r="C99" s="600"/>
      <c r="D99" s="600"/>
      <c r="E99" s="306"/>
      <c r="F99" s="601"/>
      <c r="G99" s="602"/>
      <c r="H99" s="603"/>
      <c r="I99" s="602"/>
      <c r="J99" s="604"/>
      <c r="K99" s="604"/>
      <c r="L99" s="604"/>
      <c r="M99" s="605"/>
      <c r="N99" s="606"/>
      <c r="O99" s="607"/>
      <c r="P99" s="608">
        <f t="shared" si="4"/>
        <v>0</v>
      </c>
      <c r="Q99" s="608"/>
      <c r="R99" s="609"/>
      <c r="S99" s="609"/>
      <c r="T99" s="609"/>
      <c r="U99" s="521"/>
      <c r="V99" s="541"/>
      <c r="W99" s="541"/>
      <c r="X99" s="541"/>
      <c r="Y99" s="541"/>
    </row>
    <row r="100" spans="1:25" s="543" customFormat="1" ht="11.25" customHeight="1">
      <c r="A100" s="540"/>
      <c r="B100" s="600"/>
      <c r="C100" s="600"/>
      <c r="D100" s="600"/>
      <c r="E100" s="306"/>
      <c r="F100" s="601"/>
      <c r="G100" s="602"/>
      <c r="H100" s="603"/>
      <c r="I100" s="602"/>
      <c r="J100" s="604"/>
      <c r="K100" s="604"/>
      <c r="L100" s="604"/>
      <c r="M100" s="605"/>
      <c r="N100" s="606"/>
      <c r="O100" s="607"/>
      <c r="P100" s="608">
        <f t="shared" si="4"/>
        <v>0</v>
      </c>
      <c r="Q100" s="608"/>
      <c r="R100" s="609"/>
      <c r="S100" s="609"/>
      <c r="T100" s="609"/>
      <c r="U100" s="521"/>
      <c r="V100" s="541"/>
      <c r="W100" s="541"/>
      <c r="X100" s="541"/>
      <c r="Y100" s="541"/>
    </row>
    <row r="101" spans="1:25" s="543" customFormat="1" ht="11.25" customHeight="1">
      <c r="A101" s="540"/>
      <c r="B101" s="600"/>
      <c r="C101" s="600"/>
      <c r="D101" s="600"/>
      <c r="E101" s="306"/>
      <c r="F101" s="601"/>
      <c r="G101" s="602"/>
      <c r="H101" s="603"/>
      <c r="I101" s="602"/>
      <c r="J101" s="604"/>
      <c r="K101" s="604"/>
      <c r="L101" s="604"/>
      <c r="M101" s="605"/>
      <c r="N101" s="606"/>
      <c r="O101" s="607"/>
      <c r="P101" s="608">
        <f t="shared" si="4"/>
        <v>0</v>
      </c>
      <c r="Q101" s="608"/>
      <c r="R101" s="609"/>
      <c r="S101" s="609"/>
      <c r="T101" s="609"/>
      <c r="U101" s="521"/>
      <c r="V101" s="541"/>
      <c r="W101" s="541"/>
      <c r="X101" s="541"/>
      <c r="Y101" s="541"/>
    </row>
    <row r="102" spans="1:25" s="543" customFormat="1" ht="11.25" customHeight="1">
      <c r="A102" s="540"/>
      <c r="B102" s="600"/>
      <c r="C102" s="600"/>
      <c r="D102" s="600"/>
      <c r="E102" s="306"/>
      <c r="F102" s="601"/>
      <c r="G102" s="602"/>
      <c r="H102" s="603"/>
      <c r="I102" s="602"/>
      <c r="J102" s="604"/>
      <c r="K102" s="604"/>
      <c r="L102" s="604"/>
      <c r="M102" s="605"/>
      <c r="N102" s="606"/>
      <c r="O102" s="607"/>
      <c r="P102" s="608">
        <f t="shared" si="4"/>
        <v>0</v>
      </c>
      <c r="Q102" s="608"/>
      <c r="R102" s="609"/>
      <c r="S102" s="609"/>
      <c r="T102" s="609"/>
      <c r="U102" s="521"/>
      <c r="V102" s="541"/>
      <c r="W102" s="541"/>
      <c r="X102" s="541"/>
      <c r="Y102" s="541"/>
    </row>
    <row r="103" spans="1:25" s="543" customFormat="1" ht="11.25" customHeight="1">
      <c r="A103" s="540"/>
      <c r="B103" s="600"/>
      <c r="C103" s="600"/>
      <c r="D103" s="600"/>
      <c r="E103" s="306"/>
      <c r="F103" s="601"/>
      <c r="G103" s="602"/>
      <c r="H103" s="603"/>
      <c r="I103" s="602"/>
      <c r="J103" s="604"/>
      <c r="K103" s="604"/>
      <c r="L103" s="604"/>
      <c r="M103" s="605"/>
      <c r="N103" s="606"/>
      <c r="O103" s="607"/>
      <c r="P103" s="608">
        <f t="shared" si="4"/>
        <v>0</v>
      </c>
      <c r="Q103" s="608"/>
      <c r="R103" s="609"/>
      <c r="S103" s="609"/>
      <c r="T103" s="609"/>
      <c r="U103" s="521"/>
      <c r="V103" s="541"/>
      <c r="W103" s="541"/>
      <c r="X103" s="541"/>
      <c r="Y103" s="541"/>
    </row>
    <row r="104" spans="1:25" s="543" customFormat="1" ht="11.25" customHeight="1">
      <c r="A104" s="540"/>
      <c r="B104" s="600"/>
      <c r="C104" s="600"/>
      <c r="D104" s="600"/>
      <c r="E104" s="306"/>
      <c r="F104" s="601"/>
      <c r="G104" s="602"/>
      <c r="H104" s="603"/>
      <c r="I104" s="602"/>
      <c r="J104" s="604"/>
      <c r="K104" s="604"/>
      <c r="L104" s="604"/>
      <c r="M104" s="605"/>
      <c r="N104" s="606"/>
      <c r="O104" s="607"/>
      <c r="P104" s="608">
        <f t="shared" si="4"/>
        <v>0</v>
      </c>
      <c r="Q104" s="608"/>
      <c r="R104" s="609"/>
      <c r="S104" s="609"/>
      <c r="T104" s="609"/>
      <c r="U104" s="521"/>
      <c r="V104" s="541"/>
      <c r="W104" s="541"/>
      <c r="X104" s="541"/>
      <c r="Y104" s="541"/>
    </row>
    <row r="105" spans="1:25" s="543" customFormat="1" ht="11.25" customHeight="1">
      <c r="A105" s="540"/>
      <c r="B105" s="600"/>
      <c r="C105" s="600"/>
      <c r="D105" s="600"/>
      <c r="E105" s="306"/>
      <c r="F105" s="601"/>
      <c r="G105" s="602"/>
      <c r="H105" s="603"/>
      <c r="I105" s="602"/>
      <c r="J105" s="604"/>
      <c r="K105" s="604"/>
      <c r="L105" s="604"/>
      <c r="M105" s="605"/>
      <c r="N105" s="606"/>
      <c r="O105" s="607"/>
      <c r="P105" s="608">
        <f t="shared" si="4"/>
        <v>0</v>
      </c>
      <c r="Q105" s="608"/>
      <c r="R105" s="609"/>
      <c r="S105" s="609"/>
      <c r="T105" s="609"/>
      <c r="U105" s="521"/>
      <c r="V105" s="541"/>
      <c r="W105" s="541"/>
      <c r="X105" s="541"/>
      <c r="Y105" s="541"/>
    </row>
    <row r="106" spans="1:25" s="543" customFormat="1" ht="11.25" customHeight="1">
      <c r="A106" s="540"/>
      <c r="B106" s="600"/>
      <c r="C106" s="600"/>
      <c r="D106" s="600"/>
      <c r="E106" s="306"/>
      <c r="F106" s="601"/>
      <c r="G106" s="602"/>
      <c r="H106" s="603"/>
      <c r="I106" s="602"/>
      <c r="J106" s="604"/>
      <c r="K106" s="604"/>
      <c r="L106" s="604"/>
      <c r="M106" s="605"/>
      <c r="N106" s="606"/>
      <c r="O106" s="607"/>
      <c r="P106" s="608">
        <f t="shared" si="4"/>
        <v>0</v>
      </c>
      <c r="Q106" s="608"/>
      <c r="R106" s="609"/>
      <c r="S106" s="609"/>
      <c r="T106" s="609"/>
      <c r="U106" s="521"/>
      <c r="V106" s="541"/>
      <c r="W106" s="541"/>
      <c r="X106" s="541"/>
      <c r="Y106" s="541"/>
    </row>
    <row r="107" spans="1:25" s="542" customFormat="1" ht="12" customHeight="1">
      <c r="A107" s="540"/>
      <c r="B107" s="600"/>
      <c r="C107" s="600"/>
      <c r="D107" s="600"/>
      <c r="E107" s="306"/>
      <c r="F107" s="601"/>
      <c r="G107" s="602"/>
      <c r="H107" s="603"/>
      <c r="I107" s="602"/>
      <c r="J107" s="604"/>
      <c r="K107" s="604"/>
      <c r="L107" s="604"/>
      <c r="M107" s="605"/>
      <c r="N107" s="606"/>
      <c r="O107" s="607"/>
      <c r="P107" s="608">
        <f t="shared" si="4"/>
        <v>0</v>
      </c>
      <c r="Q107" s="608"/>
      <c r="R107" s="609"/>
      <c r="S107" s="609"/>
      <c r="T107" s="609"/>
      <c r="U107" s="521"/>
      <c r="V107" s="541"/>
      <c r="W107" s="541"/>
      <c r="X107" s="541"/>
      <c r="Y107" s="541"/>
    </row>
    <row r="108" spans="1:25" s="537" customFormat="1" ht="12" customHeight="1">
      <c r="A108" s="441"/>
      <c r="B108" s="600"/>
      <c r="C108" s="600"/>
      <c r="D108" s="600"/>
      <c r="E108" s="306"/>
      <c r="F108" s="601"/>
      <c r="G108" s="602"/>
      <c r="H108" s="603"/>
      <c r="I108" s="602"/>
      <c r="J108" s="604"/>
      <c r="K108" s="604"/>
      <c r="L108" s="604"/>
      <c r="M108" s="605"/>
      <c r="N108" s="606"/>
      <c r="O108" s="607"/>
      <c r="P108" s="608">
        <f t="shared" si="4"/>
        <v>0</v>
      </c>
      <c r="Q108" s="608"/>
      <c r="R108" s="609"/>
      <c r="S108" s="609"/>
      <c r="T108" s="609"/>
      <c r="U108" s="521"/>
      <c r="V108" s="440"/>
      <c r="W108" s="440"/>
      <c r="X108" s="440"/>
      <c r="Y108" s="440"/>
    </row>
    <row r="109" spans="1:25" s="543" customFormat="1" ht="11.25" customHeight="1">
      <c r="A109" s="540"/>
      <c r="B109" s="600"/>
      <c r="C109" s="600"/>
      <c r="D109" s="600"/>
      <c r="E109" s="306"/>
      <c r="F109" s="601"/>
      <c r="G109" s="602"/>
      <c r="H109" s="603"/>
      <c r="I109" s="602"/>
      <c r="J109" s="604"/>
      <c r="K109" s="604"/>
      <c r="L109" s="604"/>
      <c r="M109" s="605"/>
      <c r="N109" s="606"/>
      <c r="O109" s="607"/>
      <c r="P109" s="608">
        <f t="shared" si="4"/>
        <v>0</v>
      </c>
      <c r="Q109" s="608"/>
      <c r="R109" s="609"/>
      <c r="S109" s="609"/>
      <c r="T109" s="609"/>
      <c r="U109" s="521"/>
      <c r="V109" s="541"/>
      <c r="W109" s="541"/>
      <c r="X109" s="541"/>
      <c r="Y109" s="541"/>
    </row>
    <row r="110" spans="1:25" s="543" customFormat="1" ht="11.25" customHeight="1">
      <c r="A110" s="540"/>
      <c r="B110" s="600"/>
      <c r="C110" s="600"/>
      <c r="D110" s="600"/>
      <c r="E110" s="306"/>
      <c r="F110" s="601"/>
      <c r="G110" s="602"/>
      <c r="H110" s="603"/>
      <c r="I110" s="602"/>
      <c r="J110" s="604"/>
      <c r="K110" s="604"/>
      <c r="L110" s="604"/>
      <c r="M110" s="605"/>
      <c r="N110" s="606"/>
      <c r="O110" s="607"/>
      <c r="P110" s="608">
        <f t="shared" si="4"/>
        <v>0</v>
      </c>
      <c r="Q110" s="608"/>
      <c r="R110" s="609"/>
      <c r="S110" s="609"/>
      <c r="T110" s="609"/>
      <c r="U110" s="521"/>
      <c r="V110" s="541"/>
      <c r="W110" s="541"/>
      <c r="X110" s="541"/>
      <c r="Y110" s="541"/>
    </row>
    <row r="111" spans="1:25" s="543" customFormat="1" ht="11.25" customHeight="1">
      <c r="A111" s="540"/>
      <c r="B111" s="600"/>
      <c r="C111" s="600"/>
      <c r="D111" s="600"/>
      <c r="E111" s="306"/>
      <c r="F111" s="601"/>
      <c r="G111" s="602"/>
      <c r="H111" s="603"/>
      <c r="I111" s="602"/>
      <c r="J111" s="604"/>
      <c r="K111" s="604"/>
      <c r="L111" s="604"/>
      <c r="M111" s="605"/>
      <c r="N111" s="606"/>
      <c r="O111" s="607"/>
      <c r="P111" s="608">
        <f t="shared" si="4"/>
        <v>0</v>
      </c>
      <c r="Q111" s="608"/>
      <c r="R111" s="609"/>
      <c r="S111" s="609"/>
      <c r="T111" s="609"/>
      <c r="U111" s="521"/>
      <c r="V111" s="541"/>
      <c r="W111" s="541"/>
      <c r="X111" s="541"/>
      <c r="Y111" s="541"/>
    </row>
    <row r="112" spans="1:25" s="543" customFormat="1" ht="11.25" customHeight="1">
      <c r="A112" s="540"/>
      <c r="B112" s="600"/>
      <c r="C112" s="600"/>
      <c r="D112" s="600"/>
      <c r="E112" s="306"/>
      <c r="F112" s="601"/>
      <c r="G112" s="602"/>
      <c r="H112" s="603"/>
      <c r="I112" s="602"/>
      <c r="J112" s="604"/>
      <c r="K112" s="604"/>
      <c r="L112" s="604"/>
      <c r="M112" s="605"/>
      <c r="N112" s="606"/>
      <c r="O112" s="607"/>
      <c r="P112" s="608">
        <f t="shared" si="4"/>
        <v>0</v>
      </c>
      <c r="Q112" s="608"/>
      <c r="R112" s="609"/>
      <c r="S112" s="609"/>
      <c r="T112" s="609"/>
      <c r="U112" s="521"/>
      <c r="V112" s="541"/>
      <c r="W112" s="541"/>
      <c r="X112" s="541"/>
      <c r="Y112" s="541"/>
    </row>
    <row r="113" spans="1:25" s="543" customFormat="1" ht="11.25" customHeight="1">
      <c r="A113" s="540"/>
      <c r="B113" s="600"/>
      <c r="C113" s="600"/>
      <c r="D113" s="600"/>
      <c r="E113" s="306"/>
      <c r="F113" s="601"/>
      <c r="G113" s="602"/>
      <c r="H113" s="603"/>
      <c r="I113" s="602"/>
      <c r="J113" s="604"/>
      <c r="K113" s="604"/>
      <c r="L113" s="604"/>
      <c r="M113" s="605"/>
      <c r="N113" s="606"/>
      <c r="O113" s="607"/>
      <c r="P113" s="608">
        <f t="shared" si="4"/>
        <v>0</v>
      </c>
      <c r="Q113" s="608"/>
      <c r="R113" s="609"/>
      <c r="S113" s="609"/>
      <c r="T113" s="609"/>
      <c r="U113" s="521"/>
      <c r="V113" s="541"/>
      <c r="W113" s="541"/>
      <c r="X113" s="541"/>
      <c r="Y113" s="541"/>
    </row>
    <row r="114" spans="1:25" s="543" customFormat="1" ht="11.25" customHeight="1">
      <c r="A114" s="540"/>
      <c r="B114" s="600"/>
      <c r="C114" s="600"/>
      <c r="D114" s="600"/>
      <c r="E114" s="306"/>
      <c r="F114" s="601"/>
      <c r="G114" s="602"/>
      <c r="H114" s="603"/>
      <c r="I114" s="602"/>
      <c r="J114" s="604"/>
      <c r="K114" s="604"/>
      <c r="L114" s="604"/>
      <c r="M114" s="605"/>
      <c r="N114" s="606"/>
      <c r="O114" s="607"/>
      <c r="P114" s="608">
        <f t="shared" si="4"/>
        <v>0</v>
      </c>
      <c r="Q114" s="608"/>
      <c r="R114" s="609"/>
      <c r="S114" s="609"/>
      <c r="T114" s="609"/>
      <c r="U114" s="521"/>
      <c r="V114" s="541"/>
      <c r="W114" s="541"/>
      <c r="X114" s="541"/>
      <c r="Y114" s="541"/>
    </row>
    <row r="115" spans="1:25" s="542" customFormat="1" ht="12" customHeight="1">
      <c r="A115" s="540"/>
      <c r="B115" s="600"/>
      <c r="C115" s="600"/>
      <c r="D115" s="600"/>
      <c r="E115" s="306"/>
      <c r="F115" s="601"/>
      <c r="G115" s="602"/>
      <c r="H115" s="603"/>
      <c r="I115" s="602"/>
      <c r="J115" s="604"/>
      <c r="K115" s="604"/>
      <c r="L115" s="604"/>
      <c r="M115" s="605"/>
      <c r="N115" s="606"/>
      <c r="O115" s="607"/>
      <c r="P115" s="608">
        <f t="shared" si="4"/>
        <v>0</v>
      </c>
      <c r="Q115" s="608"/>
      <c r="R115" s="609"/>
      <c r="S115" s="609"/>
      <c r="T115" s="609"/>
      <c r="U115" s="521"/>
      <c r="V115" s="541"/>
      <c r="W115" s="541"/>
      <c r="X115" s="541"/>
      <c r="Y115" s="541"/>
    </row>
    <row r="116" spans="1:25" s="537" customFormat="1" ht="12" customHeight="1">
      <c r="A116" s="441"/>
      <c r="B116" s="600"/>
      <c r="C116" s="600"/>
      <c r="D116" s="600"/>
      <c r="E116" s="306"/>
      <c r="F116" s="601"/>
      <c r="G116" s="602"/>
      <c r="H116" s="603"/>
      <c r="I116" s="602"/>
      <c r="J116" s="604"/>
      <c r="K116" s="604"/>
      <c r="L116" s="604"/>
      <c r="M116" s="605"/>
      <c r="N116" s="606"/>
      <c r="O116" s="607"/>
      <c r="P116" s="608">
        <f t="shared" si="4"/>
        <v>0</v>
      </c>
      <c r="Q116" s="608"/>
      <c r="R116" s="609"/>
      <c r="S116" s="609"/>
      <c r="T116" s="609"/>
      <c r="U116" s="521"/>
      <c r="V116" s="440"/>
      <c r="W116" s="440"/>
      <c r="X116" s="440"/>
      <c r="Y116" s="440"/>
    </row>
    <row r="117" spans="1:25" s="543" customFormat="1" ht="11.25" customHeight="1">
      <c r="A117" s="540"/>
      <c r="B117" s="600"/>
      <c r="C117" s="600"/>
      <c r="D117" s="600"/>
      <c r="E117" s="306"/>
      <c r="F117" s="601"/>
      <c r="G117" s="602"/>
      <c r="H117" s="603"/>
      <c r="I117" s="602"/>
      <c r="J117" s="604"/>
      <c r="K117" s="604"/>
      <c r="L117" s="604"/>
      <c r="M117" s="605"/>
      <c r="N117" s="606"/>
      <c r="O117" s="607"/>
      <c r="P117" s="608">
        <f t="shared" si="4"/>
        <v>0</v>
      </c>
      <c r="Q117" s="608"/>
      <c r="R117" s="609"/>
      <c r="S117" s="609"/>
      <c r="T117" s="609"/>
      <c r="U117" s="521"/>
      <c r="V117" s="541"/>
      <c r="W117" s="541"/>
      <c r="X117" s="541"/>
      <c r="Y117" s="541"/>
    </row>
    <row r="118" spans="1:25" s="543" customFormat="1" ht="11.25" customHeight="1">
      <c r="A118" s="540"/>
      <c r="B118" s="600"/>
      <c r="C118" s="600"/>
      <c r="D118" s="600"/>
      <c r="E118" s="306"/>
      <c r="F118" s="601"/>
      <c r="G118" s="602"/>
      <c r="H118" s="603"/>
      <c r="I118" s="602"/>
      <c r="J118" s="604"/>
      <c r="K118" s="604"/>
      <c r="L118" s="604"/>
      <c r="M118" s="605"/>
      <c r="N118" s="606"/>
      <c r="O118" s="607"/>
      <c r="P118" s="608">
        <f t="shared" si="4"/>
        <v>0</v>
      </c>
      <c r="Q118" s="608"/>
      <c r="R118" s="609"/>
      <c r="S118" s="609"/>
      <c r="T118" s="609"/>
      <c r="U118" s="521"/>
      <c r="V118" s="541"/>
      <c r="W118" s="541"/>
      <c r="X118" s="541"/>
      <c r="Y118" s="541"/>
    </row>
    <row r="119" spans="1:25" s="543" customFormat="1" ht="11.25" customHeight="1">
      <c r="A119" s="540"/>
      <c r="B119" s="600"/>
      <c r="C119" s="600"/>
      <c r="D119" s="600"/>
      <c r="E119" s="306"/>
      <c r="F119" s="601"/>
      <c r="G119" s="602"/>
      <c r="H119" s="603"/>
      <c r="I119" s="602"/>
      <c r="J119" s="604"/>
      <c r="K119" s="604"/>
      <c r="L119" s="604"/>
      <c r="M119" s="605"/>
      <c r="N119" s="606"/>
      <c r="O119" s="607"/>
      <c r="P119" s="608">
        <f t="shared" si="4"/>
        <v>0</v>
      </c>
      <c r="Q119" s="608"/>
      <c r="R119" s="609"/>
      <c r="S119" s="609"/>
      <c r="T119" s="609"/>
      <c r="U119" s="521"/>
      <c r="V119" s="541"/>
      <c r="W119" s="541"/>
      <c r="X119" s="541"/>
      <c r="Y119" s="541"/>
    </row>
    <row r="120" spans="1:25" s="543" customFormat="1" ht="11.25" customHeight="1">
      <c r="A120" s="540"/>
      <c r="B120" s="600"/>
      <c r="C120" s="600"/>
      <c r="D120" s="600"/>
      <c r="E120" s="306"/>
      <c r="F120" s="601"/>
      <c r="G120" s="602"/>
      <c r="H120" s="603"/>
      <c r="I120" s="602"/>
      <c r="J120" s="604"/>
      <c r="K120" s="604"/>
      <c r="L120" s="604"/>
      <c r="M120" s="605"/>
      <c r="N120" s="606"/>
      <c r="O120" s="607"/>
      <c r="P120" s="608">
        <f t="shared" si="4"/>
        <v>0</v>
      </c>
      <c r="Q120" s="608"/>
      <c r="R120" s="609"/>
      <c r="S120" s="609"/>
      <c r="T120" s="609"/>
      <c r="U120" s="521"/>
      <c r="V120" s="541"/>
      <c r="W120" s="541"/>
      <c r="X120" s="541"/>
      <c r="Y120" s="541"/>
    </row>
    <row r="121" spans="1:25" s="543" customFormat="1" ht="11.25" customHeight="1">
      <c r="A121" s="540"/>
      <c r="B121" s="600"/>
      <c r="C121" s="600"/>
      <c r="D121" s="600"/>
      <c r="E121" s="306"/>
      <c r="F121" s="601"/>
      <c r="G121" s="602"/>
      <c r="H121" s="603"/>
      <c r="I121" s="602"/>
      <c r="J121" s="604"/>
      <c r="K121" s="604"/>
      <c r="L121" s="604"/>
      <c r="M121" s="605"/>
      <c r="N121" s="606"/>
      <c r="O121" s="607"/>
      <c r="P121" s="608">
        <f t="shared" si="4"/>
        <v>0</v>
      </c>
      <c r="Q121" s="608"/>
      <c r="R121" s="609"/>
      <c r="S121" s="609"/>
      <c r="T121" s="609"/>
      <c r="U121" s="521"/>
      <c r="V121" s="541"/>
      <c r="W121" s="541"/>
      <c r="X121" s="541"/>
      <c r="Y121" s="541"/>
    </row>
    <row r="122" spans="1:25" s="543" customFormat="1" ht="11.25" customHeight="1">
      <c r="A122" s="540"/>
      <c r="B122" s="600"/>
      <c r="C122" s="600"/>
      <c r="D122" s="600"/>
      <c r="E122" s="306"/>
      <c r="F122" s="601"/>
      <c r="G122" s="602"/>
      <c r="H122" s="603"/>
      <c r="I122" s="602"/>
      <c r="J122" s="604"/>
      <c r="K122" s="604"/>
      <c r="L122" s="604"/>
      <c r="M122" s="605"/>
      <c r="N122" s="606"/>
      <c r="O122" s="607"/>
      <c r="P122" s="608">
        <f t="shared" si="4"/>
        <v>0</v>
      </c>
      <c r="Q122" s="608"/>
      <c r="R122" s="609"/>
      <c r="S122" s="609"/>
      <c r="T122" s="609"/>
      <c r="U122" s="521"/>
      <c r="V122" s="541"/>
      <c r="W122" s="541"/>
      <c r="X122" s="541"/>
      <c r="Y122" s="541"/>
    </row>
    <row r="123" spans="1:25" s="542" customFormat="1" ht="12" customHeight="1">
      <c r="A123" s="540"/>
      <c r="B123" s="600"/>
      <c r="C123" s="600"/>
      <c r="D123" s="600"/>
      <c r="E123" s="306"/>
      <c r="F123" s="601"/>
      <c r="G123" s="602"/>
      <c r="H123" s="603"/>
      <c r="I123" s="602"/>
      <c r="J123" s="604"/>
      <c r="K123" s="604"/>
      <c r="L123" s="604"/>
      <c r="M123" s="605"/>
      <c r="N123" s="606"/>
      <c r="O123" s="607"/>
      <c r="P123" s="608">
        <f t="shared" si="4"/>
        <v>0</v>
      </c>
      <c r="Q123" s="608"/>
      <c r="R123" s="609"/>
      <c r="S123" s="609"/>
      <c r="T123" s="609"/>
      <c r="U123" s="521"/>
      <c r="V123" s="541"/>
      <c r="W123" s="541"/>
      <c r="X123" s="541"/>
      <c r="Y123" s="541"/>
    </row>
    <row r="124" spans="1:25" s="537" customFormat="1" ht="12" customHeight="1">
      <c r="A124" s="441"/>
      <c r="B124" s="600"/>
      <c r="C124" s="600"/>
      <c r="D124" s="600"/>
      <c r="E124" s="306"/>
      <c r="F124" s="601"/>
      <c r="G124" s="602"/>
      <c r="H124" s="603"/>
      <c r="I124" s="602"/>
      <c r="J124" s="604"/>
      <c r="K124" s="604"/>
      <c r="L124" s="604"/>
      <c r="M124" s="605"/>
      <c r="N124" s="606"/>
      <c r="O124" s="607"/>
      <c r="P124" s="608">
        <f t="shared" si="4"/>
        <v>0</v>
      </c>
      <c r="Q124" s="608"/>
      <c r="R124" s="609"/>
      <c r="S124" s="609"/>
      <c r="T124" s="609"/>
      <c r="U124" s="521"/>
      <c r="V124" s="440"/>
      <c r="W124" s="440"/>
      <c r="X124" s="440"/>
      <c r="Y124" s="440"/>
    </row>
    <row r="125" spans="1:25" s="543" customFormat="1" ht="11.25" customHeight="1">
      <c r="A125" s="540"/>
      <c r="B125" s="600"/>
      <c r="C125" s="600"/>
      <c r="D125" s="600"/>
      <c r="E125" s="306"/>
      <c r="F125" s="601"/>
      <c r="G125" s="602"/>
      <c r="H125" s="603"/>
      <c r="I125" s="602"/>
      <c r="J125" s="604"/>
      <c r="K125" s="604"/>
      <c r="L125" s="604"/>
      <c r="M125" s="605"/>
      <c r="N125" s="606"/>
      <c r="O125" s="607"/>
      <c r="P125" s="608">
        <f t="shared" si="4"/>
        <v>0</v>
      </c>
      <c r="Q125" s="608"/>
      <c r="R125" s="609"/>
      <c r="S125" s="609"/>
      <c r="T125" s="609"/>
      <c r="U125" s="521"/>
      <c r="V125" s="541"/>
      <c r="W125" s="541"/>
      <c r="X125" s="541"/>
      <c r="Y125" s="541"/>
    </row>
    <row r="126" spans="1:25" s="543" customFormat="1" ht="11.25" customHeight="1">
      <c r="A126" s="540"/>
      <c r="B126" s="600"/>
      <c r="C126" s="600"/>
      <c r="D126" s="600"/>
      <c r="E126" s="306"/>
      <c r="F126" s="601"/>
      <c r="G126" s="602"/>
      <c r="H126" s="603"/>
      <c r="I126" s="602"/>
      <c r="J126" s="604"/>
      <c r="K126" s="604"/>
      <c r="L126" s="604"/>
      <c r="M126" s="605"/>
      <c r="N126" s="606"/>
      <c r="O126" s="607"/>
      <c r="P126" s="608">
        <f t="shared" si="4"/>
        <v>0</v>
      </c>
      <c r="Q126" s="608"/>
      <c r="R126" s="609"/>
      <c r="S126" s="609"/>
      <c r="T126" s="609"/>
      <c r="U126" s="521"/>
      <c r="V126" s="541"/>
      <c r="W126" s="541"/>
      <c r="X126" s="541"/>
      <c r="Y126" s="541"/>
    </row>
    <row r="127" spans="1:25" s="543" customFormat="1" ht="11.25" customHeight="1">
      <c r="A127" s="540"/>
      <c r="B127" s="600"/>
      <c r="C127" s="600"/>
      <c r="D127" s="600"/>
      <c r="E127" s="306"/>
      <c r="F127" s="601"/>
      <c r="G127" s="602"/>
      <c r="H127" s="603"/>
      <c r="I127" s="602"/>
      <c r="J127" s="604"/>
      <c r="K127" s="604"/>
      <c r="L127" s="604"/>
      <c r="M127" s="605"/>
      <c r="N127" s="606"/>
      <c r="O127" s="607"/>
      <c r="P127" s="608">
        <f t="shared" si="4"/>
        <v>0</v>
      </c>
      <c r="Q127" s="608"/>
      <c r="R127" s="609"/>
      <c r="S127" s="609"/>
      <c r="T127" s="609"/>
      <c r="U127" s="521"/>
      <c r="V127" s="541"/>
      <c r="W127" s="541"/>
      <c r="X127" s="541"/>
      <c r="Y127" s="541"/>
    </row>
    <row r="128" spans="1:25" s="543" customFormat="1" ht="11.25" customHeight="1">
      <c r="A128" s="540"/>
      <c r="B128" s="600"/>
      <c r="C128" s="600"/>
      <c r="D128" s="600"/>
      <c r="E128" s="306"/>
      <c r="F128" s="601"/>
      <c r="G128" s="602"/>
      <c r="H128" s="603"/>
      <c r="I128" s="602"/>
      <c r="J128" s="604"/>
      <c r="K128" s="604"/>
      <c r="L128" s="604"/>
      <c r="M128" s="605"/>
      <c r="N128" s="606"/>
      <c r="O128" s="607"/>
      <c r="P128" s="608">
        <f t="shared" si="4"/>
        <v>0</v>
      </c>
      <c r="Q128" s="608"/>
      <c r="R128" s="609"/>
      <c r="S128" s="609"/>
      <c r="T128" s="609"/>
      <c r="U128" s="521"/>
      <c r="V128" s="541"/>
      <c r="W128" s="541"/>
      <c r="X128" s="541"/>
      <c r="Y128" s="541"/>
    </row>
    <row r="129" spans="1:25" s="543" customFormat="1" ht="11.25" customHeight="1">
      <c r="A129" s="540"/>
      <c r="B129" s="600"/>
      <c r="C129" s="600"/>
      <c r="D129" s="600"/>
      <c r="E129" s="306"/>
      <c r="F129" s="601"/>
      <c r="G129" s="602"/>
      <c r="H129" s="603"/>
      <c r="I129" s="602"/>
      <c r="J129" s="604"/>
      <c r="K129" s="604"/>
      <c r="L129" s="604"/>
      <c r="M129" s="605"/>
      <c r="N129" s="606"/>
      <c r="O129" s="607"/>
      <c r="P129" s="608">
        <f t="shared" si="4"/>
        <v>0</v>
      </c>
      <c r="Q129" s="608"/>
      <c r="R129" s="609"/>
      <c r="S129" s="609"/>
      <c r="T129" s="609"/>
      <c r="U129" s="521"/>
      <c r="V129" s="541"/>
      <c r="W129" s="541"/>
      <c r="X129" s="541"/>
      <c r="Y129" s="541"/>
    </row>
    <row r="130" spans="1:25" s="543" customFormat="1" ht="11.25" customHeight="1">
      <c r="A130" s="540"/>
      <c r="B130" s="600"/>
      <c r="C130" s="600"/>
      <c r="D130" s="600"/>
      <c r="E130" s="306"/>
      <c r="F130" s="601"/>
      <c r="G130" s="602"/>
      <c r="H130" s="603"/>
      <c r="I130" s="602"/>
      <c r="J130" s="604"/>
      <c r="K130" s="604"/>
      <c r="L130" s="604"/>
      <c r="M130" s="605"/>
      <c r="N130" s="606"/>
      <c r="O130" s="607"/>
      <c r="P130" s="608">
        <f t="shared" si="4"/>
        <v>0</v>
      </c>
      <c r="Q130" s="608"/>
      <c r="R130" s="609"/>
      <c r="S130" s="609"/>
      <c r="T130" s="609"/>
      <c r="U130" s="521"/>
      <c r="V130" s="541"/>
      <c r="W130" s="541"/>
      <c r="X130" s="541"/>
      <c r="Y130" s="541"/>
    </row>
    <row r="131" spans="1:25" s="543" customFormat="1" ht="11.25" customHeight="1">
      <c r="A131" s="540"/>
      <c r="B131" s="600"/>
      <c r="C131" s="600"/>
      <c r="D131" s="600"/>
      <c r="E131" s="306"/>
      <c r="F131" s="601"/>
      <c r="G131" s="602"/>
      <c r="H131" s="603"/>
      <c r="I131" s="602"/>
      <c r="J131" s="604"/>
      <c r="K131" s="604"/>
      <c r="L131" s="604"/>
      <c r="M131" s="605"/>
      <c r="N131" s="606"/>
      <c r="O131" s="607"/>
      <c r="P131" s="608">
        <f t="shared" si="4"/>
        <v>0</v>
      </c>
      <c r="Q131" s="608"/>
      <c r="R131" s="609"/>
      <c r="S131" s="609"/>
      <c r="T131" s="609"/>
      <c r="U131" s="521"/>
      <c r="V131" s="541"/>
      <c r="W131" s="541"/>
      <c r="X131" s="541"/>
      <c r="Y131" s="541"/>
    </row>
    <row r="132" spans="1:25" s="543" customFormat="1" ht="11.25" customHeight="1">
      <c r="A132" s="540"/>
      <c r="B132" s="600"/>
      <c r="C132" s="600"/>
      <c r="D132" s="600"/>
      <c r="E132" s="306"/>
      <c r="F132" s="601"/>
      <c r="G132" s="602"/>
      <c r="H132" s="603"/>
      <c r="I132" s="602"/>
      <c r="J132" s="604"/>
      <c r="K132" s="604"/>
      <c r="L132" s="604"/>
      <c r="M132" s="605"/>
      <c r="N132" s="606"/>
      <c r="O132" s="607"/>
      <c r="P132" s="608">
        <f t="shared" si="4"/>
        <v>0</v>
      </c>
      <c r="Q132" s="608"/>
      <c r="R132" s="609"/>
      <c r="S132" s="609"/>
      <c r="T132" s="609"/>
      <c r="U132" s="521"/>
      <c r="V132" s="541"/>
      <c r="W132" s="541"/>
      <c r="X132" s="541"/>
      <c r="Y132" s="541"/>
    </row>
    <row r="133" spans="1:25" s="543" customFormat="1" ht="11.25" customHeight="1">
      <c r="A133" s="540"/>
      <c r="B133" s="600"/>
      <c r="C133" s="600"/>
      <c r="D133" s="600"/>
      <c r="E133" s="306"/>
      <c r="F133" s="601"/>
      <c r="G133" s="602"/>
      <c r="H133" s="603"/>
      <c r="I133" s="602"/>
      <c r="J133" s="604"/>
      <c r="K133" s="604"/>
      <c r="L133" s="604"/>
      <c r="M133" s="605"/>
      <c r="N133" s="606"/>
      <c r="O133" s="607"/>
      <c r="P133" s="608">
        <f t="shared" si="4"/>
        <v>0</v>
      </c>
      <c r="Q133" s="608"/>
      <c r="R133" s="609"/>
      <c r="S133" s="609"/>
      <c r="T133" s="609"/>
      <c r="U133" s="521"/>
      <c r="V133" s="541"/>
      <c r="W133" s="541"/>
      <c r="X133" s="541"/>
      <c r="Y133" s="541"/>
    </row>
    <row r="134" spans="1:25" s="542" customFormat="1" ht="12" customHeight="1">
      <c r="A134" s="540"/>
      <c r="B134" s="600"/>
      <c r="C134" s="600"/>
      <c r="D134" s="600"/>
      <c r="E134" s="306"/>
      <c r="F134" s="601"/>
      <c r="G134" s="602"/>
      <c r="H134" s="603"/>
      <c r="I134" s="602"/>
      <c r="J134" s="604"/>
      <c r="K134" s="604"/>
      <c r="L134" s="604"/>
      <c r="M134" s="605"/>
      <c r="N134" s="606"/>
      <c r="O134" s="607"/>
      <c r="P134" s="608">
        <f t="shared" si="4"/>
        <v>0</v>
      </c>
      <c r="Q134" s="608"/>
      <c r="R134" s="609"/>
      <c r="S134" s="609"/>
      <c r="T134" s="609"/>
      <c r="U134" s="521"/>
      <c r="V134" s="541"/>
      <c r="W134" s="541"/>
      <c r="X134" s="541"/>
      <c r="Y134" s="541"/>
    </row>
    <row r="135" spans="1:25" s="537" customFormat="1" ht="12" customHeight="1">
      <c r="A135" s="441"/>
      <c r="B135" s="600"/>
      <c r="C135" s="600"/>
      <c r="D135" s="600"/>
      <c r="E135" s="306"/>
      <c r="F135" s="601"/>
      <c r="G135" s="602"/>
      <c r="H135" s="603"/>
      <c r="I135" s="602"/>
      <c r="J135" s="604"/>
      <c r="K135" s="604"/>
      <c r="L135" s="604"/>
      <c r="M135" s="605"/>
      <c r="N135" s="606"/>
      <c r="O135" s="607"/>
      <c r="P135" s="608">
        <f t="shared" si="4"/>
        <v>0</v>
      </c>
      <c r="Q135" s="608"/>
      <c r="R135" s="609"/>
      <c r="S135" s="609"/>
      <c r="T135" s="609"/>
      <c r="U135" s="521"/>
      <c r="V135" s="440"/>
      <c r="W135" s="440"/>
      <c r="X135" s="440"/>
      <c r="Y135" s="440"/>
    </row>
    <row r="136" spans="1:25" s="543" customFormat="1" ht="11.25" customHeight="1">
      <c r="A136" s="540"/>
      <c r="B136" s="600"/>
      <c r="C136" s="600"/>
      <c r="D136" s="600"/>
      <c r="E136" s="306"/>
      <c r="F136" s="601"/>
      <c r="G136" s="602"/>
      <c r="H136" s="603"/>
      <c r="I136" s="602"/>
      <c r="J136" s="604"/>
      <c r="K136" s="604"/>
      <c r="L136" s="604"/>
      <c r="M136" s="605"/>
      <c r="N136" s="606"/>
      <c r="O136" s="607"/>
      <c r="P136" s="608">
        <f t="shared" si="4"/>
        <v>0</v>
      </c>
      <c r="Q136" s="608"/>
      <c r="R136" s="609"/>
      <c r="S136" s="609"/>
      <c r="T136" s="609"/>
      <c r="U136" s="521"/>
      <c r="V136" s="541"/>
      <c r="W136" s="541"/>
      <c r="X136" s="541"/>
      <c r="Y136" s="541"/>
    </row>
    <row r="137" spans="1:25" s="543" customFormat="1" ht="11.25" customHeight="1">
      <c r="A137" s="540"/>
      <c r="B137" s="600"/>
      <c r="C137" s="600"/>
      <c r="D137" s="600"/>
      <c r="E137" s="306"/>
      <c r="F137" s="601"/>
      <c r="G137" s="602"/>
      <c r="H137" s="603"/>
      <c r="I137" s="602"/>
      <c r="J137" s="604"/>
      <c r="K137" s="604"/>
      <c r="L137" s="604"/>
      <c r="M137" s="605"/>
      <c r="N137" s="606"/>
      <c r="O137" s="607"/>
      <c r="P137" s="608">
        <f t="shared" si="4"/>
        <v>0</v>
      </c>
      <c r="Q137" s="608"/>
      <c r="R137" s="609"/>
      <c r="S137" s="609"/>
      <c r="T137" s="609"/>
      <c r="U137" s="521"/>
      <c r="V137" s="541"/>
      <c r="W137" s="541"/>
      <c r="X137" s="541"/>
      <c r="Y137" s="541"/>
    </row>
    <row r="138" spans="1:25" s="543" customFormat="1" ht="11.25" customHeight="1">
      <c r="A138" s="540"/>
      <c r="B138" s="600"/>
      <c r="C138" s="600"/>
      <c r="D138" s="600"/>
      <c r="E138" s="306"/>
      <c r="F138" s="601"/>
      <c r="G138" s="602"/>
      <c r="H138" s="603"/>
      <c r="I138" s="602"/>
      <c r="J138" s="604"/>
      <c r="K138" s="604"/>
      <c r="L138" s="604"/>
      <c r="M138" s="605"/>
      <c r="N138" s="606"/>
      <c r="O138" s="607"/>
      <c r="P138" s="608">
        <f t="shared" si="4"/>
        <v>0</v>
      </c>
      <c r="Q138" s="608"/>
      <c r="R138" s="609"/>
      <c r="S138" s="609"/>
      <c r="T138" s="609"/>
      <c r="U138" s="521"/>
      <c r="V138" s="541"/>
      <c r="W138" s="541"/>
      <c r="X138" s="541"/>
      <c r="Y138" s="541"/>
    </row>
    <row r="139" spans="1:25" s="543" customFormat="1" ht="11.25" customHeight="1">
      <c r="A139" s="540"/>
      <c r="B139" s="600"/>
      <c r="C139" s="600"/>
      <c r="D139" s="600"/>
      <c r="E139" s="306"/>
      <c r="F139" s="601"/>
      <c r="G139" s="602"/>
      <c r="H139" s="603"/>
      <c r="I139" s="602"/>
      <c r="J139" s="604"/>
      <c r="K139" s="604"/>
      <c r="L139" s="604"/>
      <c r="M139" s="605"/>
      <c r="N139" s="606"/>
      <c r="O139" s="607"/>
      <c r="P139" s="608">
        <f t="shared" si="4"/>
        <v>0</v>
      </c>
      <c r="Q139" s="608"/>
      <c r="R139" s="609"/>
      <c r="S139" s="609"/>
      <c r="T139" s="609"/>
      <c r="U139" s="521"/>
      <c r="V139" s="541"/>
      <c r="W139" s="541"/>
      <c r="X139" s="541"/>
      <c r="Y139" s="541"/>
    </row>
    <row r="140" spans="1:25" s="543" customFormat="1" ht="11.25" customHeight="1">
      <c r="A140" s="540"/>
      <c r="B140" s="600"/>
      <c r="C140" s="600"/>
      <c r="D140" s="600"/>
      <c r="E140" s="306"/>
      <c r="F140" s="601"/>
      <c r="G140" s="602"/>
      <c r="H140" s="603"/>
      <c r="I140" s="602"/>
      <c r="J140" s="604"/>
      <c r="K140" s="604"/>
      <c r="L140" s="604"/>
      <c r="M140" s="605"/>
      <c r="N140" s="606"/>
      <c r="O140" s="607"/>
      <c r="P140" s="608">
        <f t="shared" si="4"/>
        <v>0</v>
      </c>
      <c r="Q140" s="608"/>
      <c r="R140" s="609"/>
      <c r="S140" s="609"/>
      <c r="T140" s="609"/>
      <c r="U140" s="521"/>
      <c r="V140" s="541"/>
      <c r="W140" s="541"/>
      <c r="X140" s="541"/>
      <c r="Y140" s="541"/>
    </row>
    <row r="141" spans="1:25" s="543" customFormat="1" ht="11.25" customHeight="1">
      <c r="A141" s="540"/>
      <c r="B141" s="600"/>
      <c r="C141" s="600"/>
      <c r="D141" s="600"/>
      <c r="E141" s="306"/>
      <c r="F141" s="601"/>
      <c r="G141" s="602"/>
      <c r="H141" s="603"/>
      <c r="I141" s="602"/>
      <c r="J141" s="604"/>
      <c r="K141" s="604"/>
      <c r="L141" s="604"/>
      <c r="M141" s="605"/>
      <c r="N141" s="606"/>
      <c r="O141" s="607"/>
      <c r="P141" s="608">
        <f t="shared" si="4"/>
        <v>0</v>
      </c>
      <c r="Q141" s="608"/>
      <c r="R141" s="609"/>
      <c r="S141" s="609"/>
      <c r="T141" s="609"/>
      <c r="U141" s="521"/>
      <c r="V141" s="541"/>
      <c r="W141" s="541"/>
      <c r="X141" s="541"/>
      <c r="Y141" s="541"/>
    </row>
    <row r="142" spans="1:25" s="542" customFormat="1" ht="12" customHeight="1">
      <c r="A142" s="540"/>
      <c r="B142" s="600"/>
      <c r="C142" s="600"/>
      <c r="D142" s="600"/>
      <c r="E142" s="306"/>
      <c r="F142" s="601"/>
      <c r="G142" s="602"/>
      <c r="H142" s="603"/>
      <c r="I142" s="602"/>
      <c r="J142" s="604"/>
      <c r="K142" s="604"/>
      <c r="L142" s="604"/>
      <c r="M142" s="605"/>
      <c r="N142" s="606"/>
      <c r="O142" s="607"/>
      <c r="P142" s="608">
        <f t="shared" si="4"/>
        <v>0</v>
      </c>
      <c r="Q142" s="608"/>
      <c r="R142" s="609"/>
      <c r="S142" s="609"/>
      <c r="T142" s="609"/>
      <c r="U142" s="521"/>
      <c r="V142" s="541"/>
      <c r="W142" s="541"/>
      <c r="X142" s="541"/>
      <c r="Y142" s="541"/>
    </row>
    <row r="143" spans="1:25" s="537" customFormat="1" ht="12" customHeight="1">
      <c r="A143" s="441"/>
      <c r="B143" s="600"/>
      <c r="C143" s="600"/>
      <c r="D143" s="600"/>
      <c r="E143" s="306"/>
      <c r="F143" s="601"/>
      <c r="G143" s="602"/>
      <c r="H143" s="603"/>
      <c r="I143" s="602"/>
      <c r="J143" s="604"/>
      <c r="K143" s="604"/>
      <c r="L143" s="604"/>
      <c r="M143" s="605"/>
      <c r="N143" s="606"/>
      <c r="O143" s="607"/>
      <c r="P143" s="608">
        <f t="shared" si="4"/>
        <v>0</v>
      </c>
      <c r="Q143" s="608"/>
      <c r="R143" s="609"/>
      <c r="S143" s="609"/>
      <c r="T143" s="609"/>
      <c r="U143" s="521"/>
      <c r="V143" s="440"/>
      <c r="W143" s="440"/>
      <c r="X143" s="440"/>
      <c r="Y143" s="440"/>
    </row>
    <row r="144" spans="1:25" s="543" customFormat="1" ht="11.25" customHeight="1">
      <c r="A144" s="540"/>
      <c r="B144" s="600"/>
      <c r="C144" s="600"/>
      <c r="D144" s="600"/>
      <c r="E144" s="306"/>
      <c r="F144" s="601"/>
      <c r="G144" s="602"/>
      <c r="H144" s="603"/>
      <c r="I144" s="602"/>
      <c r="J144" s="604"/>
      <c r="K144" s="604"/>
      <c r="L144" s="604"/>
      <c r="M144" s="605"/>
      <c r="N144" s="606"/>
      <c r="O144" s="607"/>
      <c r="P144" s="608">
        <f t="shared" si="4"/>
        <v>0</v>
      </c>
      <c r="Q144" s="608"/>
      <c r="R144" s="609"/>
      <c r="S144" s="609"/>
      <c r="T144" s="609"/>
      <c r="U144" s="521"/>
      <c r="V144" s="541"/>
      <c r="W144" s="541"/>
      <c r="X144" s="541"/>
      <c r="Y144" s="541"/>
    </row>
    <row r="145" spans="1:25" s="543" customFormat="1" ht="11.25" customHeight="1">
      <c r="A145" s="540"/>
      <c r="B145" s="600"/>
      <c r="C145" s="600"/>
      <c r="D145" s="600"/>
      <c r="E145" s="306"/>
      <c r="F145" s="601"/>
      <c r="G145" s="602"/>
      <c r="H145" s="603"/>
      <c r="I145" s="602"/>
      <c r="J145" s="604"/>
      <c r="K145" s="604"/>
      <c r="L145" s="604"/>
      <c r="M145" s="605"/>
      <c r="N145" s="606"/>
      <c r="O145" s="607"/>
      <c r="P145" s="608">
        <f t="shared" si="4"/>
        <v>0</v>
      </c>
      <c r="Q145" s="608"/>
      <c r="R145" s="609"/>
      <c r="S145" s="609"/>
      <c r="T145" s="609"/>
      <c r="U145" s="521"/>
      <c r="V145" s="541"/>
      <c r="W145" s="541"/>
      <c r="X145" s="541"/>
      <c r="Y145" s="541"/>
    </row>
    <row r="146" spans="1:25" s="543" customFormat="1" ht="11.25" customHeight="1">
      <c r="A146" s="540"/>
      <c r="B146" s="600"/>
      <c r="C146" s="600"/>
      <c r="D146" s="600"/>
      <c r="E146" s="306"/>
      <c r="F146" s="601"/>
      <c r="G146" s="602"/>
      <c r="H146" s="603"/>
      <c r="I146" s="602"/>
      <c r="J146" s="604"/>
      <c r="K146" s="604"/>
      <c r="L146" s="604"/>
      <c r="M146" s="605"/>
      <c r="N146" s="606"/>
      <c r="O146" s="607"/>
      <c r="P146" s="608">
        <f t="shared" si="4"/>
        <v>0</v>
      </c>
      <c r="Q146" s="608"/>
      <c r="R146" s="609"/>
      <c r="S146" s="609"/>
      <c r="T146" s="609"/>
      <c r="U146" s="521"/>
      <c r="V146" s="541"/>
      <c r="W146" s="541"/>
      <c r="X146" s="541"/>
      <c r="Y146" s="541"/>
    </row>
    <row r="147" spans="1:25" s="543" customFormat="1" ht="11.25" customHeight="1">
      <c r="A147" s="540"/>
      <c r="B147" s="600"/>
      <c r="C147" s="600"/>
      <c r="D147" s="600"/>
      <c r="E147" s="306"/>
      <c r="F147" s="601"/>
      <c r="G147" s="602"/>
      <c r="H147" s="603"/>
      <c r="I147" s="602"/>
      <c r="J147" s="604"/>
      <c r="K147" s="604"/>
      <c r="L147" s="604"/>
      <c r="M147" s="605"/>
      <c r="N147" s="606"/>
      <c r="O147" s="607"/>
      <c r="P147" s="608">
        <f t="shared" si="4"/>
        <v>0</v>
      </c>
      <c r="Q147" s="608"/>
      <c r="R147" s="609"/>
      <c r="S147" s="609"/>
      <c r="T147" s="609"/>
      <c r="U147" s="521"/>
      <c r="V147" s="541"/>
      <c r="W147" s="541"/>
      <c r="X147" s="541"/>
      <c r="Y147" s="541"/>
    </row>
    <row r="148" spans="1:25" s="543" customFormat="1" ht="11.25" customHeight="1">
      <c r="A148" s="540"/>
      <c r="B148" s="600"/>
      <c r="C148" s="600"/>
      <c r="D148" s="600"/>
      <c r="E148" s="306"/>
      <c r="F148" s="601"/>
      <c r="G148" s="602"/>
      <c r="H148" s="603"/>
      <c r="I148" s="602"/>
      <c r="J148" s="604"/>
      <c r="K148" s="604"/>
      <c r="L148" s="604"/>
      <c r="M148" s="605"/>
      <c r="N148" s="606"/>
      <c r="O148" s="607"/>
      <c r="P148" s="608">
        <f t="shared" si="4"/>
        <v>0</v>
      </c>
      <c r="Q148" s="608"/>
      <c r="R148" s="609"/>
      <c r="S148" s="609"/>
      <c r="T148" s="609"/>
      <c r="U148" s="521"/>
      <c r="V148" s="541"/>
      <c r="W148" s="541"/>
      <c r="X148" s="541"/>
      <c r="Y148" s="541"/>
    </row>
    <row r="149" spans="1:25" s="543" customFormat="1" ht="11.25" customHeight="1">
      <c r="A149" s="540"/>
      <c r="B149" s="600"/>
      <c r="C149" s="600"/>
      <c r="D149" s="600"/>
      <c r="E149" s="306"/>
      <c r="F149" s="601"/>
      <c r="G149" s="602"/>
      <c r="H149" s="603"/>
      <c r="I149" s="602"/>
      <c r="J149" s="604"/>
      <c r="K149" s="604"/>
      <c r="L149" s="604"/>
      <c r="M149" s="605"/>
      <c r="N149" s="606"/>
      <c r="O149" s="607"/>
      <c r="P149" s="608">
        <f t="shared" si="4"/>
        <v>0</v>
      </c>
      <c r="Q149" s="608"/>
      <c r="R149" s="609"/>
      <c r="S149" s="609"/>
      <c r="T149" s="609"/>
      <c r="U149" s="521"/>
      <c r="V149" s="541"/>
      <c r="W149" s="541"/>
      <c r="X149" s="541"/>
      <c r="Y149" s="541"/>
    </row>
    <row r="150" spans="1:25" s="542" customFormat="1" ht="12" customHeight="1">
      <c r="A150" s="540"/>
      <c r="B150" s="600"/>
      <c r="C150" s="600"/>
      <c r="D150" s="600"/>
      <c r="E150" s="306"/>
      <c r="F150" s="601"/>
      <c r="G150" s="602"/>
      <c r="H150" s="603"/>
      <c r="I150" s="602"/>
      <c r="J150" s="604"/>
      <c r="K150" s="604"/>
      <c r="L150" s="604"/>
      <c r="M150" s="605"/>
      <c r="N150" s="606"/>
      <c r="O150" s="607"/>
      <c r="P150" s="608">
        <f t="shared" si="4"/>
        <v>0</v>
      </c>
      <c r="Q150" s="608"/>
      <c r="R150" s="609"/>
      <c r="S150" s="609"/>
      <c r="T150" s="609"/>
      <c r="U150" s="521"/>
      <c r="V150" s="541"/>
      <c r="W150" s="541"/>
      <c r="X150" s="541"/>
      <c r="Y150" s="541"/>
    </row>
    <row r="151" spans="1:25" s="537" customFormat="1" ht="12" customHeight="1">
      <c r="A151" s="441"/>
      <c r="B151" s="600"/>
      <c r="C151" s="600"/>
      <c r="D151" s="600"/>
      <c r="E151" s="306"/>
      <c r="F151" s="601"/>
      <c r="G151" s="602"/>
      <c r="H151" s="603"/>
      <c r="I151" s="602"/>
      <c r="J151" s="604"/>
      <c r="K151" s="604"/>
      <c r="L151" s="604"/>
      <c r="M151" s="605"/>
      <c r="N151" s="606"/>
      <c r="O151" s="607"/>
      <c r="P151" s="608">
        <f t="shared" ref="P151:P214" si="5">P150+J151-M151</f>
        <v>0</v>
      </c>
      <c r="Q151" s="608"/>
      <c r="R151" s="609"/>
      <c r="S151" s="609"/>
      <c r="T151" s="609"/>
      <c r="U151" s="521"/>
      <c r="V151" s="440"/>
      <c r="W151" s="440"/>
      <c r="X151" s="440"/>
      <c r="Y151" s="440"/>
    </row>
    <row r="152" spans="1:25" s="543" customFormat="1" ht="11.25" customHeight="1">
      <c r="A152" s="540"/>
      <c r="B152" s="600"/>
      <c r="C152" s="600"/>
      <c r="D152" s="600"/>
      <c r="E152" s="306"/>
      <c r="F152" s="601"/>
      <c r="G152" s="602"/>
      <c r="H152" s="603"/>
      <c r="I152" s="602"/>
      <c r="J152" s="604"/>
      <c r="K152" s="604"/>
      <c r="L152" s="604"/>
      <c r="M152" s="605"/>
      <c r="N152" s="606"/>
      <c r="O152" s="607"/>
      <c r="P152" s="608">
        <f t="shared" si="5"/>
        <v>0</v>
      </c>
      <c r="Q152" s="608"/>
      <c r="R152" s="609"/>
      <c r="S152" s="609"/>
      <c r="T152" s="609"/>
      <c r="U152" s="521"/>
      <c r="V152" s="541"/>
      <c r="W152" s="541"/>
      <c r="X152" s="541"/>
      <c r="Y152" s="541"/>
    </row>
    <row r="153" spans="1:25" s="543" customFormat="1" ht="11.25" customHeight="1">
      <c r="A153" s="540"/>
      <c r="B153" s="600"/>
      <c r="C153" s="600"/>
      <c r="D153" s="600"/>
      <c r="E153" s="306"/>
      <c r="F153" s="601"/>
      <c r="G153" s="602"/>
      <c r="H153" s="603"/>
      <c r="I153" s="602"/>
      <c r="J153" s="604"/>
      <c r="K153" s="604"/>
      <c r="L153" s="604"/>
      <c r="M153" s="605"/>
      <c r="N153" s="606"/>
      <c r="O153" s="607"/>
      <c r="P153" s="608">
        <f t="shared" si="5"/>
        <v>0</v>
      </c>
      <c r="Q153" s="608"/>
      <c r="R153" s="609"/>
      <c r="S153" s="609"/>
      <c r="T153" s="609"/>
      <c r="U153" s="521"/>
      <c r="V153" s="541"/>
      <c r="W153" s="541"/>
      <c r="X153" s="541"/>
      <c r="Y153" s="541"/>
    </row>
    <row r="154" spans="1:25" s="543" customFormat="1" ht="11.25" customHeight="1">
      <c r="A154" s="540"/>
      <c r="B154" s="600"/>
      <c r="C154" s="600"/>
      <c r="D154" s="600"/>
      <c r="E154" s="306"/>
      <c r="F154" s="601"/>
      <c r="G154" s="602"/>
      <c r="H154" s="603"/>
      <c r="I154" s="602"/>
      <c r="J154" s="604"/>
      <c r="K154" s="604"/>
      <c r="L154" s="604"/>
      <c r="M154" s="605"/>
      <c r="N154" s="606"/>
      <c r="O154" s="607"/>
      <c r="P154" s="608">
        <f t="shared" si="5"/>
        <v>0</v>
      </c>
      <c r="Q154" s="608"/>
      <c r="R154" s="609"/>
      <c r="S154" s="609"/>
      <c r="T154" s="609"/>
      <c r="U154" s="521"/>
      <c r="V154" s="541"/>
      <c r="W154" s="541"/>
      <c r="X154" s="541"/>
      <c r="Y154" s="541"/>
    </row>
    <row r="155" spans="1:25" s="543" customFormat="1" ht="11.25" customHeight="1">
      <c r="A155" s="540"/>
      <c r="B155" s="600"/>
      <c r="C155" s="600"/>
      <c r="D155" s="600"/>
      <c r="E155" s="306"/>
      <c r="F155" s="601"/>
      <c r="G155" s="602"/>
      <c r="H155" s="603"/>
      <c r="I155" s="602"/>
      <c r="J155" s="604"/>
      <c r="K155" s="604"/>
      <c r="L155" s="604"/>
      <c r="M155" s="605"/>
      <c r="N155" s="606"/>
      <c r="O155" s="607"/>
      <c r="P155" s="608">
        <f t="shared" si="5"/>
        <v>0</v>
      </c>
      <c r="Q155" s="608"/>
      <c r="R155" s="609"/>
      <c r="S155" s="609"/>
      <c r="T155" s="609"/>
      <c r="U155" s="521"/>
      <c r="V155" s="541"/>
      <c r="W155" s="541"/>
      <c r="X155" s="541"/>
      <c r="Y155" s="541"/>
    </row>
    <row r="156" spans="1:25" s="543" customFormat="1" ht="11.25" customHeight="1">
      <c r="A156" s="540"/>
      <c r="B156" s="600"/>
      <c r="C156" s="600"/>
      <c r="D156" s="600"/>
      <c r="E156" s="306"/>
      <c r="F156" s="601"/>
      <c r="G156" s="602"/>
      <c r="H156" s="603"/>
      <c r="I156" s="602"/>
      <c r="J156" s="604"/>
      <c r="K156" s="604"/>
      <c r="L156" s="604"/>
      <c r="M156" s="605"/>
      <c r="N156" s="606"/>
      <c r="O156" s="607"/>
      <c r="P156" s="608">
        <f t="shared" si="5"/>
        <v>0</v>
      </c>
      <c r="Q156" s="608"/>
      <c r="R156" s="609"/>
      <c r="S156" s="609"/>
      <c r="T156" s="609"/>
      <c r="U156" s="521"/>
      <c r="V156" s="541"/>
      <c r="W156" s="541"/>
      <c r="X156" s="541"/>
      <c r="Y156" s="541"/>
    </row>
    <row r="157" spans="1:25" s="543" customFormat="1" ht="11.25" customHeight="1">
      <c r="A157" s="540"/>
      <c r="B157" s="600"/>
      <c r="C157" s="600"/>
      <c r="D157" s="600"/>
      <c r="E157" s="306"/>
      <c r="F157" s="601"/>
      <c r="G157" s="602"/>
      <c r="H157" s="603"/>
      <c r="I157" s="602"/>
      <c r="J157" s="604"/>
      <c r="K157" s="604"/>
      <c r="L157" s="604"/>
      <c r="M157" s="605"/>
      <c r="N157" s="606"/>
      <c r="O157" s="607"/>
      <c r="P157" s="608">
        <f t="shared" si="5"/>
        <v>0</v>
      </c>
      <c r="Q157" s="608"/>
      <c r="R157" s="609"/>
      <c r="S157" s="609"/>
      <c r="T157" s="609"/>
      <c r="U157" s="521"/>
      <c r="V157" s="541"/>
      <c r="W157" s="541"/>
      <c r="X157" s="541"/>
      <c r="Y157" s="541"/>
    </row>
    <row r="158" spans="1:25" s="543" customFormat="1" ht="11.25" customHeight="1">
      <c r="A158" s="540"/>
      <c r="B158" s="600"/>
      <c r="C158" s="600"/>
      <c r="D158" s="600"/>
      <c r="E158" s="306"/>
      <c r="F158" s="601"/>
      <c r="G158" s="602"/>
      <c r="H158" s="603"/>
      <c r="I158" s="602"/>
      <c r="J158" s="604"/>
      <c r="K158" s="604"/>
      <c r="L158" s="604"/>
      <c r="M158" s="605"/>
      <c r="N158" s="606"/>
      <c r="O158" s="607"/>
      <c r="P158" s="608">
        <f t="shared" si="5"/>
        <v>0</v>
      </c>
      <c r="Q158" s="608"/>
      <c r="R158" s="609"/>
      <c r="S158" s="609"/>
      <c r="T158" s="609"/>
      <c r="U158" s="521"/>
      <c r="V158" s="541"/>
      <c r="W158" s="541"/>
      <c r="X158" s="541"/>
      <c r="Y158" s="541"/>
    </row>
    <row r="159" spans="1:25" s="543" customFormat="1" ht="11.25" customHeight="1">
      <c r="A159" s="540"/>
      <c r="B159" s="600"/>
      <c r="C159" s="600"/>
      <c r="D159" s="600"/>
      <c r="E159" s="306"/>
      <c r="F159" s="601"/>
      <c r="G159" s="602"/>
      <c r="H159" s="603"/>
      <c r="I159" s="602"/>
      <c r="J159" s="604"/>
      <c r="K159" s="604"/>
      <c r="L159" s="604"/>
      <c r="M159" s="605"/>
      <c r="N159" s="606"/>
      <c r="O159" s="607"/>
      <c r="P159" s="608">
        <f t="shared" si="5"/>
        <v>0</v>
      </c>
      <c r="Q159" s="608"/>
      <c r="R159" s="609"/>
      <c r="S159" s="609"/>
      <c r="T159" s="609"/>
      <c r="U159" s="521"/>
      <c r="V159" s="541"/>
      <c r="W159" s="541"/>
      <c r="X159" s="541"/>
      <c r="Y159" s="541"/>
    </row>
    <row r="160" spans="1:25" s="543" customFormat="1" ht="11.25" customHeight="1">
      <c r="A160" s="540"/>
      <c r="B160" s="600"/>
      <c r="C160" s="600"/>
      <c r="D160" s="600"/>
      <c r="E160" s="306"/>
      <c r="F160" s="601"/>
      <c r="G160" s="602"/>
      <c r="H160" s="603"/>
      <c r="I160" s="602"/>
      <c r="J160" s="604"/>
      <c r="K160" s="604"/>
      <c r="L160" s="604"/>
      <c r="M160" s="605"/>
      <c r="N160" s="606"/>
      <c r="O160" s="607"/>
      <c r="P160" s="608">
        <f t="shared" si="5"/>
        <v>0</v>
      </c>
      <c r="Q160" s="608"/>
      <c r="R160" s="609"/>
      <c r="S160" s="609"/>
      <c r="T160" s="609"/>
      <c r="U160" s="521"/>
      <c r="V160" s="541"/>
      <c r="W160" s="541"/>
      <c r="X160" s="541"/>
      <c r="Y160" s="541"/>
    </row>
    <row r="161" spans="1:25" s="542" customFormat="1" ht="12" customHeight="1">
      <c r="A161" s="540"/>
      <c r="B161" s="600"/>
      <c r="C161" s="600"/>
      <c r="D161" s="600"/>
      <c r="E161" s="306"/>
      <c r="F161" s="601"/>
      <c r="G161" s="602"/>
      <c r="H161" s="603"/>
      <c r="I161" s="602"/>
      <c r="J161" s="604"/>
      <c r="K161" s="604"/>
      <c r="L161" s="604"/>
      <c r="M161" s="605"/>
      <c r="N161" s="606"/>
      <c r="O161" s="607"/>
      <c r="P161" s="608">
        <f t="shared" si="5"/>
        <v>0</v>
      </c>
      <c r="Q161" s="608"/>
      <c r="R161" s="609"/>
      <c r="S161" s="609"/>
      <c r="T161" s="609"/>
      <c r="U161" s="521"/>
      <c r="V161" s="541"/>
      <c r="W161" s="541"/>
      <c r="X161" s="541"/>
      <c r="Y161" s="541"/>
    </row>
    <row r="162" spans="1:25" s="537" customFormat="1" ht="12" customHeight="1">
      <c r="A162" s="441"/>
      <c r="B162" s="600"/>
      <c r="C162" s="600"/>
      <c r="D162" s="600"/>
      <c r="E162" s="306"/>
      <c r="F162" s="601"/>
      <c r="G162" s="602"/>
      <c r="H162" s="603"/>
      <c r="I162" s="602"/>
      <c r="J162" s="604"/>
      <c r="K162" s="604"/>
      <c r="L162" s="604"/>
      <c r="M162" s="605"/>
      <c r="N162" s="606"/>
      <c r="O162" s="607"/>
      <c r="P162" s="608">
        <f t="shared" si="5"/>
        <v>0</v>
      </c>
      <c r="Q162" s="608"/>
      <c r="R162" s="609"/>
      <c r="S162" s="609"/>
      <c r="T162" s="609"/>
      <c r="U162" s="521"/>
      <c r="V162" s="440"/>
      <c r="W162" s="440"/>
      <c r="X162" s="440"/>
      <c r="Y162" s="440"/>
    </row>
    <row r="163" spans="1:25" s="543" customFormat="1" ht="11.25" customHeight="1">
      <c r="A163" s="540"/>
      <c r="B163" s="600"/>
      <c r="C163" s="600"/>
      <c r="D163" s="600"/>
      <c r="E163" s="306"/>
      <c r="F163" s="601"/>
      <c r="G163" s="602"/>
      <c r="H163" s="603"/>
      <c r="I163" s="602"/>
      <c r="J163" s="604"/>
      <c r="K163" s="604"/>
      <c r="L163" s="604"/>
      <c r="M163" s="605"/>
      <c r="N163" s="606"/>
      <c r="O163" s="607"/>
      <c r="P163" s="608">
        <f t="shared" si="5"/>
        <v>0</v>
      </c>
      <c r="Q163" s="608"/>
      <c r="R163" s="609"/>
      <c r="S163" s="609"/>
      <c r="T163" s="609"/>
      <c r="U163" s="521"/>
      <c r="V163" s="541"/>
      <c r="W163" s="541"/>
      <c r="X163" s="541"/>
      <c r="Y163" s="541"/>
    </row>
    <row r="164" spans="1:25" s="543" customFormat="1" ht="11.25" customHeight="1">
      <c r="A164" s="540"/>
      <c r="B164" s="600"/>
      <c r="C164" s="600"/>
      <c r="D164" s="600"/>
      <c r="E164" s="306"/>
      <c r="F164" s="601"/>
      <c r="G164" s="602"/>
      <c r="H164" s="603"/>
      <c r="I164" s="602"/>
      <c r="J164" s="604"/>
      <c r="K164" s="604"/>
      <c r="L164" s="604"/>
      <c r="M164" s="605"/>
      <c r="N164" s="606"/>
      <c r="O164" s="607"/>
      <c r="P164" s="608">
        <f t="shared" si="5"/>
        <v>0</v>
      </c>
      <c r="Q164" s="608"/>
      <c r="R164" s="609"/>
      <c r="S164" s="609"/>
      <c r="T164" s="609"/>
      <c r="U164" s="521"/>
      <c r="V164" s="541"/>
      <c r="W164" s="541"/>
      <c r="X164" s="541"/>
      <c r="Y164" s="541"/>
    </row>
    <row r="165" spans="1:25" s="543" customFormat="1" ht="11.25" customHeight="1">
      <c r="A165" s="540"/>
      <c r="B165" s="600"/>
      <c r="C165" s="600"/>
      <c r="D165" s="600"/>
      <c r="E165" s="306"/>
      <c r="F165" s="601"/>
      <c r="G165" s="602"/>
      <c r="H165" s="603"/>
      <c r="I165" s="602"/>
      <c r="J165" s="604"/>
      <c r="K165" s="604"/>
      <c r="L165" s="604"/>
      <c r="M165" s="605"/>
      <c r="N165" s="606"/>
      <c r="O165" s="607"/>
      <c r="P165" s="608">
        <f t="shared" si="5"/>
        <v>0</v>
      </c>
      <c r="Q165" s="608"/>
      <c r="R165" s="609"/>
      <c r="S165" s="609"/>
      <c r="T165" s="609"/>
      <c r="U165" s="521"/>
      <c r="V165" s="541"/>
      <c r="W165" s="541"/>
      <c r="X165" s="541"/>
      <c r="Y165" s="541"/>
    </row>
    <row r="166" spans="1:25" s="543" customFormat="1" ht="11.25" customHeight="1">
      <c r="A166" s="540"/>
      <c r="B166" s="600"/>
      <c r="C166" s="600"/>
      <c r="D166" s="600"/>
      <c r="E166" s="306"/>
      <c r="F166" s="601"/>
      <c r="G166" s="602"/>
      <c r="H166" s="603"/>
      <c r="I166" s="602"/>
      <c r="J166" s="604"/>
      <c r="K166" s="604"/>
      <c r="L166" s="604"/>
      <c r="M166" s="605"/>
      <c r="N166" s="606"/>
      <c r="O166" s="607"/>
      <c r="P166" s="608">
        <f t="shared" si="5"/>
        <v>0</v>
      </c>
      <c r="Q166" s="608"/>
      <c r="R166" s="609"/>
      <c r="S166" s="609"/>
      <c r="T166" s="609"/>
      <c r="U166" s="521"/>
      <c r="V166" s="541"/>
      <c r="W166" s="541"/>
      <c r="X166" s="541"/>
      <c r="Y166" s="541"/>
    </row>
    <row r="167" spans="1:25" s="543" customFormat="1" ht="11.25" customHeight="1">
      <c r="A167" s="540"/>
      <c r="B167" s="600"/>
      <c r="C167" s="600"/>
      <c r="D167" s="600"/>
      <c r="E167" s="306"/>
      <c r="F167" s="601"/>
      <c r="G167" s="602"/>
      <c r="H167" s="603"/>
      <c r="I167" s="602"/>
      <c r="J167" s="604"/>
      <c r="K167" s="604"/>
      <c r="L167" s="604"/>
      <c r="M167" s="605"/>
      <c r="N167" s="606"/>
      <c r="O167" s="607"/>
      <c r="P167" s="608">
        <f t="shared" si="5"/>
        <v>0</v>
      </c>
      <c r="Q167" s="608"/>
      <c r="R167" s="609"/>
      <c r="S167" s="609"/>
      <c r="T167" s="609"/>
      <c r="U167" s="521"/>
      <c r="V167" s="541"/>
      <c r="W167" s="541"/>
      <c r="X167" s="541"/>
      <c r="Y167" s="541"/>
    </row>
    <row r="168" spans="1:25" s="543" customFormat="1" ht="11.25" customHeight="1">
      <c r="A168" s="540"/>
      <c r="B168" s="600"/>
      <c r="C168" s="600"/>
      <c r="D168" s="600"/>
      <c r="E168" s="306"/>
      <c r="F168" s="601"/>
      <c r="G168" s="602"/>
      <c r="H168" s="603"/>
      <c r="I168" s="602"/>
      <c r="J168" s="604"/>
      <c r="K168" s="604"/>
      <c r="L168" s="604"/>
      <c r="M168" s="605"/>
      <c r="N168" s="606"/>
      <c r="O168" s="607"/>
      <c r="P168" s="608">
        <f t="shared" si="5"/>
        <v>0</v>
      </c>
      <c r="Q168" s="608"/>
      <c r="R168" s="609"/>
      <c r="S168" s="609"/>
      <c r="T168" s="609"/>
      <c r="U168" s="521"/>
      <c r="V168" s="541"/>
      <c r="W168" s="541"/>
      <c r="X168" s="541"/>
      <c r="Y168" s="541"/>
    </row>
    <row r="169" spans="1:25" s="542" customFormat="1" ht="12" customHeight="1">
      <c r="A169" s="540"/>
      <c r="B169" s="600"/>
      <c r="C169" s="600"/>
      <c r="D169" s="600"/>
      <c r="E169" s="306"/>
      <c r="F169" s="601"/>
      <c r="G169" s="602"/>
      <c r="H169" s="603"/>
      <c r="I169" s="602"/>
      <c r="J169" s="604"/>
      <c r="K169" s="604"/>
      <c r="L169" s="604"/>
      <c r="M169" s="605"/>
      <c r="N169" s="606"/>
      <c r="O169" s="607"/>
      <c r="P169" s="608">
        <f t="shared" si="5"/>
        <v>0</v>
      </c>
      <c r="Q169" s="608"/>
      <c r="R169" s="609"/>
      <c r="S169" s="609"/>
      <c r="T169" s="609"/>
      <c r="U169" s="521"/>
      <c r="V169" s="541"/>
      <c r="W169" s="541"/>
      <c r="X169" s="541"/>
      <c r="Y169" s="541"/>
    </row>
    <row r="170" spans="1:25" s="537" customFormat="1" ht="12" customHeight="1">
      <c r="A170" s="441"/>
      <c r="B170" s="600"/>
      <c r="C170" s="600"/>
      <c r="D170" s="600"/>
      <c r="E170" s="306"/>
      <c r="F170" s="601"/>
      <c r="G170" s="602"/>
      <c r="H170" s="603"/>
      <c r="I170" s="602"/>
      <c r="J170" s="604"/>
      <c r="K170" s="604"/>
      <c r="L170" s="604"/>
      <c r="M170" s="605"/>
      <c r="N170" s="606"/>
      <c r="O170" s="607"/>
      <c r="P170" s="608">
        <f t="shared" si="5"/>
        <v>0</v>
      </c>
      <c r="Q170" s="608"/>
      <c r="R170" s="609"/>
      <c r="S170" s="609"/>
      <c r="T170" s="609"/>
      <c r="U170" s="521"/>
      <c r="V170" s="440"/>
      <c r="W170" s="440"/>
      <c r="X170" s="440"/>
      <c r="Y170" s="440"/>
    </row>
    <row r="171" spans="1:25" s="543" customFormat="1" ht="11.25" customHeight="1">
      <c r="A171" s="540"/>
      <c r="B171" s="600"/>
      <c r="C171" s="600"/>
      <c r="D171" s="600"/>
      <c r="E171" s="306"/>
      <c r="F171" s="601"/>
      <c r="G171" s="602"/>
      <c r="H171" s="603"/>
      <c r="I171" s="602"/>
      <c r="J171" s="604"/>
      <c r="K171" s="604"/>
      <c r="L171" s="604"/>
      <c r="M171" s="605"/>
      <c r="N171" s="606"/>
      <c r="O171" s="607"/>
      <c r="P171" s="608">
        <f t="shared" si="5"/>
        <v>0</v>
      </c>
      <c r="Q171" s="608"/>
      <c r="R171" s="609"/>
      <c r="S171" s="609"/>
      <c r="T171" s="609"/>
      <c r="U171" s="521"/>
      <c r="V171" s="541"/>
      <c r="W171" s="541"/>
      <c r="X171" s="541"/>
      <c r="Y171" s="541"/>
    </row>
    <row r="172" spans="1:25" s="543" customFormat="1" ht="11.25" customHeight="1">
      <c r="A172" s="540"/>
      <c r="B172" s="600"/>
      <c r="C172" s="600"/>
      <c r="D172" s="600"/>
      <c r="E172" s="306"/>
      <c r="F172" s="601"/>
      <c r="G172" s="602"/>
      <c r="H172" s="603"/>
      <c r="I172" s="602"/>
      <c r="J172" s="604"/>
      <c r="K172" s="604"/>
      <c r="L172" s="604"/>
      <c r="M172" s="605"/>
      <c r="N172" s="606"/>
      <c r="O172" s="607"/>
      <c r="P172" s="608">
        <f t="shared" si="5"/>
        <v>0</v>
      </c>
      <c r="Q172" s="608"/>
      <c r="R172" s="609"/>
      <c r="S172" s="609"/>
      <c r="T172" s="609"/>
      <c r="U172" s="521"/>
      <c r="V172" s="541"/>
      <c r="W172" s="541"/>
      <c r="X172" s="541"/>
      <c r="Y172" s="541"/>
    </row>
    <row r="173" spans="1:25" s="543" customFormat="1" ht="11.25" customHeight="1">
      <c r="A173" s="540"/>
      <c r="B173" s="600"/>
      <c r="C173" s="600"/>
      <c r="D173" s="600"/>
      <c r="E173" s="306"/>
      <c r="F173" s="601"/>
      <c r="G173" s="602"/>
      <c r="H173" s="603"/>
      <c r="I173" s="602"/>
      <c r="J173" s="604"/>
      <c r="K173" s="604"/>
      <c r="L173" s="604"/>
      <c r="M173" s="605"/>
      <c r="N173" s="606"/>
      <c r="O173" s="607"/>
      <c r="P173" s="608">
        <f t="shared" si="5"/>
        <v>0</v>
      </c>
      <c r="Q173" s="608"/>
      <c r="R173" s="609"/>
      <c r="S173" s="609"/>
      <c r="T173" s="609"/>
      <c r="U173" s="521"/>
      <c r="V173" s="541"/>
      <c r="W173" s="541"/>
      <c r="X173" s="541"/>
      <c r="Y173" s="541"/>
    </row>
    <row r="174" spans="1:25" s="543" customFormat="1" ht="11.25" customHeight="1">
      <c r="A174" s="540"/>
      <c r="B174" s="600"/>
      <c r="C174" s="600"/>
      <c r="D174" s="600"/>
      <c r="E174" s="306"/>
      <c r="F174" s="601"/>
      <c r="G174" s="602"/>
      <c r="H174" s="603"/>
      <c r="I174" s="602"/>
      <c r="J174" s="604"/>
      <c r="K174" s="604"/>
      <c r="L174" s="604"/>
      <c r="M174" s="605"/>
      <c r="N174" s="606"/>
      <c r="O174" s="607"/>
      <c r="P174" s="608">
        <f t="shared" si="5"/>
        <v>0</v>
      </c>
      <c r="Q174" s="608"/>
      <c r="R174" s="609"/>
      <c r="S174" s="609"/>
      <c r="T174" s="609"/>
      <c r="U174" s="521"/>
      <c r="V174" s="541"/>
      <c r="W174" s="541"/>
      <c r="X174" s="541"/>
      <c r="Y174" s="541"/>
    </row>
    <row r="175" spans="1:25" s="543" customFormat="1" ht="11.25" customHeight="1">
      <c r="A175" s="540"/>
      <c r="B175" s="600"/>
      <c r="C175" s="600"/>
      <c r="D175" s="600"/>
      <c r="E175" s="306"/>
      <c r="F175" s="601"/>
      <c r="G175" s="602"/>
      <c r="H175" s="603"/>
      <c r="I175" s="602"/>
      <c r="J175" s="604"/>
      <c r="K175" s="604"/>
      <c r="L175" s="604"/>
      <c r="M175" s="605"/>
      <c r="N175" s="606"/>
      <c r="O175" s="607"/>
      <c r="P175" s="608">
        <f t="shared" si="5"/>
        <v>0</v>
      </c>
      <c r="Q175" s="608"/>
      <c r="R175" s="609"/>
      <c r="S175" s="609"/>
      <c r="T175" s="609"/>
      <c r="U175" s="521"/>
      <c r="V175" s="541"/>
      <c r="W175" s="541"/>
      <c r="X175" s="541"/>
      <c r="Y175" s="541"/>
    </row>
    <row r="176" spans="1:25" s="543" customFormat="1" ht="11.25" customHeight="1">
      <c r="A176" s="540"/>
      <c r="B176" s="600"/>
      <c r="C176" s="600"/>
      <c r="D176" s="600"/>
      <c r="E176" s="306"/>
      <c r="F176" s="601"/>
      <c r="G176" s="602"/>
      <c r="H176" s="603"/>
      <c r="I176" s="602"/>
      <c r="J176" s="604"/>
      <c r="K176" s="604"/>
      <c r="L176" s="604"/>
      <c r="M176" s="605"/>
      <c r="N176" s="606"/>
      <c r="O176" s="607"/>
      <c r="P176" s="608">
        <f t="shared" si="5"/>
        <v>0</v>
      </c>
      <c r="Q176" s="608"/>
      <c r="R176" s="609"/>
      <c r="S176" s="609"/>
      <c r="T176" s="609"/>
      <c r="U176" s="521"/>
      <c r="V176" s="541"/>
      <c r="W176" s="541"/>
      <c r="X176" s="541"/>
      <c r="Y176" s="541"/>
    </row>
    <row r="177" spans="1:25" s="542" customFormat="1" ht="12" customHeight="1">
      <c r="A177" s="540"/>
      <c r="B177" s="600"/>
      <c r="C177" s="600"/>
      <c r="D177" s="600"/>
      <c r="E177" s="306"/>
      <c r="F177" s="601"/>
      <c r="G177" s="602"/>
      <c r="H177" s="603"/>
      <c r="I177" s="602"/>
      <c r="J177" s="604"/>
      <c r="K177" s="604"/>
      <c r="L177" s="604"/>
      <c r="M177" s="605"/>
      <c r="N177" s="606"/>
      <c r="O177" s="607"/>
      <c r="P177" s="608">
        <f t="shared" si="5"/>
        <v>0</v>
      </c>
      <c r="Q177" s="608"/>
      <c r="R177" s="609"/>
      <c r="S177" s="609"/>
      <c r="T177" s="609"/>
      <c r="U177" s="521"/>
      <c r="V177" s="541"/>
      <c r="W177" s="541"/>
      <c r="X177" s="541"/>
      <c r="Y177" s="541"/>
    </row>
    <row r="178" spans="1:25" s="537" customFormat="1" ht="12" customHeight="1">
      <c r="A178" s="441"/>
      <c r="B178" s="600"/>
      <c r="C178" s="600"/>
      <c r="D178" s="600"/>
      <c r="E178" s="306"/>
      <c r="F178" s="601"/>
      <c r="G178" s="602"/>
      <c r="H178" s="603"/>
      <c r="I178" s="602"/>
      <c r="J178" s="604"/>
      <c r="K178" s="604"/>
      <c r="L178" s="604"/>
      <c r="M178" s="605"/>
      <c r="N178" s="606"/>
      <c r="O178" s="607"/>
      <c r="P178" s="608">
        <f t="shared" si="5"/>
        <v>0</v>
      </c>
      <c r="Q178" s="608"/>
      <c r="R178" s="609"/>
      <c r="S178" s="609"/>
      <c r="T178" s="609"/>
      <c r="U178" s="521"/>
      <c r="V178" s="440"/>
      <c r="W178" s="440"/>
      <c r="X178" s="440"/>
      <c r="Y178" s="440"/>
    </row>
    <row r="179" spans="1:25" s="543" customFormat="1" ht="11.25" customHeight="1">
      <c r="A179" s="540"/>
      <c r="B179" s="600"/>
      <c r="C179" s="600"/>
      <c r="D179" s="600"/>
      <c r="E179" s="306"/>
      <c r="F179" s="601"/>
      <c r="G179" s="602"/>
      <c r="H179" s="603"/>
      <c r="I179" s="602"/>
      <c r="J179" s="604"/>
      <c r="K179" s="604"/>
      <c r="L179" s="604"/>
      <c r="M179" s="605"/>
      <c r="N179" s="606"/>
      <c r="O179" s="607"/>
      <c r="P179" s="608">
        <f t="shared" si="5"/>
        <v>0</v>
      </c>
      <c r="Q179" s="608"/>
      <c r="R179" s="609"/>
      <c r="S179" s="609"/>
      <c r="T179" s="609"/>
      <c r="U179" s="521"/>
      <c r="V179" s="541"/>
      <c r="W179" s="541"/>
      <c r="X179" s="541"/>
      <c r="Y179" s="541"/>
    </row>
    <row r="180" spans="1:25" s="543" customFormat="1" ht="11.25" customHeight="1">
      <c r="A180" s="540"/>
      <c r="B180" s="600"/>
      <c r="C180" s="600"/>
      <c r="D180" s="600"/>
      <c r="E180" s="306"/>
      <c r="F180" s="601"/>
      <c r="G180" s="602"/>
      <c r="H180" s="603"/>
      <c r="I180" s="602"/>
      <c r="J180" s="604"/>
      <c r="K180" s="604"/>
      <c r="L180" s="604"/>
      <c r="M180" s="605"/>
      <c r="N180" s="606"/>
      <c r="O180" s="607"/>
      <c r="P180" s="608">
        <f t="shared" si="5"/>
        <v>0</v>
      </c>
      <c r="Q180" s="608"/>
      <c r="R180" s="609"/>
      <c r="S180" s="609"/>
      <c r="T180" s="609"/>
      <c r="U180" s="521"/>
      <c r="V180" s="541"/>
      <c r="W180" s="541"/>
      <c r="X180" s="541"/>
      <c r="Y180" s="541"/>
    </row>
    <row r="181" spans="1:25" s="543" customFormat="1" ht="11.25" customHeight="1">
      <c r="A181" s="540"/>
      <c r="B181" s="600"/>
      <c r="C181" s="600"/>
      <c r="D181" s="600"/>
      <c r="E181" s="306"/>
      <c r="F181" s="601"/>
      <c r="G181" s="602"/>
      <c r="H181" s="603"/>
      <c r="I181" s="602"/>
      <c r="J181" s="604"/>
      <c r="K181" s="604"/>
      <c r="L181" s="604"/>
      <c r="M181" s="605"/>
      <c r="N181" s="606"/>
      <c r="O181" s="607"/>
      <c r="P181" s="608">
        <f t="shared" si="5"/>
        <v>0</v>
      </c>
      <c r="Q181" s="608"/>
      <c r="R181" s="609"/>
      <c r="S181" s="609"/>
      <c r="T181" s="609"/>
      <c r="U181" s="521"/>
      <c r="V181" s="541"/>
      <c r="W181" s="541"/>
      <c r="X181" s="541"/>
      <c r="Y181" s="541"/>
    </row>
    <row r="182" spans="1:25" s="543" customFormat="1" ht="11.25" customHeight="1">
      <c r="A182" s="540"/>
      <c r="B182" s="600"/>
      <c r="C182" s="600"/>
      <c r="D182" s="600"/>
      <c r="E182" s="306"/>
      <c r="F182" s="601"/>
      <c r="G182" s="602"/>
      <c r="H182" s="603"/>
      <c r="I182" s="602"/>
      <c r="J182" s="604"/>
      <c r="K182" s="604"/>
      <c r="L182" s="604"/>
      <c r="M182" s="605"/>
      <c r="N182" s="606"/>
      <c r="O182" s="607"/>
      <c r="P182" s="608">
        <f t="shared" si="5"/>
        <v>0</v>
      </c>
      <c r="Q182" s="608"/>
      <c r="R182" s="609"/>
      <c r="S182" s="609"/>
      <c r="T182" s="609"/>
      <c r="U182" s="521"/>
      <c r="V182" s="541"/>
      <c r="W182" s="541"/>
      <c r="X182" s="541"/>
      <c r="Y182" s="541"/>
    </row>
    <row r="183" spans="1:25" s="543" customFormat="1" ht="11.25" customHeight="1">
      <c r="A183" s="540"/>
      <c r="B183" s="600"/>
      <c r="C183" s="600"/>
      <c r="D183" s="600"/>
      <c r="E183" s="306"/>
      <c r="F183" s="601"/>
      <c r="G183" s="602"/>
      <c r="H183" s="603"/>
      <c r="I183" s="602"/>
      <c r="J183" s="604"/>
      <c r="K183" s="604"/>
      <c r="L183" s="604"/>
      <c r="M183" s="605"/>
      <c r="N183" s="606"/>
      <c r="O183" s="607"/>
      <c r="P183" s="608">
        <f t="shared" si="5"/>
        <v>0</v>
      </c>
      <c r="Q183" s="608"/>
      <c r="R183" s="609"/>
      <c r="S183" s="609"/>
      <c r="T183" s="609"/>
      <c r="U183" s="521"/>
      <c r="V183" s="541"/>
      <c r="W183" s="541"/>
      <c r="X183" s="541"/>
      <c r="Y183" s="541"/>
    </row>
    <row r="184" spans="1:25" s="543" customFormat="1" ht="11.25" customHeight="1">
      <c r="A184" s="540"/>
      <c r="B184" s="600"/>
      <c r="C184" s="600"/>
      <c r="D184" s="600"/>
      <c r="E184" s="306"/>
      <c r="F184" s="601"/>
      <c r="G184" s="602"/>
      <c r="H184" s="603"/>
      <c r="I184" s="602"/>
      <c r="J184" s="604"/>
      <c r="K184" s="604"/>
      <c r="L184" s="604"/>
      <c r="M184" s="605"/>
      <c r="N184" s="606"/>
      <c r="O184" s="607"/>
      <c r="P184" s="608">
        <f t="shared" si="5"/>
        <v>0</v>
      </c>
      <c r="Q184" s="608"/>
      <c r="R184" s="609"/>
      <c r="S184" s="609"/>
      <c r="T184" s="609"/>
      <c r="U184" s="521"/>
      <c r="V184" s="541"/>
      <c r="W184" s="541"/>
      <c r="X184" s="541"/>
      <c r="Y184" s="541"/>
    </row>
    <row r="185" spans="1:25" s="543" customFormat="1" ht="11.25" customHeight="1">
      <c r="A185" s="540"/>
      <c r="B185" s="600"/>
      <c r="C185" s="600"/>
      <c r="D185" s="600"/>
      <c r="E185" s="306"/>
      <c r="F185" s="601"/>
      <c r="G185" s="602"/>
      <c r="H185" s="603"/>
      <c r="I185" s="602"/>
      <c r="J185" s="604"/>
      <c r="K185" s="604"/>
      <c r="L185" s="604"/>
      <c r="M185" s="605"/>
      <c r="N185" s="606"/>
      <c r="O185" s="607"/>
      <c r="P185" s="608">
        <f t="shared" si="5"/>
        <v>0</v>
      </c>
      <c r="Q185" s="608"/>
      <c r="R185" s="609"/>
      <c r="S185" s="609"/>
      <c r="T185" s="609"/>
      <c r="U185" s="521"/>
      <c r="V185" s="541"/>
      <c r="W185" s="541"/>
      <c r="X185" s="541"/>
      <c r="Y185" s="541"/>
    </row>
    <row r="186" spans="1:25" s="543" customFormat="1" ht="11.25" customHeight="1">
      <c r="A186" s="540"/>
      <c r="B186" s="600"/>
      <c r="C186" s="600"/>
      <c r="D186" s="600"/>
      <c r="E186" s="306"/>
      <c r="F186" s="601"/>
      <c r="G186" s="602"/>
      <c r="H186" s="603"/>
      <c r="I186" s="602"/>
      <c r="J186" s="604"/>
      <c r="K186" s="604"/>
      <c r="L186" s="604"/>
      <c r="M186" s="605"/>
      <c r="N186" s="606"/>
      <c r="O186" s="607"/>
      <c r="P186" s="608">
        <f t="shared" si="5"/>
        <v>0</v>
      </c>
      <c r="Q186" s="608"/>
      <c r="R186" s="609"/>
      <c r="S186" s="609"/>
      <c r="T186" s="609"/>
      <c r="U186" s="521"/>
      <c r="V186" s="541"/>
      <c r="W186" s="541"/>
      <c r="X186" s="541"/>
      <c r="Y186" s="541"/>
    </row>
    <row r="187" spans="1:25" s="543" customFormat="1" ht="11.25" customHeight="1">
      <c r="A187" s="540"/>
      <c r="B187" s="600"/>
      <c r="C187" s="600"/>
      <c r="D187" s="600"/>
      <c r="E187" s="306"/>
      <c r="F187" s="601"/>
      <c r="G187" s="602"/>
      <c r="H187" s="603"/>
      <c r="I187" s="602"/>
      <c r="J187" s="604"/>
      <c r="K187" s="604"/>
      <c r="L187" s="604"/>
      <c r="M187" s="605"/>
      <c r="N187" s="606"/>
      <c r="O187" s="607"/>
      <c r="P187" s="608">
        <f t="shared" si="5"/>
        <v>0</v>
      </c>
      <c r="Q187" s="608"/>
      <c r="R187" s="609"/>
      <c r="S187" s="609"/>
      <c r="T187" s="609"/>
      <c r="U187" s="521"/>
      <c r="V187" s="541"/>
      <c r="W187" s="541"/>
      <c r="X187" s="541"/>
      <c r="Y187" s="541"/>
    </row>
    <row r="188" spans="1:25" s="542" customFormat="1" ht="12" customHeight="1">
      <c r="A188" s="540"/>
      <c r="B188" s="600"/>
      <c r="C188" s="600"/>
      <c r="D188" s="600"/>
      <c r="E188" s="306"/>
      <c r="F188" s="601"/>
      <c r="G188" s="602"/>
      <c r="H188" s="603"/>
      <c r="I188" s="602"/>
      <c r="J188" s="604"/>
      <c r="K188" s="604"/>
      <c r="L188" s="604"/>
      <c r="M188" s="605"/>
      <c r="N188" s="606"/>
      <c r="O188" s="607"/>
      <c r="P188" s="608">
        <f t="shared" si="5"/>
        <v>0</v>
      </c>
      <c r="Q188" s="608"/>
      <c r="R188" s="609"/>
      <c r="S188" s="609"/>
      <c r="T188" s="609"/>
      <c r="U188" s="521"/>
      <c r="V188" s="541"/>
      <c r="W188" s="541"/>
      <c r="X188" s="541"/>
      <c r="Y188" s="541"/>
    </row>
    <row r="189" spans="1:25" s="537" customFormat="1" ht="12" customHeight="1">
      <c r="A189" s="441"/>
      <c r="B189" s="600"/>
      <c r="C189" s="600"/>
      <c r="D189" s="600"/>
      <c r="E189" s="306"/>
      <c r="F189" s="601"/>
      <c r="G189" s="602"/>
      <c r="H189" s="603"/>
      <c r="I189" s="602"/>
      <c r="J189" s="604"/>
      <c r="K189" s="604"/>
      <c r="L189" s="604"/>
      <c r="M189" s="605"/>
      <c r="N189" s="606"/>
      <c r="O189" s="607"/>
      <c r="P189" s="608">
        <f t="shared" si="5"/>
        <v>0</v>
      </c>
      <c r="Q189" s="608"/>
      <c r="R189" s="609"/>
      <c r="S189" s="609"/>
      <c r="T189" s="609"/>
      <c r="U189" s="521"/>
      <c r="V189" s="440"/>
      <c r="W189" s="440"/>
      <c r="X189" s="440"/>
      <c r="Y189" s="440"/>
    </row>
    <row r="190" spans="1:25" s="543" customFormat="1" ht="11.25" customHeight="1">
      <c r="A190" s="540"/>
      <c r="B190" s="600"/>
      <c r="C190" s="600"/>
      <c r="D190" s="600"/>
      <c r="E190" s="306"/>
      <c r="F190" s="601"/>
      <c r="G190" s="602"/>
      <c r="H190" s="603"/>
      <c r="I190" s="602"/>
      <c r="J190" s="604"/>
      <c r="K190" s="604"/>
      <c r="L190" s="604"/>
      <c r="M190" s="605"/>
      <c r="N190" s="606"/>
      <c r="O190" s="607"/>
      <c r="P190" s="608">
        <f t="shared" si="5"/>
        <v>0</v>
      </c>
      <c r="Q190" s="608"/>
      <c r="R190" s="609"/>
      <c r="S190" s="609"/>
      <c r="T190" s="609"/>
      <c r="U190" s="521"/>
      <c r="V190" s="541"/>
      <c r="W190" s="541"/>
      <c r="X190" s="541"/>
      <c r="Y190" s="541"/>
    </row>
    <row r="191" spans="1:25" s="543" customFormat="1" ht="11.25" customHeight="1">
      <c r="A191" s="540"/>
      <c r="B191" s="600"/>
      <c r="C191" s="600"/>
      <c r="D191" s="600"/>
      <c r="E191" s="306"/>
      <c r="F191" s="601"/>
      <c r="G191" s="602"/>
      <c r="H191" s="603"/>
      <c r="I191" s="602"/>
      <c r="J191" s="604"/>
      <c r="K191" s="604"/>
      <c r="L191" s="604"/>
      <c r="M191" s="605"/>
      <c r="N191" s="606"/>
      <c r="O191" s="607"/>
      <c r="P191" s="608">
        <f t="shared" si="5"/>
        <v>0</v>
      </c>
      <c r="Q191" s="608"/>
      <c r="R191" s="609"/>
      <c r="S191" s="609"/>
      <c r="T191" s="609"/>
      <c r="U191" s="521"/>
      <c r="V191" s="541"/>
      <c r="W191" s="541"/>
      <c r="X191" s="541"/>
      <c r="Y191" s="541"/>
    </row>
    <row r="192" spans="1:25" s="543" customFormat="1" ht="11.25" customHeight="1">
      <c r="A192" s="540"/>
      <c r="B192" s="600"/>
      <c r="C192" s="600"/>
      <c r="D192" s="600"/>
      <c r="E192" s="306"/>
      <c r="F192" s="601"/>
      <c r="G192" s="602"/>
      <c r="H192" s="603"/>
      <c r="I192" s="602"/>
      <c r="J192" s="604"/>
      <c r="K192" s="604"/>
      <c r="L192" s="604"/>
      <c r="M192" s="605"/>
      <c r="N192" s="606"/>
      <c r="O192" s="607"/>
      <c r="P192" s="608">
        <f t="shared" si="5"/>
        <v>0</v>
      </c>
      <c r="Q192" s="608"/>
      <c r="R192" s="609"/>
      <c r="S192" s="609"/>
      <c r="T192" s="609"/>
      <c r="U192" s="521"/>
      <c r="V192" s="541"/>
      <c r="W192" s="541"/>
      <c r="X192" s="541"/>
      <c r="Y192" s="541"/>
    </row>
    <row r="193" spans="1:25" s="543" customFormat="1" ht="11.25" customHeight="1">
      <c r="A193" s="540"/>
      <c r="B193" s="600"/>
      <c r="C193" s="600"/>
      <c r="D193" s="600"/>
      <c r="E193" s="306"/>
      <c r="F193" s="601"/>
      <c r="G193" s="602"/>
      <c r="H193" s="603"/>
      <c r="I193" s="602"/>
      <c r="J193" s="604"/>
      <c r="K193" s="604"/>
      <c r="L193" s="604"/>
      <c r="M193" s="605"/>
      <c r="N193" s="606"/>
      <c r="O193" s="607"/>
      <c r="P193" s="608">
        <f t="shared" si="5"/>
        <v>0</v>
      </c>
      <c r="Q193" s="608"/>
      <c r="R193" s="609"/>
      <c r="S193" s="609"/>
      <c r="T193" s="609"/>
      <c r="U193" s="521"/>
      <c r="V193" s="541"/>
      <c r="W193" s="541"/>
      <c r="X193" s="541"/>
      <c r="Y193" s="541"/>
    </row>
    <row r="194" spans="1:25" s="543" customFormat="1" ht="11.25" customHeight="1">
      <c r="A194" s="540"/>
      <c r="B194" s="600"/>
      <c r="C194" s="600"/>
      <c r="D194" s="600"/>
      <c r="E194" s="306"/>
      <c r="F194" s="601"/>
      <c r="G194" s="602"/>
      <c r="H194" s="603"/>
      <c r="I194" s="602"/>
      <c r="J194" s="604"/>
      <c r="K194" s="604"/>
      <c r="L194" s="604"/>
      <c r="M194" s="605"/>
      <c r="N194" s="606"/>
      <c r="O194" s="607"/>
      <c r="P194" s="608">
        <f t="shared" si="5"/>
        <v>0</v>
      </c>
      <c r="Q194" s="608"/>
      <c r="R194" s="609"/>
      <c r="S194" s="609"/>
      <c r="T194" s="609"/>
      <c r="U194" s="521"/>
      <c r="V194" s="541"/>
      <c r="W194" s="541"/>
      <c r="X194" s="541"/>
      <c r="Y194" s="541"/>
    </row>
    <row r="195" spans="1:25" s="543" customFormat="1" ht="11.25" customHeight="1">
      <c r="A195" s="540"/>
      <c r="B195" s="600"/>
      <c r="C195" s="600"/>
      <c r="D195" s="600"/>
      <c r="E195" s="306"/>
      <c r="F195" s="601"/>
      <c r="G195" s="602"/>
      <c r="H195" s="603"/>
      <c r="I195" s="602"/>
      <c r="J195" s="604"/>
      <c r="K195" s="604"/>
      <c r="L195" s="604"/>
      <c r="M195" s="605"/>
      <c r="N195" s="606"/>
      <c r="O195" s="607"/>
      <c r="P195" s="608">
        <f t="shared" si="5"/>
        <v>0</v>
      </c>
      <c r="Q195" s="608"/>
      <c r="R195" s="609"/>
      <c r="S195" s="609"/>
      <c r="T195" s="609"/>
      <c r="U195" s="521"/>
      <c r="V195" s="541"/>
      <c r="W195" s="541"/>
      <c r="X195" s="541"/>
      <c r="Y195" s="541"/>
    </row>
    <row r="196" spans="1:25" s="542" customFormat="1" ht="12" customHeight="1">
      <c r="A196" s="540"/>
      <c r="B196" s="600"/>
      <c r="C196" s="600"/>
      <c r="D196" s="600"/>
      <c r="E196" s="306"/>
      <c r="F196" s="601"/>
      <c r="G196" s="602"/>
      <c r="H196" s="603"/>
      <c r="I196" s="602"/>
      <c r="J196" s="604"/>
      <c r="K196" s="604"/>
      <c r="L196" s="604"/>
      <c r="M196" s="605"/>
      <c r="N196" s="606"/>
      <c r="O196" s="607"/>
      <c r="P196" s="608">
        <f t="shared" si="5"/>
        <v>0</v>
      </c>
      <c r="Q196" s="608"/>
      <c r="R196" s="609"/>
      <c r="S196" s="609"/>
      <c r="T196" s="609"/>
      <c r="U196" s="521"/>
      <c r="V196" s="541"/>
      <c r="W196" s="541"/>
      <c r="X196" s="541"/>
      <c r="Y196" s="541"/>
    </row>
    <row r="197" spans="1:25" s="537" customFormat="1" ht="12" customHeight="1">
      <c r="A197" s="441"/>
      <c r="B197" s="600"/>
      <c r="C197" s="600"/>
      <c r="D197" s="600"/>
      <c r="E197" s="306"/>
      <c r="F197" s="601"/>
      <c r="G197" s="602"/>
      <c r="H197" s="603"/>
      <c r="I197" s="602"/>
      <c r="J197" s="604"/>
      <c r="K197" s="604"/>
      <c r="L197" s="604"/>
      <c r="M197" s="605"/>
      <c r="N197" s="606"/>
      <c r="O197" s="607"/>
      <c r="P197" s="608">
        <f t="shared" si="5"/>
        <v>0</v>
      </c>
      <c r="Q197" s="608"/>
      <c r="R197" s="609"/>
      <c r="S197" s="609"/>
      <c r="T197" s="609"/>
      <c r="U197" s="521"/>
      <c r="V197" s="440"/>
      <c r="W197" s="440"/>
      <c r="X197" s="440"/>
      <c r="Y197" s="440"/>
    </row>
    <row r="198" spans="1:25" s="543" customFormat="1" ht="11.25" customHeight="1">
      <c r="A198" s="540"/>
      <c r="B198" s="600"/>
      <c r="C198" s="600"/>
      <c r="D198" s="600"/>
      <c r="E198" s="306"/>
      <c r="F198" s="601"/>
      <c r="G198" s="602"/>
      <c r="H198" s="603"/>
      <c r="I198" s="602"/>
      <c r="J198" s="604"/>
      <c r="K198" s="604"/>
      <c r="L198" s="604"/>
      <c r="M198" s="605"/>
      <c r="N198" s="606"/>
      <c r="O198" s="607"/>
      <c r="P198" s="608">
        <f t="shared" si="5"/>
        <v>0</v>
      </c>
      <c r="Q198" s="608"/>
      <c r="R198" s="609"/>
      <c r="S198" s="609"/>
      <c r="T198" s="609"/>
      <c r="U198" s="521"/>
      <c r="V198" s="541"/>
      <c r="W198" s="541"/>
      <c r="X198" s="541"/>
      <c r="Y198" s="541"/>
    </row>
    <row r="199" spans="1:25" s="543" customFormat="1" ht="11.25" customHeight="1">
      <c r="A199" s="540"/>
      <c r="B199" s="600"/>
      <c r="C199" s="600"/>
      <c r="D199" s="600"/>
      <c r="E199" s="306"/>
      <c r="F199" s="601"/>
      <c r="G199" s="602"/>
      <c r="H199" s="603"/>
      <c r="I199" s="602"/>
      <c r="J199" s="604"/>
      <c r="K199" s="604"/>
      <c r="L199" s="604"/>
      <c r="M199" s="605"/>
      <c r="N199" s="606"/>
      <c r="O199" s="607"/>
      <c r="P199" s="608">
        <f t="shared" si="5"/>
        <v>0</v>
      </c>
      <c r="Q199" s="608"/>
      <c r="R199" s="609"/>
      <c r="S199" s="609"/>
      <c r="T199" s="609"/>
      <c r="U199" s="521"/>
      <c r="V199" s="541"/>
      <c r="W199" s="541"/>
      <c r="X199" s="541"/>
      <c r="Y199" s="541"/>
    </row>
    <row r="200" spans="1:25" s="543" customFormat="1" ht="11.25" customHeight="1">
      <c r="A200" s="540"/>
      <c r="B200" s="600"/>
      <c r="C200" s="600"/>
      <c r="D200" s="600"/>
      <c r="E200" s="306"/>
      <c r="F200" s="601"/>
      <c r="G200" s="602"/>
      <c r="H200" s="603"/>
      <c r="I200" s="602"/>
      <c r="J200" s="604"/>
      <c r="K200" s="604"/>
      <c r="L200" s="604"/>
      <c r="M200" s="605"/>
      <c r="N200" s="606"/>
      <c r="O200" s="607"/>
      <c r="P200" s="608">
        <f t="shared" si="5"/>
        <v>0</v>
      </c>
      <c r="Q200" s="608"/>
      <c r="R200" s="609"/>
      <c r="S200" s="609"/>
      <c r="T200" s="609"/>
      <c r="U200" s="521"/>
      <c r="V200" s="541"/>
      <c r="W200" s="541"/>
      <c r="X200" s="541"/>
      <c r="Y200" s="541"/>
    </row>
    <row r="201" spans="1:25" s="543" customFormat="1" ht="11.25" customHeight="1">
      <c r="A201" s="540"/>
      <c r="B201" s="600"/>
      <c r="C201" s="600"/>
      <c r="D201" s="600"/>
      <c r="E201" s="306"/>
      <c r="F201" s="601"/>
      <c r="G201" s="602"/>
      <c r="H201" s="603"/>
      <c r="I201" s="602"/>
      <c r="J201" s="604"/>
      <c r="K201" s="604"/>
      <c r="L201" s="604"/>
      <c r="M201" s="605"/>
      <c r="N201" s="606"/>
      <c r="O201" s="607"/>
      <c r="P201" s="608">
        <f t="shared" si="5"/>
        <v>0</v>
      </c>
      <c r="Q201" s="608"/>
      <c r="R201" s="609"/>
      <c r="S201" s="609"/>
      <c r="T201" s="609"/>
      <c r="U201" s="521"/>
      <c r="V201" s="541"/>
      <c r="W201" s="541"/>
      <c r="X201" s="541"/>
      <c r="Y201" s="541"/>
    </row>
    <row r="202" spans="1:25" s="543" customFormat="1" ht="11.25" customHeight="1">
      <c r="A202" s="540"/>
      <c r="B202" s="600"/>
      <c r="C202" s="600"/>
      <c r="D202" s="600"/>
      <c r="E202" s="306"/>
      <c r="F202" s="601"/>
      <c r="G202" s="602"/>
      <c r="H202" s="603"/>
      <c r="I202" s="602"/>
      <c r="J202" s="604"/>
      <c r="K202" s="604"/>
      <c r="L202" s="604"/>
      <c r="M202" s="605"/>
      <c r="N202" s="606"/>
      <c r="O202" s="607"/>
      <c r="P202" s="608">
        <f t="shared" si="5"/>
        <v>0</v>
      </c>
      <c r="Q202" s="608"/>
      <c r="R202" s="609"/>
      <c r="S202" s="609"/>
      <c r="T202" s="609"/>
      <c r="U202" s="521"/>
      <c r="V202" s="541"/>
      <c r="W202" s="541"/>
      <c r="X202" s="541"/>
      <c r="Y202" s="541"/>
    </row>
    <row r="203" spans="1:25" s="543" customFormat="1" ht="11.25" customHeight="1">
      <c r="A203" s="540"/>
      <c r="B203" s="600"/>
      <c r="C203" s="600"/>
      <c r="D203" s="600"/>
      <c r="E203" s="306"/>
      <c r="F203" s="601"/>
      <c r="G203" s="602"/>
      <c r="H203" s="603"/>
      <c r="I203" s="602"/>
      <c r="J203" s="604"/>
      <c r="K203" s="604"/>
      <c r="L203" s="604"/>
      <c r="M203" s="605"/>
      <c r="N203" s="606"/>
      <c r="O203" s="607"/>
      <c r="P203" s="608">
        <f t="shared" si="5"/>
        <v>0</v>
      </c>
      <c r="Q203" s="608"/>
      <c r="R203" s="609"/>
      <c r="S203" s="609"/>
      <c r="T203" s="609"/>
      <c r="U203" s="521"/>
      <c r="V203" s="541"/>
      <c r="W203" s="541"/>
      <c r="X203" s="541"/>
      <c r="Y203" s="541"/>
    </row>
    <row r="204" spans="1:25" s="542" customFormat="1" ht="12" customHeight="1">
      <c r="A204" s="540"/>
      <c r="B204" s="600"/>
      <c r="C204" s="600"/>
      <c r="D204" s="600"/>
      <c r="E204" s="306"/>
      <c r="F204" s="601"/>
      <c r="G204" s="602"/>
      <c r="H204" s="603"/>
      <c r="I204" s="602"/>
      <c r="J204" s="604"/>
      <c r="K204" s="604"/>
      <c r="L204" s="604"/>
      <c r="M204" s="605"/>
      <c r="N204" s="606"/>
      <c r="O204" s="607"/>
      <c r="P204" s="608">
        <f t="shared" si="5"/>
        <v>0</v>
      </c>
      <c r="Q204" s="608"/>
      <c r="R204" s="609"/>
      <c r="S204" s="609"/>
      <c r="T204" s="609"/>
      <c r="U204" s="521"/>
      <c r="V204" s="541"/>
      <c r="W204" s="541"/>
      <c r="X204" s="541"/>
      <c r="Y204" s="541"/>
    </row>
    <row r="205" spans="1:25" s="537" customFormat="1" ht="12" customHeight="1">
      <c r="A205" s="441"/>
      <c r="B205" s="600"/>
      <c r="C205" s="600"/>
      <c r="D205" s="600"/>
      <c r="E205" s="306"/>
      <c r="F205" s="601"/>
      <c r="G205" s="602"/>
      <c r="H205" s="603"/>
      <c r="I205" s="602"/>
      <c r="J205" s="604"/>
      <c r="K205" s="604"/>
      <c r="L205" s="604"/>
      <c r="M205" s="605"/>
      <c r="N205" s="606"/>
      <c r="O205" s="607"/>
      <c r="P205" s="608">
        <f t="shared" si="5"/>
        <v>0</v>
      </c>
      <c r="Q205" s="608"/>
      <c r="R205" s="609"/>
      <c r="S205" s="609"/>
      <c r="T205" s="609"/>
      <c r="U205" s="521"/>
      <c r="V205" s="440"/>
      <c r="W205" s="440"/>
      <c r="X205" s="440"/>
      <c r="Y205" s="440"/>
    </row>
    <row r="206" spans="1:25" s="543" customFormat="1" ht="11.25" customHeight="1">
      <c r="A206" s="540"/>
      <c r="B206" s="600"/>
      <c r="C206" s="600"/>
      <c r="D206" s="600"/>
      <c r="E206" s="306"/>
      <c r="F206" s="601"/>
      <c r="G206" s="602"/>
      <c r="H206" s="603"/>
      <c r="I206" s="602"/>
      <c r="J206" s="604"/>
      <c r="K206" s="604"/>
      <c r="L206" s="604"/>
      <c r="M206" s="605"/>
      <c r="N206" s="606"/>
      <c r="O206" s="607"/>
      <c r="P206" s="608">
        <f t="shared" si="5"/>
        <v>0</v>
      </c>
      <c r="Q206" s="608"/>
      <c r="R206" s="609"/>
      <c r="S206" s="609"/>
      <c r="T206" s="609"/>
      <c r="U206" s="521"/>
      <c r="V206" s="541"/>
      <c r="W206" s="541"/>
      <c r="X206" s="541"/>
      <c r="Y206" s="541"/>
    </row>
    <row r="207" spans="1:25" s="543" customFormat="1" ht="11.25" customHeight="1">
      <c r="A207" s="540"/>
      <c r="B207" s="600"/>
      <c r="C207" s="600"/>
      <c r="D207" s="600"/>
      <c r="E207" s="306"/>
      <c r="F207" s="601"/>
      <c r="G207" s="602"/>
      <c r="H207" s="603"/>
      <c r="I207" s="602"/>
      <c r="J207" s="604"/>
      <c r="K207" s="604"/>
      <c r="L207" s="604"/>
      <c r="M207" s="605"/>
      <c r="N207" s="606"/>
      <c r="O207" s="607"/>
      <c r="P207" s="608">
        <f t="shared" si="5"/>
        <v>0</v>
      </c>
      <c r="Q207" s="608"/>
      <c r="R207" s="609"/>
      <c r="S207" s="609"/>
      <c r="T207" s="609"/>
      <c r="U207" s="521"/>
      <c r="V207" s="541"/>
      <c r="W207" s="541"/>
      <c r="X207" s="541"/>
      <c r="Y207" s="541"/>
    </row>
    <row r="208" spans="1:25" s="543" customFormat="1" ht="11.25" customHeight="1">
      <c r="A208" s="540"/>
      <c r="B208" s="600"/>
      <c r="C208" s="600"/>
      <c r="D208" s="600"/>
      <c r="E208" s="306"/>
      <c r="F208" s="601"/>
      <c r="G208" s="602"/>
      <c r="H208" s="603"/>
      <c r="I208" s="602"/>
      <c r="J208" s="604"/>
      <c r="K208" s="604"/>
      <c r="L208" s="604"/>
      <c r="M208" s="605"/>
      <c r="N208" s="606"/>
      <c r="O208" s="607"/>
      <c r="P208" s="608">
        <f t="shared" si="5"/>
        <v>0</v>
      </c>
      <c r="Q208" s="608"/>
      <c r="R208" s="609"/>
      <c r="S208" s="609"/>
      <c r="T208" s="609"/>
      <c r="U208" s="521"/>
      <c r="V208" s="541"/>
      <c r="W208" s="541"/>
      <c r="X208" s="541"/>
      <c r="Y208" s="541"/>
    </row>
    <row r="209" spans="1:25" s="543" customFormat="1" ht="11.25" customHeight="1">
      <c r="A209" s="540"/>
      <c r="B209" s="600"/>
      <c r="C209" s="600"/>
      <c r="D209" s="600"/>
      <c r="E209" s="306"/>
      <c r="F209" s="601"/>
      <c r="G209" s="602"/>
      <c r="H209" s="603"/>
      <c r="I209" s="602"/>
      <c r="J209" s="604"/>
      <c r="K209" s="604"/>
      <c r="L209" s="604"/>
      <c r="M209" s="605"/>
      <c r="N209" s="606"/>
      <c r="O209" s="607"/>
      <c r="P209" s="608">
        <f t="shared" si="5"/>
        <v>0</v>
      </c>
      <c r="Q209" s="608"/>
      <c r="R209" s="609"/>
      <c r="S209" s="609"/>
      <c r="T209" s="609"/>
      <c r="U209" s="521"/>
      <c r="V209" s="541"/>
      <c r="W209" s="541"/>
      <c r="X209" s="541"/>
      <c r="Y209" s="541"/>
    </row>
    <row r="210" spans="1:25" s="543" customFormat="1" ht="11.25" customHeight="1">
      <c r="A210" s="540"/>
      <c r="B210" s="600"/>
      <c r="C210" s="600"/>
      <c r="D210" s="600"/>
      <c r="E210" s="306"/>
      <c r="F210" s="601"/>
      <c r="G210" s="602"/>
      <c r="H210" s="603"/>
      <c r="I210" s="602"/>
      <c r="J210" s="604"/>
      <c r="K210" s="604"/>
      <c r="L210" s="604"/>
      <c r="M210" s="605"/>
      <c r="N210" s="606"/>
      <c r="O210" s="607"/>
      <c r="P210" s="608">
        <f t="shared" si="5"/>
        <v>0</v>
      </c>
      <c r="Q210" s="608"/>
      <c r="R210" s="609"/>
      <c r="S210" s="609"/>
      <c r="T210" s="609"/>
      <c r="U210" s="521"/>
      <c r="V210" s="541"/>
      <c r="W210" s="541"/>
      <c r="X210" s="541"/>
      <c r="Y210" s="541"/>
    </row>
    <row r="211" spans="1:25" s="543" customFormat="1" ht="11.25" customHeight="1">
      <c r="A211" s="540"/>
      <c r="B211" s="600"/>
      <c r="C211" s="600"/>
      <c r="D211" s="600"/>
      <c r="E211" s="306"/>
      <c r="F211" s="601"/>
      <c r="G211" s="602"/>
      <c r="H211" s="603"/>
      <c r="I211" s="602"/>
      <c r="J211" s="604"/>
      <c r="K211" s="604"/>
      <c r="L211" s="604"/>
      <c r="M211" s="605"/>
      <c r="N211" s="606"/>
      <c r="O211" s="607"/>
      <c r="P211" s="608">
        <f t="shared" si="5"/>
        <v>0</v>
      </c>
      <c r="Q211" s="608"/>
      <c r="R211" s="609"/>
      <c r="S211" s="609"/>
      <c r="T211" s="609"/>
      <c r="U211" s="521"/>
      <c r="V211" s="541"/>
      <c r="W211" s="541"/>
      <c r="X211" s="541"/>
      <c r="Y211" s="541"/>
    </row>
    <row r="212" spans="1:25" s="543" customFormat="1" ht="11.25" customHeight="1">
      <c r="A212" s="540"/>
      <c r="B212" s="600"/>
      <c r="C212" s="600"/>
      <c r="D212" s="600"/>
      <c r="E212" s="306"/>
      <c r="F212" s="601"/>
      <c r="G212" s="602"/>
      <c r="H212" s="603"/>
      <c r="I212" s="602"/>
      <c r="J212" s="604"/>
      <c r="K212" s="604"/>
      <c r="L212" s="604"/>
      <c r="M212" s="605"/>
      <c r="N212" s="606"/>
      <c r="O212" s="607"/>
      <c r="P212" s="608">
        <f t="shared" si="5"/>
        <v>0</v>
      </c>
      <c r="Q212" s="608"/>
      <c r="R212" s="609"/>
      <c r="S212" s="609"/>
      <c r="T212" s="609"/>
      <c r="U212" s="521"/>
      <c r="V212" s="541"/>
      <c r="W212" s="541"/>
      <c r="X212" s="541"/>
      <c r="Y212" s="541"/>
    </row>
    <row r="213" spans="1:25" s="543" customFormat="1" ht="11.25" customHeight="1">
      <c r="A213" s="540"/>
      <c r="B213" s="600"/>
      <c r="C213" s="600"/>
      <c r="D213" s="600"/>
      <c r="E213" s="306"/>
      <c r="F213" s="601"/>
      <c r="G213" s="602"/>
      <c r="H213" s="603"/>
      <c r="I213" s="602"/>
      <c r="J213" s="604"/>
      <c r="K213" s="604"/>
      <c r="L213" s="604"/>
      <c r="M213" s="605"/>
      <c r="N213" s="606"/>
      <c r="O213" s="607"/>
      <c r="P213" s="608">
        <f t="shared" si="5"/>
        <v>0</v>
      </c>
      <c r="Q213" s="608"/>
      <c r="R213" s="609"/>
      <c r="S213" s="609"/>
      <c r="T213" s="609"/>
      <c r="U213" s="521"/>
      <c r="V213" s="541"/>
      <c r="W213" s="541"/>
      <c r="X213" s="541"/>
      <c r="Y213" s="541"/>
    </row>
    <row r="214" spans="1:25" s="543" customFormat="1" ht="11.25" customHeight="1">
      <c r="A214" s="540"/>
      <c r="B214" s="600"/>
      <c r="C214" s="600"/>
      <c r="D214" s="600"/>
      <c r="E214" s="306"/>
      <c r="F214" s="601"/>
      <c r="G214" s="602"/>
      <c r="H214" s="603"/>
      <c r="I214" s="602"/>
      <c r="J214" s="604"/>
      <c r="K214" s="604"/>
      <c r="L214" s="604"/>
      <c r="M214" s="605"/>
      <c r="N214" s="606"/>
      <c r="O214" s="607"/>
      <c r="P214" s="608">
        <f t="shared" si="5"/>
        <v>0</v>
      </c>
      <c r="Q214" s="608"/>
      <c r="R214" s="609"/>
      <c r="S214" s="609"/>
      <c r="T214" s="609"/>
      <c r="U214" s="521"/>
      <c r="V214" s="541"/>
      <c r="W214" s="541"/>
      <c r="X214" s="541"/>
      <c r="Y214" s="541"/>
    </row>
    <row r="215" spans="1:25" s="542" customFormat="1" ht="12" customHeight="1">
      <c r="A215" s="540"/>
      <c r="B215" s="600"/>
      <c r="C215" s="600"/>
      <c r="D215" s="600"/>
      <c r="E215" s="306"/>
      <c r="F215" s="601"/>
      <c r="G215" s="602"/>
      <c r="H215" s="603"/>
      <c r="I215" s="602"/>
      <c r="J215" s="604"/>
      <c r="K215" s="604"/>
      <c r="L215" s="604"/>
      <c r="M215" s="605"/>
      <c r="N215" s="606"/>
      <c r="O215" s="607"/>
      <c r="P215" s="608">
        <f t="shared" ref="P215:P259" si="6">P214+J215-M215</f>
        <v>0</v>
      </c>
      <c r="Q215" s="608"/>
      <c r="R215" s="609"/>
      <c r="S215" s="609"/>
      <c r="T215" s="609"/>
      <c r="U215" s="521"/>
      <c r="V215" s="541"/>
      <c r="W215" s="541"/>
      <c r="X215" s="541"/>
      <c r="Y215" s="541"/>
    </row>
    <row r="216" spans="1:25" s="537" customFormat="1" ht="12" customHeight="1">
      <c r="A216" s="441"/>
      <c r="B216" s="600"/>
      <c r="C216" s="600"/>
      <c r="D216" s="600"/>
      <c r="E216" s="306"/>
      <c r="F216" s="601"/>
      <c r="G216" s="602"/>
      <c r="H216" s="603"/>
      <c r="I216" s="602"/>
      <c r="J216" s="604"/>
      <c r="K216" s="604"/>
      <c r="L216" s="604"/>
      <c r="M216" s="605"/>
      <c r="N216" s="606"/>
      <c r="O216" s="607"/>
      <c r="P216" s="608">
        <f t="shared" si="6"/>
        <v>0</v>
      </c>
      <c r="Q216" s="608"/>
      <c r="R216" s="609"/>
      <c r="S216" s="609"/>
      <c r="T216" s="609"/>
      <c r="U216" s="521"/>
      <c r="V216" s="440"/>
      <c r="W216" s="440"/>
      <c r="X216" s="440"/>
      <c r="Y216" s="440"/>
    </row>
    <row r="217" spans="1:25" s="543" customFormat="1" ht="11.25" customHeight="1">
      <c r="A217" s="540"/>
      <c r="B217" s="600"/>
      <c r="C217" s="600"/>
      <c r="D217" s="600"/>
      <c r="E217" s="306"/>
      <c r="F217" s="601"/>
      <c r="G217" s="602"/>
      <c r="H217" s="603"/>
      <c r="I217" s="602"/>
      <c r="J217" s="604"/>
      <c r="K217" s="604"/>
      <c r="L217" s="604"/>
      <c r="M217" s="605"/>
      <c r="N217" s="606"/>
      <c r="O217" s="607"/>
      <c r="P217" s="608">
        <f t="shared" si="6"/>
        <v>0</v>
      </c>
      <c r="Q217" s="608"/>
      <c r="R217" s="609"/>
      <c r="S217" s="609"/>
      <c r="T217" s="609"/>
      <c r="U217" s="521"/>
      <c r="V217" s="541"/>
      <c r="W217" s="541"/>
      <c r="X217" s="541"/>
      <c r="Y217" s="541"/>
    </row>
    <row r="218" spans="1:25" s="543" customFormat="1" ht="11.25" customHeight="1">
      <c r="A218" s="540"/>
      <c r="B218" s="600"/>
      <c r="C218" s="600"/>
      <c r="D218" s="600"/>
      <c r="E218" s="306"/>
      <c r="F218" s="601"/>
      <c r="G218" s="602"/>
      <c r="H218" s="603"/>
      <c r="I218" s="602"/>
      <c r="J218" s="604"/>
      <c r="K218" s="604"/>
      <c r="L218" s="604"/>
      <c r="M218" s="605"/>
      <c r="N218" s="606"/>
      <c r="O218" s="607"/>
      <c r="P218" s="608">
        <f t="shared" si="6"/>
        <v>0</v>
      </c>
      <c r="Q218" s="608"/>
      <c r="R218" s="609"/>
      <c r="S218" s="609"/>
      <c r="T218" s="609"/>
      <c r="U218" s="521"/>
      <c r="V218" s="541"/>
      <c r="W218" s="541"/>
      <c r="X218" s="541"/>
      <c r="Y218" s="541"/>
    </row>
    <row r="219" spans="1:25" s="543" customFormat="1" ht="11.25" customHeight="1">
      <c r="A219" s="540"/>
      <c r="B219" s="600"/>
      <c r="C219" s="600"/>
      <c r="D219" s="600"/>
      <c r="E219" s="306"/>
      <c r="F219" s="601"/>
      <c r="G219" s="602"/>
      <c r="H219" s="603"/>
      <c r="I219" s="602"/>
      <c r="J219" s="604"/>
      <c r="K219" s="604"/>
      <c r="L219" s="604"/>
      <c r="M219" s="605"/>
      <c r="N219" s="606"/>
      <c r="O219" s="607"/>
      <c r="P219" s="608">
        <f t="shared" si="6"/>
        <v>0</v>
      </c>
      <c r="Q219" s="608"/>
      <c r="R219" s="609"/>
      <c r="S219" s="609"/>
      <c r="T219" s="609"/>
      <c r="U219" s="521"/>
      <c r="V219" s="541"/>
      <c r="W219" s="541"/>
      <c r="X219" s="541"/>
      <c r="Y219" s="541"/>
    </row>
    <row r="220" spans="1:25" s="543" customFormat="1" ht="11.25" customHeight="1">
      <c r="A220" s="540"/>
      <c r="B220" s="600"/>
      <c r="C220" s="600"/>
      <c r="D220" s="600"/>
      <c r="E220" s="306"/>
      <c r="F220" s="601"/>
      <c r="G220" s="602"/>
      <c r="H220" s="603"/>
      <c r="I220" s="602"/>
      <c r="J220" s="604"/>
      <c r="K220" s="604"/>
      <c r="L220" s="604"/>
      <c r="M220" s="605"/>
      <c r="N220" s="606"/>
      <c r="O220" s="607"/>
      <c r="P220" s="608">
        <f t="shared" si="6"/>
        <v>0</v>
      </c>
      <c r="Q220" s="608"/>
      <c r="R220" s="609"/>
      <c r="S220" s="609"/>
      <c r="T220" s="609"/>
      <c r="U220" s="521"/>
      <c r="V220" s="541"/>
      <c r="W220" s="541"/>
      <c r="X220" s="541"/>
      <c r="Y220" s="541"/>
    </row>
    <row r="221" spans="1:25" s="543" customFormat="1" ht="11.25" customHeight="1">
      <c r="A221" s="540"/>
      <c r="B221" s="600"/>
      <c r="C221" s="600"/>
      <c r="D221" s="600"/>
      <c r="E221" s="306"/>
      <c r="F221" s="601"/>
      <c r="G221" s="602"/>
      <c r="H221" s="603"/>
      <c r="I221" s="602"/>
      <c r="J221" s="604"/>
      <c r="K221" s="604"/>
      <c r="L221" s="604"/>
      <c r="M221" s="605"/>
      <c r="N221" s="606"/>
      <c r="O221" s="607"/>
      <c r="P221" s="608">
        <f t="shared" si="6"/>
        <v>0</v>
      </c>
      <c r="Q221" s="608"/>
      <c r="R221" s="609"/>
      <c r="S221" s="609"/>
      <c r="T221" s="609"/>
      <c r="U221" s="521"/>
      <c r="V221" s="541"/>
      <c r="W221" s="541"/>
      <c r="X221" s="541"/>
      <c r="Y221" s="541"/>
    </row>
    <row r="222" spans="1:25" s="543" customFormat="1" ht="11.25" customHeight="1">
      <c r="A222" s="540"/>
      <c r="B222" s="600"/>
      <c r="C222" s="600"/>
      <c r="D222" s="600"/>
      <c r="E222" s="306"/>
      <c r="F222" s="601"/>
      <c r="G222" s="602"/>
      <c r="H222" s="603"/>
      <c r="I222" s="602"/>
      <c r="J222" s="604"/>
      <c r="K222" s="604"/>
      <c r="L222" s="604"/>
      <c r="M222" s="605"/>
      <c r="N222" s="606"/>
      <c r="O222" s="607"/>
      <c r="P222" s="608">
        <f t="shared" si="6"/>
        <v>0</v>
      </c>
      <c r="Q222" s="608"/>
      <c r="R222" s="609"/>
      <c r="S222" s="609"/>
      <c r="T222" s="609"/>
      <c r="U222" s="521"/>
      <c r="V222" s="541"/>
      <c r="W222" s="541"/>
      <c r="X222" s="541"/>
      <c r="Y222" s="541"/>
    </row>
    <row r="223" spans="1:25" s="542" customFormat="1" ht="12" customHeight="1">
      <c r="A223" s="540"/>
      <c r="B223" s="600"/>
      <c r="C223" s="600"/>
      <c r="D223" s="600"/>
      <c r="E223" s="306"/>
      <c r="F223" s="601"/>
      <c r="G223" s="602"/>
      <c r="H223" s="603"/>
      <c r="I223" s="602"/>
      <c r="J223" s="604"/>
      <c r="K223" s="604"/>
      <c r="L223" s="604"/>
      <c r="M223" s="605"/>
      <c r="N223" s="606"/>
      <c r="O223" s="607"/>
      <c r="P223" s="608">
        <f t="shared" si="6"/>
        <v>0</v>
      </c>
      <c r="Q223" s="608"/>
      <c r="R223" s="609"/>
      <c r="S223" s="609"/>
      <c r="T223" s="609"/>
      <c r="U223" s="521"/>
      <c r="V223" s="541"/>
      <c r="W223" s="541"/>
      <c r="X223" s="541"/>
      <c r="Y223" s="541"/>
    </row>
    <row r="224" spans="1:25" s="537" customFormat="1" ht="12" customHeight="1">
      <c r="A224" s="441"/>
      <c r="B224" s="600"/>
      <c r="C224" s="600"/>
      <c r="D224" s="600"/>
      <c r="E224" s="306"/>
      <c r="F224" s="601"/>
      <c r="G224" s="602"/>
      <c r="H224" s="603"/>
      <c r="I224" s="602"/>
      <c r="J224" s="604"/>
      <c r="K224" s="604"/>
      <c r="L224" s="604"/>
      <c r="M224" s="605"/>
      <c r="N224" s="606"/>
      <c r="O224" s="607"/>
      <c r="P224" s="608">
        <f t="shared" si="6"/>
        <v>0</v>
      </c>
      <c r="Q224" s="608"/>
      <c r="R224" s="609"/>
      <c r="S224" s="609"/>
      <c r="T224" s="609"/>
      <c r="U224" s="521"/>
      <c r="V224" s="440"/>
      <c r="W224" s="440"/>
      <c r="X224" s="440"/>
      <c r="Y224" s="440"/>
    </row>
    <row r="225" spans="1:25" s="543" customFormat="1" ht="11.25" customHeight="1">
      <c r="A225" s="540"/>
      <c r="B225" s="600"/>
      <c r="C225" s="600"/>
      <c r="D225" s="600"/>
      <c r="E225" s="306"/>
      <c r="F225" s="601"/>
      <c r="G225" s="602"/>
      <c r="H225" s="603"/>
      <c r="I225" s="602"/>
      <c r="J225" s="604"/>
      <c r="K225" s="604"/>
      <c r="L225" s="604"/>
      <c r="M225" s="605"/>
      <c r="N225" s="606"/>
      <c r="O225" s="607"/>
      <c r="P225" s="608">
        <f t="shared" si="6"/>
        <v>0</v>
      </c>
      <c r="Q225" s="608"/>
      <c r="R225" s="609"/>
      <c r="S225" s="609"/>
      <c r="T225" s="609"/>
      <c r="U225" s="521"/>
      <c r="V225" s="541"/>
      <c r="W225" s="541"/>
      <c r="X225" s="541"/>
      <c r="Y225" s="541"/>
    </row>
    <row r="226" spans="1:25" s="543" customFormat="1" ht="11.25" customHeight="1">
      <c r="A226" s="540"/>
      <c r="B226" s="600"/>
      <c r="C226" s="600"/>
      <c r="D226" s="600"/>
      <c r="E226" s="306"/>
      <c r="F226" s="601"/>
      <c r="G226" s="602"/>
      <c r="H226" s="603"/>
      <c r="I226" s="602"/>
      <c r="J226" s="604"/>
      <c r="K226" s="604"/>
      <c r="L226" s="604"/>
      <c r="M226" s="605"/>
      <c r="N226" s="606"/>
      <c r="O226" s="607"/>
      <c r="P226" s="608">
        <f t="shared" si="6"/>
        <v>0</v>
      </c>
      <c r="Q226" s="608"/>
      <c r="R226" s="609"/>
      <c r="S226" s="609"/>
      <c r="T226" s="609"/>
      <c r="U226" s="521"/>
      <c r="V226" s="541"/>
      <c r="W226" s="541"/>
      <c r="X226" s="541"/>
      <c r="Y226" s="541"/>
    </row>
    <row r="227" spans="1:25" s="543" customFormat="1" ht="11.25" customHeight="1">
      <c r="A227" s="540"/>
      <c r="B227" s="600"/>
      <c r="C227" s="600"/>
      <c r="D227" s="600"/>
      <c r="E227" s="306"/>
      <c r="F227" s="601"/>
      <c r="G227" s="602"/>
      <c r="H227" s="603"/>
      <c r="I227" s="602"/>
      <c r="J227" s="604"/>
      <c r="K227" s="604"/>
      <c r="L227" s="604"/>
      <c r="M227" s="605"/>
      <c r="N227" s="606"/>
      <c r="O227" s="607"/>
      <c r="P227" s="608">
        <f t="shared" si="6"/>
        <v>0</v>
      </c>
      <c r="Q227" s="608"/>
      <c r="R227" s="609"/>
      <c r="S227" s="609"/>
      <c r="T227" s="609"/>
      <c r="U227" s="521"/>
      <c r="V227" s="541"/>
      <c r="W227" s="541"/>
      <c r="X227" s="541"/>
      <c r="Y227" s="541"/>
    </row>
    <row r="228" spans="1:25" s="543" customFormat="1" ht="11.25" customHeight="1">
      <c r="A228" s="540"/>
      <c r="B228" s="600"/>
      <c r="C228" s="600"/>
      <c r="D228" s="600"/>
      <c r="E228" s="306"/>
      <c r="F228" s="601"/>
      <c r="G228" s="602"/>
      <c r="H228" s="603"/>
      <c r="I228" s="602"/>
      <c r="J228" s="604"/>
      <c r="K228" s="604"/>
      <c r="L228" s="604"/>
      <c r="M228" s="605"/>
      <c r="N228" s="606"/>
      <c r="O228" s="607"/>
      <c r="P228" s="608">
        <f t="shared" si="6"/>
        <v>0</v>
      </c>
      <c r="Q228" s="608"/>
      <c r="R228" s="609"/>
      <c r="S228" s="609"/>
      <c r="T228" s="609"/>
      <c r="U228" s="521"/>
      <c r="V228" s="541"/>
      <c r="W228" s="541"/>
      <c r="X228" s="541"/>
      <c r="Y228" s="541"/>
    </row>
    <row r="229" spans="1:25" s="543" customFormat="1" ht="11.25" customHeight="1">
      <c r="A229" s="540"/>
      <c r="B229" s="600"/>
      <c r="C229" s="600"/>
      <c r="D229" s="600"/>
      <c r="E229" s="306"/>
      <c r="F229" s="601"/>
      <c r="G229" s="602"/>
      <c r="H229" s="603"/>
      <c r="I229" s="602"/>
      <c r="J229" s="604"/>
      <c r="K229" s="604"/>
      <c r="L229" s="604"/>
      <c r="M229" s="605"/>
      <c r="N229" s="606"/>
      <c r="O229" s="607"/>
      <c r="P229" s="608">
        <f t="shared" si="6"/>
        <v>0</v>
      </c>
      <c r="Q229" s="608"/>
      <c r="R229" s="609"/>
      <c r="S229" s="609"/>
      <c r="T229" s="609"/>
      <c r="U229" s="521"/>
      <c r="V229" s="541"/>
      <c r="W229" s="541"/>
      <c r="X229" s="541"/>
      <c r="Y229" s="541"/>
    </row>
    <row r="230" spans="1:25" s="543" customFormat="1" ht="11.25" customHeight="1">
      <c r="A230" s="540"/>
      <c r="B230" s="600"/>
      <c r="C230" s="600"/>
      <c r="D230" s="600"/>
      <c r="E230" s="306"/>
      <c r="F230" s="601"/>
      <c r="G230" s="602"/>
      <c r="H230" s="603"/>
      <c r="I230" s="602"/>
      <c r="J230" s="604"/>
      <c r="K230" s="604"/>
      <c r="L230" s="604"/>
      <c r="M230" s="605"/>
      <c r="N230" s="606"/>
      <c r="O230" s="607"/>
      <c r="P230" s="608">
        <f t="shared" si="6"/>
        <v>0</v>
      </c>
      <c r="Q230" s="608"/>
      <c r="R230" s="609"/>
      <c r="S230" s="609"/>
      <c r="T230" s="609"/>
      <c r="U230" s="521"/>
      <c r="V230" s="541"/>
      <c r="W230" s="541"/>
      <c r="X230" s="541"/>
      <c r="Y230" s="541"/>
    </row>
    <row r="231" spans="1:25" s="542" customFormat="1" ht="12" customHeight="1">
      <c r="A231" s="540"/>
      <c r="B231" s="600"/>
      <c r="C231" s="600"/>
      <c r="D231" s="600"/>
      <c r="E231" s="306"/>
      <c r="F231" s="601"/>
      <c r="G231" s="602"/>
      <c r="H231" s="603"/>
      <c r="I231" s="602"/>
      <c r="J231" s="604"/>
      <c r="K231" s="604"/>
      <c r="L231" s="604"/>
      <c r="M231" s="605"/>
      <c r="N231" s="606"/>
      <c r="O231" s="607"/>
      <c r="P231" s="608">
        <f t="shared" si="6"/>
        <v>0</v>
      </c>
      <c r="Q231" s="608"/>
      <c r="R231" s="609"/>
      <c r="S231" s="609"/>
      <c r="T231" s="609"/>
      <c r="U231" s="521"/>
      <c r="V231" s="541"/>
      <c r="W231" s="541"/>
      <c r="X231" s="541"/>
      <c r="Y231" s="541"/>
    </row>
    <row r="232" spans="1:25" s="537" customFormat="1" ht="12" customHeight="1">
      <c r="A232" s="441"/>
      <c r="B232" s="600"/>
      <c r="C232" s="600"/>
      <c r="D232" s="600"/>
      <c r="E232" s="306"/>
      <c r="F232" s="601"/>
      <c r="G232" s="602"/>
      <c r="H232" s="603"/>
      <c r="I232" s="602"/>
      <c r="J232" s="604"/>
      <c r="K232" s="604"/>
      <c r="L232" s="604"/>
      <c r="M232" s="605"/>
      <c r="N232" s="606"/>
      <c r="O232" s="607"/>
      <c r="P232" s="608">
        <f t="shared" si="6"/>
        <v>0</v>
      </c>
      <c r="Q232" s="608"/>
      <c r="R232" s="609"/>
      <c r="S232" s="609"/>
      <c r="T232" s="609"/>
      <c r="U232" s="521"/>
      <c r="V232" s="440"/>
      <c r="W232" s="440"/>
      <c r="X232" s="440"/>
      <c r="Y232" s="440"/>
    </row>
    <row r="233" spans="1:25" s="543" customFormat="1" ht="11.25" customHeight="1">
      <c r="A233" s="540"/>
      <c r="B233" s="600"/>
      <c r="C233" s="600"/>
      <c r="D233" s="600"/>
      <c r="E233" s="306"/>
      <c r="F233" s="601"/>
      <c r="G233" s="602"/>
      <c r="H233" s="603"/>
      <c r="I233" s="602"/>
      <c r="J233" s="604"/>
      <c r="K233" s="604"/>
      <c r="L233" s="604"/>
      <c r="M233" s="605"/>
      <c r="N233" s="606"/>
      <c r="O233" s="607"/>
      <c r="P233" s="608">
        <f t="shared" si="6"/>
        <v>0</v>
      </c>
      <c r="Q233" s="608"/>
      <c r="R233" s="609"/>
      <c r="S233" s="609"/>
      <c r="T233" s="609"/>
      <c r="U233" s="521"/>
      <c r="V233" s="541"/>
      <c r="W233" s="541"/>
      <c r="X233" s="541"/>
      <c r="Y233" s="541"/>
    </row>
    <row r="234" spans="1:25" s="543" customFormat="1" ht="11.25" customHeight="1">
      <c r="A234" s="540"/>
      <c r="B234" s="600"/>
      <c r="C234" s="600"/>
      <c r="D234" s="600"/>
      <c r="E234" s="306"/>
      <c r="F234" s="601"/>
      <c r="G234" s="602"/>
      <c r="H234" s="603"/>
      <c r="I234" s="602"/>
      <c r="J234" s="604"/>
      <c r="K234" s="604"/>
      <c r="L234" s="604"/>
      <c r="M234" s="605"/>
      <c r="N234" s="606"/>
      <c r="O234" s="607"/>
      <c r="P234" s="608">
        <f t="shared" si="6"/>
        <v>0</v>
      </c>
      <c r="Q234" s="608"/>
      <c r="R234" s="609"/>
      <c r="S234" s="609"/>
      <c r="T234" s="609"/>
      <c r="U234" s="521"/>
      <c r="V234" s="541"/>
      <c r="W234" s="541"/>
      <c r="X234" s="541"/>
      <c r="Y234" s="541"/>
    </row>
    <row r="235" spans="1:25" s="543" customFormat="1" ht="11.25" customHeight="1">
      <c r="A235" s="540"/>
      <c r="B235" s="600"/>
      <c r="C235" s="600"/>
      <c r="D235" s="600"/>
      <c r="E235" s="306"/>
      <c r="F235" s="601"/>
      <c r="G235" s="602"/>
      <c r="H235" s="603"/>
      <c r="I235" s="602"/>
      <c r="J235" s="604"/>
      <c r="K235" s="604"/>
      <c r="L235" s="604"/>
      <c r="M235" s="605"/>
      <c r="N235" s="606"/>
      <c r="O235" s="607"/>
      <c r="P235" s="608">
        <f t="shared" si="6"/>
        <v>0</v>
      </c>
      <c r="Q235" s="608"/>
      <c r="R235" s="609"/>
      <c r="S235" s="609"/>
      <c r="T235" s="609"/>
      <c r="U235" s="521"/>
      <c r="V235" s="541"/>
      <c r="W235" s="541"/>
      <c r="X235" s="541"/>
      <c r="Y235" s="541"/>
    </row>
    <row r="236" spans="1:25" s="543" customFormat="1" ht="11.25" customHeight="1">
      <c r="A236" s="540"/>
      <c r="B236" s="600"/>
      <c r="C236" s="600"/>
      <c r="D236" s="600"/>
      <c r="E236" s="306"/>
      <c r="F236" s="601"/>
      <c r="G236" s="602"/>
      <c r="H236" s="603"/>
      <c r="I236" s="602"/>
      <c r="J236" s="604"/>
      <c r="K236" s="604"/>
      <c r="L236" s="604"/>
      <c r="M236" s="605"/>
      <c r="N236" s="606"/>
      <c r="O236" s="607"/>
      <c r="P236" s="608">
        <f t="shared" si="6"/>
        <v>0</v>
      </c>
      <c r="Q236" s="608"/>
      <c r="R236" s="609"/>
      <c r="S236" s="609"/>
      <c r="T236" s="609"/>
      <c r="U236" s="521"/>
      <c r="V236" s="541"/>
      <c r="W236" s="541"/>
      <c r="X236" s="541"/>
      <c r="Y236" s="541"/>
    </row>
    <row r="237" spans="1:25" s="543" customFormat="1" ht="11.25" customHeight="1">
      <c r="A237" s="540"/>
      <c r="B237" s="600"/>
      <c r="C237" s="600"/>
      <c r="D237" s="600"/>
      <c r="E237" s="306"/>
      <c r="F237" s="601"/>
      <c r="G237" s="602"/>
      <c r="H237" s="603"/>
      <c r="I237" s="602"/>
      <c r="J237" s="604"/>
      <c r="K237" s="604"/>
      <c r="L237" s="604"/>
      <c r="M237" s="605"/>
      <c r="N237" s="606"/>
      <c r="O237" s="607"/>
      <c r="P237" s="608">
        <f t="shared" si="6"/>
        <v>0</v>
      </c>
      <c r="Q237" s="608"/>
      <c r="R237" s="609"/>
      <c r="S237" s="609"/>
      <c r="T237" s="609"/>
      <c r="U237" s="521"/>
      <c r="V237" s="541"/>
      <c r="W237" s="541"/>
      <c r="X237" s="541"/>
      <c r="Y237" s="541"/>
    </row>
    <row r="238" spans="1:25" s="543" customFormat="1" ht="11.25" customHeight="1">
      <c r="A238" s="540"/>
      <c r="B238" s="600"/>
      <c r="C238" s="600"/>
      <c r="D238" s="600"/>
      <c r="E238" s="306"/>
      <c r="F238" s="601"/>
      <c r="G238" s="602"/>
      <c r="H238" s="603"/>
      <c r="I238" s="602"/>
      <c r="J238" s="604"/>
      <c r="K238" s="604"/>
      <c r="L238" s="604"/>
      <c r="M238" s="605"/>
      <c r="N238" s="606"/>
      <c r="O238" s="607"/>
      <c r="P238" s="608">
        <f t="shared" si="6"/>
        <v>0</v>
      </c>
      <c r="Q238" s="608"/>
      <c r="R238" s="609"/>
      <c r="S238" s="609"/>
      <c r="T238" s="609"/>
      <c r="U238" s="521"/>
      <c r="V238" s="541"/>
      <c r="W238" s="541"/>
      <c r="X238" s="541"/>
      <c r="Y238" s="541"/>
    </row>
    <row r="239" spans="1:25" s="543" customFormat="1" ht="11.25" customHeight="1">
      <c r="A239" s="540"/>
      <c r="B239" s="600"/>
      <c r="C239" s="600"/>
      <c r="D239" s="600"/>
      <c r="E239" s="306"/>
      <c r="F239" s="601"/>
      <c r="G239" s="602"/>
      <c r="H239" s="603"/>
      <c r="I239" s="602"/>
      <c r="J239" s="604"/>
      <c r="K239" s="604"/>
      <c r="L239" s="604"/>
      <c r="M239" s="605"/>
      <c r="N239" s="606"/>
      <c r="O239" s="607"/>
      <c r="P239" s="608">
        <f t="shared" si="6"/>
        <v>0</v>
      </c>
      <c r="Q239" s="608"/>
      <c r="R239" s="609"/>
      <c r="S239" s="609"/>
      <c r="T239" s="609"/>
      <c r="U239" s="521"/>
      <c r="V239" s="541"/>
      <c r="W239" s="541"/>
      <c r="X239" s="541"/>
      <c r="Y239" s="541"/>
    </row>
    <row r="240" spans="1:25" s="543" customFormat="1" ht="11.25" customHeight="1">
      <c r="A240" s="540"/>
      <c r="B240" s="600"/>
      <c r="C240" s="600"/>
      <c r="D240" s="600"/>
      <c r="E240" s="306"/>
      <c r="F240" s="601"/>
      <c r="G240" s="602"/>
      <c r="H240" s="603"/>
      <c r="I240" s="602"/>
      <c r="J240" s="604"/>
      <c r="K240" s="604"/>
      <c r="L240" s="604"/>
      <c r="M240" s="605"/>
      <c r="N240" s="606"/>
      <c r="O240" s="607"/>
      <c r="P240" s="608">
        <f t="shared" si="6"/>
        <v>0</v>
      </c>
      <c r="Q240" s="608"/>
      <c r="R240" s="609"/>
      <c r="S240" s="609"/>
      <c r="T240" s="609"/>
      <c r="U240" s="521"/>
      <c r="V240" s="541"/>
      <c r="W240" s="541"/>
      <c r="X240" s="541"/>
      <c r="Y240" s="541"/>
    </row>
    <row r="241" spans="1:25" s="543" customFormat="1" ht="11.25" customHeight="1">
      <c r="A241" s="540"/>
      <c r="B241" s="600"/>
      <c r="C241" s="600"/>
      <c r="D241" s="600"/>
      <c r="E241" s="306"/>
      <c r="F241" s="601"/>
      <c r="G241" s="602"/>
      <c r="H241" s="603"/>
      <c r="I241" s="602"/>
      <c r="J241" s="604"/>
      <c r="K241" s="604"/>
      <c r="L241" s="604"/>
      <c r="M241" s="605"/>
      <c r="N241" s="606"/>
      <c r="O241" s="607"/>
      <c r="P241" s="608">
        <f t="shared" si="6"/>
        <v>0</v>
      </c>
      <c r="Q241" s="608"/>
      <c r="R241" s="609"/>
      <c r="S241" s="609"/>
      <c r="T241" s="609"/>
      <c r="U241" s="521"/>
      <c r="V241" s="541"/>
      <c r="W241" s="541"/>
      <c r="X241" s="541"/>
      <c r="Y241" s="541"/>
    </row>
    <row r="242" spans="1:25" s="542" customFormat="1" ht="12" customHeight="1">
      <c r="A242" s="540"/>
      <c r="B242" s="600"/>
      <c r="C242" s="600"/>
      <c r="D242" s="600"/>
      <c r="E242" s="306"/>
      <c r="F242" s="601"/>
      <c r="G242" s="602"/>
      <c r="H242" s="603"/>
      <c r="I242" s="602"/>
      <c r="J242" s="604"/>
      <c r="K242" s="604"/>
      <c r="L242" s="604"/>
      <c r="M242" s="605"/>
      <c r="N242" s="606"/>
      <c r="O242" s="607"/>
      <c r="P242" s="608">
        <f t="shared" si="6"/>
        <v>0</v>
      </c>
      <c r="Q242" s="608"/>
      <c r="R242" s="609"/>
      <c r="S242" s="609"/>
      <c r="T242" s="609"/>
      <c r="U242" s="521"/>
      <c r="V242" s="541"/>
      <c r="W242" s="541"/>
      <c r="X242" s="541"/>
      <c r="Y242" s="541"/>
    </row>
    <row r="243" spans="1:25" s="537" customFormat="1" ht="12" customHeight="1">
      <c r="A243" s="441"/>
      <c r="B243" s="600"/>
      <c r="C243" s="600"/>
      <c r="D243" s="600"/>
      <c r="E243" s="306"/>
      <c r="F243" s="601"/>
      <c r="G243" s="602"/>
      <c r="H243" s="603"/>
      <c r="I243" s="602"/>
      <c r="J243" s="604"/>
      <c r="K243" s="604"/>
      <c r="L243" s="604"/>
      <c r="M243" s="605"/>
      <c r="N243" s="606"/>
      <c r="O243" s="607"/>
      <c r="P243" s="608">
        <f t="shared" si="6"/>
        <v>0</v>
      </c>
      <c r="Q243" s="608"/>
      <c r="R243" s="609"/>
      <c r="S243" s="609"/>
      <c r="T243" s="609"/>
      <c r="U243" s="521"/>
      <c r="V243" s="440"/>
      <c r="W243" s="440"/>
      <c r="X243" s="440"/>
      <c r="Y243" s="440"/>
    </row>
    <row r="244" spans="1:25" s="543" customFormat="1" ht="11.25" customHeight="1">
      <c r="A244" s="540"/>
      <c r="B244" s="600"/>
      <c r="C244" s="600"/>
      <c r="D244" s="600"/>
      <c r="E244" s="306"/>
      <c r="F244" s="601"/>
      <c r="G244" s="602"/>
      <c r="H244" s="603"/>
      <c r="I244" s="602"/>
      <c r="J244" s="604"/>
      <c r="K244" s="604"/>
      <c r="L244" s="604"/>
      <c r="M244" s="605"/>
      <c r="N244" s="606"/>
      <c r="O244" s="607"/>
      <c r="P244" s="608">
        <f t="shared" si="6"/>
        <v>0</v>
      </c>
      <c r="Q244" s="608"/>
      <c r="R244" s="609"/>
      <c r="S244" s="609"/>
      <c r="T244" s="609"/>
      <c r="U244" s="521"/>
      <c r="V244" s="541"/>
      <c r="W244" s="541"/>
      <c r="X244" s="541"/>
      <c r="Y244" s="541"/>
    </row>
    <row r="245" spans="1:25" s="543" customFormat="1" ht="11.25" customHeight="1">
      <c r="A245" s="540"/>
      <c r="B245" s="600"/>
      <c r="C245" s="600"/>
      <c r="D245" s="600"/>
      <c r="E245" s="306"/>
      <c r="F245" s="601"/>
      <c r="G245" s="602"/>
      <c r="H245" s="603"/>
      <c r="I245" s="602"/>
      <c r="J245" s="604"/>
      <c r="K245" s="604"/>
      <c r="L245" s="604"/>
      <c r="M245" s="605"/>
      <c r="N245" s="606"/>
      <c r="O245" s="607"/>
      <c r="P245" s="608">
        <f t="shared" si="6"/>
        <v>0</v>
      </c>
      <c r="Q245" s="608"/>
      <c r="R245" s="609"/>
      <c r="S245" s="609"/>
      <c r="T245" s="609"/>
      <c r="U245" s="521"/>
      <c r="V245" s="541"/>
      <c r="W245" s="541"/>
      <c r="X245" s="541"/>
      <c r="Y245" s="541"/>
    </row>
    <row r="246" spans="1:25" s="543" customFormat="1" ht="11.25" customHeight="1">
      <c r="A246" s="540"/>
      <c r="B246" s="600"/>
      <c r="C246" s="600"/>
      <c r="D246" s="600"/>
      <c r="E246" s="306"/>
      <c r="F246" s="601"/>
      <c r="G246" s="602"/>
      <c r="H246" s="603"/>
      <c r="I246" s="602"/>
      <c r="J246" s="604"/>
      <c r="K246" s="604"/>
      <c r="L246" s="604"/>
      <c r="M246" s="605"/>
      <c r="N246" s="606"/>
      <c r="O246" s="607"/>
      <c r="P246" s="608">
        <f t="shared" si="6"/>
        <v>0</v>
      </c>
      <c r="Q246" s="608"/>
      <c r="R246" s="609"/>
      <c r="S246" s="609"/>
      <c r="T246" s="609"/>
      <c r="U246" s="521"/>
      <c r="V246" s="541"/>
      <c r="W246" s="541"/>
      <c r="X246" s="541"/>
      <c r="Y246" s="541"/>
    </row>
    <row r="247" spans="1:25" s="543" customFormat="1" ht="11.25" customHeight="1">
      <c r="A247" s="540"/>
      <c r="B247" s="600"/>
      <c r="C247" s="600"/>
      <c r="D247" s="600"/>
      <c r="E247" s="306"/>
      <c r="F247" s="601"/>
      <c r="G247" s="602"/>
      <c r="H247" s="603"/>
      <c r="I247" s="602"/>
      <c r="J247" s="604"/>
      <c r="K247" s="604"/>
      <c r="L247" s="604"/>
      <c r="M247" s="605"/>
      <c r="N247" s="606"/>
      <c r="O247" s="607"/>
      <c r="P247" s="608">
        <f t="shared" si="6"/>
        <v>0</v>
      </c>
      <c r="Q247" s="608"/>
      <c r="R247" s="609"/>
      <c r="S247" s="609"/>
      <c r="T247" s="609"/>
      <c r="U247" s="521"/>
      <c r="V247" s="541"/>
      <c r="W247" s="541"/>
      <c r="X247" s="541"/>
      <c r="Y247" s="541"/>
    </row>
    <row r="248" spans="1:25" s="543" customFormat="1" ht="11.25" customHeight="1">
      <c r="A248" s="540"/>
      <c r="B248" s="600"/>
      <c r="C248" s="600"/>
      <c r="D248" s="600"/>
      <c r="E248" s="306"/>
      <c r="F248" s="601"/>
      <c r="G248" s="602"/>
      <c r="H248" s="603"/>
      <c r="I248" s="602"/>
      <c r="J248" s="604"/>
      <c r="K248" s="604"/>
      <c r="L248" s="604"/>
      <c r="M248" s="605"/>
      <c r="N248" s="606"/>
      <c r="O248" s="607"/>
      <c r="P248" s="608">
        <f t="shared" si="6"/>
        <v>0</v>
      </c>
      <c r="Q248" s="608"/>
      <c r="R248" s="609"/>
      <c r="S248" s="609"/>
      <c r="T248" s="609"/>
      <c r="U248" s="521"/>
      <c r="V248" s="541"/>
      <c r="W248" s="541"/>
      <c r="X248" s="541"/>
      <c r="Y248" s="541"/>
    </row>
    <row r="249" spans="1:25" s="543" customFormat="1" ht="11.25" customHeight="1">
      <c r="A249" s="540"/>
      <c r="B249" s="600"/>
      <c r="C249" s="600"/>
      <c r="D249" s="600"/>
      <c r="E249" s="306"/>
      <c r="F249" s="601"/>
      <c r="G249" s="602"/>
      <c r="H249" s="603"/>
      <c r="I249" s="602"/>
      <c r="J249" s="604"/>
      <c r="K249" s="604"/>
      <c r="L249" s="604"/>
      <c r="M249" s="605"/>
      <c r="N249" s="606"/>
      <c r="O249" s="607"/>
      <c r="P249" s="608">
        <f t="shared" si="6"/>
        <v>0</v>
      </c>
      <c r="Q249" s="608"/>
      <c r="R249" s="609"/>
      <c r="S249" s="609"/>
      <c r="T249" s="609"/>
      <c r="U249" s="521"/>
      <c r="V249" s="541"/>
      <c r="W249" s="541"/>
      <c r="X249" s="541"/>
      <c r="Y249" s="541"/>
    </row>
    <row r="250" spans="1:25" s="542" customFormat="1" ht="12" customHeight="1">
      <c r="A250" s="540"/>
      <c r="B250" s="600"/>
      <c r="C250" s="600"/>
      <c r="D250" s="600"/>
      <c r="E250" s="306"/>
      <c r="F250" s="601"/>
      <c r="G250" s="602"/>
      <c r="H250" s="603"/>
      <c r="I250" s="602"/>
      <c r="J250" s="604"/>
      <c r="K250" s="604"/>
      <c r="L250" s="604"/>
      <c r="M250" s="605"/>
      <c r="N250" s="606"/>
      <c r="O250" s="607"/>
      <c r="P250" s="608">
        <f t="shared" si="6"/>
        <v>0</v>
      </c>
      <c r="Q250" s="608"/>
      <c r="R250" s="609"/>
      <c r="S250" s="609"/>
      <c r="T250" s="609"/>
      <c r="U250" s="521"/>
      <c r="V250" s="541"/>
      <c r="W250" s="541"/>
      <c r="X250" s="541"/>
      <c r="Y250" s="541"/>
    </row>
    <row r="251" spans="1:25" s="537" customFormat="1" ht="12" customHeight="1">
      <c r="A251" s="441"/>
      <c r="B251" s="600"/>
      <c r="C251" s="600"/>
      <c r="D251" s="600"/>
      <c r="E251" s="306"/>
      <c r="F251" s="601"/>
      <c r="G251" s="602"/>
      <c r="H251" s="603"/>
      <c r="I251" s="602"/>
      <c r="J251" s="604"/>
      <c r="K251" s="604"/>
      <c r="L251" s="604"/>
      <c r="M251" s="605"/>
      <c r="N251" s="606"/>
      <c r="O251" s="607"/>
      <c r="P251" s="608">
        <f t="shared" si="6"/>
        <v>0</v>
      </c>
      <c r="Q251" s="608"/>
      <c r="R251" s="609"/>
      <c r="S251" s="609"/>
      <c r="T251" s="609"/>
      <c r="U251" s="521"/>
      <c r="V251" s="440"/>
      <c r="W251" s="440"/>
      <c r="X251" s="440"/>
      <c r="Y251" s="440"/>
    </row>
    <row r="252" spans="1:25" s="543" customFormat="1" ht="11.25" customHeight="1">
      <c r="A252" s="540"/>
      <c r="B252" s="600"/>
      <c r="C252" s="600"/>
      <c r="D252" s="600"/>
      <c r="E252" s="306"/>
      <c r="F252" s="601"/>
      <c r="G252" s="602"/>
      <c r="H252" s="603"/>
      <c r="I252" s="602"/>
      <c r="J252" s="604"/>
      <c r="K252" s="604"/>
      <c r="L252" s="604"/>
      <c r="M252" s="605"/>
      <c r="N252" s="606"/>
      <c r="O252" s="607"/>
      <c r="P252" s="608">
        <f t="shared" si="6"/>
        <v>0</v>
      </c>
      <c r="Q252" s="608"/>
      <c r="R252" s="609"/>
      <c r="S252" s="609"/>
      <c r="T252" s="609"/>
      <c r="U252" s="521"/>
      <c r="V252" s="541"/>
      <c r="W252" s="541"/>
      <c r="X252" s="541"/>
      <c r="Y252" s="541"/>
    </row>
    <row r="253" spans="1:25" s="543" customFormat="1" ht="11.25" customHeight="1">
      <c r="A253" s="540"/>
      <c r="B253" s="600"/>
      <c r="C253" s="600"/>
      <c r="D253" s="600"/>
      <c r="E253" s="306"/>
      <c r="F253" s="601"/>
      <c r="G253" s="602"/>
      <c r="H253" s="603"/>
      <c r="I253" s="602"/>
      <c r="J253" s="604"/>
      <c r="K253" s="604"/>
      <c r="L253" s="604"/>
      <c r="M253" s="605"/>
      <c r="N253" s="606"/>
      <c r="O253" s="607"/>
      <c r="P253" s="608">
        <f t="shared" si="6"/>
        <v>0</v>
      </c>
      <c r="Q253" s="608"/>
      <c r="R253" s="609"/>
      <c r="S253" s="609"/>
      <c r="T253" s="609"/>
      <c r="U253" s="521"/>
      <c r="V253" s="541"/>
      <c r="W253" s="541"/>
      <c r="X253" s="541"/>
      <c r="Y253" s="541"/>
    </row>
    <row r="254" spans="1:25" s="543" customFormat="1" ht="11.25" customHeight="1">
      <c r="A254" s="540"/>
      <c r="B254" s="600"/>
      <c r="C254" s="600"/>
      <c r="D254" s="600"/>
      <c r="E254" s="306"/>
      <c r="F254" s="601"/>
      <c r="G254" s="602"/>
      <c r="H254" s="603"/>
      <c r="I254" s="602"/>
      <c r="J254" s="604"/>
      <c r="K254" s="604"/>
      <c r="L254" s="604"/>
      <c r="M254" s="605"/>
      <c r="N254" s="606"/>
      <c r="O254" s="607"/>
      <c r="P254" s="608">
        <f t="shared" si="6"/>
        <v>0</v>
      </c>
      <c r="Q254" s="608"/>
      <c r="R254" s="609"/>
      <c r="S254" s="609"/>
      <c r="T254" s="609"/>
      <c r="U254" s="521"/>
      <c r="V254" s="541"/>
      <c r="W254" s="541"/>
      <c r="X254" s="541"/>
      <c r="Y254" s="541"/>
    </row>
    <row r="255" spans="1:25" s="543" customFormat="1" ht="11.25" customHeight="1">
      <c r="A255" s="540"/>
      <c r="B255" s="600"/>
      <c r="C255" s="600"/>
      <c r="D255" s="600"/>
      <c r="E255" s="306"/>
      <c r="F255" s="601"/>
      <c r="G255" s="602"/>
      <c r="H255" s="603"/>
      <c r="I255" s="602"/>
      <c r="J255" s="604"/>
      <c r="K255" s="604"/>
      <c r="L255" s="604"/>
      <c r="M255" s="605"/>
      <c r="N255" s="606"/>
      <c r="O255" s="607"/>
      <c r="P255" s="608">
        <f t="shared" si="6"/>
        <v>0</v>
      </c>
      <c r="Q255" s="608"/>
      <c r="R255" s="609"/>
      <c r="S255" s="609"/>
      <c r="T255" s="609"/>
      <c r="U255" s="521"/>
      <c r="V255" s="541"/>
      <c r="W255" s="541"/>
      <c r="X255" s="541"/>
      <c r="Y255" s="541"/>
    </row>
    <row r="256" spans="1:25" s="543" customFormat="1" ht="11.25" customHeight="1">
      <c r="A256" s="540"/>
      <c r="B256" s="600"/>
      <c r="C256" s="600"/>
      <c r="D256" s="600"/>
      <c r="E256" s="306"/>
      <c r="F256" s="601"/>
      <c r="G256" s="602"/>
      <c r="H256" s="603"/>
      <c r="I256" s="602"/>
      <c r="J256" s="604"/>
      <c r="K256" s="604"/>
      <c r="L256" s="604"/>
      <c r="M256" s="605"/>
      <c r="N256" s="606"/>
      <c r="O256" s="607"/>
      <c r="P256" s="608">
        <f t="shared" si="6"/>
        <v>0</v>
      </c>
      <c r="Q256" s="608"/>
      <c r="R256" s="609"/>
      <c r="S256" s="609"/>
      <c r="T256" s="609"/>
      <c r="U256" s="521"/>
      <c r="V256" s="541"/>
      <c r="W256" s="541"/>
      <c r="X256" s="541"/>
      <c r="Y256" s="541"/>
    </row>
    <row r="257" spans="1:25" s="543" customFormat="1" ht="11.25" customHeight="1">
      <c r="A257" s="540"/>
      <c r="B257" s="600"/>
      <c r="C257" s="600"/>
      <c r="D257" s="600"/>
      <c r="E257" s="306"/>
      <c r="F257" s="601"/>
      <c r="G257" s="602"/>
      <c r="H257" s="603"/>
      <c r="I257" s="602"/>
      <c r="J257" s="604"/>
      <c r="K257" s="604"/>
      <c r="L257" s="604"/>
      <c r="M257" s="605"/>
      <c r="N257" s="606"/>
      <c r="O257" s="607"/>
      <c r="P257" s="608">
        <f t="shared" si="6"/>
        <v>0</v>
      </c>
      <c r="Q257" s="608"/>
      <c r="R257" s="609"/>
      <c r="S257" s="609"/>
      <c r="T257" s="609"/>
      <c r="U257" s="521"/>
      <c r="V257" s="541"/>
      <c r="W257" s="541"/>
      <c r="X257" s="541"/>
      <c r="Y257" s="541"/>
    </row>
    <row r="258" spans="1:25" s="542" customFormat="1" ht="12" customHeight="1">
      <c r="A258" s="540"/>
      <c r="B258" s="600"/>
      <c r="C258" s="600"/>
      <c r="D258" s="600"/>
      <c r="E258" s="306"/>
      <c r="F258" s="601"/>
      <c r="G258" s="602"/>
      <c r="H258" s="603"/>
      <c r="I258" s="602"/>
      <c r="J258" s="604"/>
      <c r="K258" s="604"/>
      <c r="L258" s="604"/>
      <c r="M258" s="605"/>
      <c r="N258" s="606"/>
      <c r="O258" s="607"/>
      <c r="P258" s="608">
        <f t="shared" si="6"/>
        <v>0</v>
      </c>
      <c r="Q258" s="608"/>
      <c r="R258" s="609"/>
      <c r="S258" s="609"/>
      <c r="T258" s="609"/>
      <c r="U258" s="521"/>
      <c r="V258" s="541"/>
      <c r="W258" s="541"/>
      <c r="X258" s="541"/>
      <c r="Y258" s="541"/>
    </row>
    <row r="259" spans="1:25" s="537" customFormat="1" ht="12" customHeight="1">
      <c r="A259" s="441"/>
      <c r="B259" s="600"/>
      <c r="C259" s="600"/>
      <c r="D259" s="600"/>
      <c r="E259" s="306"/>
      <c r="F259" s="601"/>
      <c r="G259" s="602"/>
      <c r="H259" s="603"/>
      <c r="I259" s="602"/>
      <c r="J259" s="604"/>
      <c r="K259" s="604"/>
      <c r="L259" s="604"/>
      <c r="M259" s="605"/>
      <c r="N259" s="606"/>
      <c r="O259" s="607"/>
      <c r="P259" s="608">
        <f t="shared" si="6"/>
        <v>0</v>
      </c>
      <c r="Q259" s="608"/>
      <c r="R259" s="609"/>
      <c r="S259" s="609"/>
      <c r="T259" s="609"/>
      <c r="U259" s="521"/>
      <c r="V259" s="440"/>
      <c r="W259" s="440"/>
      <c r="X259" s="440"/>
      <c r="Y259" s="440"/>
    </row>
  </sheetData>
  <mergeCells count="4">
    <mergeCell ref="J19:L19"/>
    <mergeCell ref="M19:O19"/>
    <mergeCell ref="P19:Q19"/>
    <mergeCell ref="R19:S19"/>
  </mergeCells>
  <phoneticPr fontId="10" type="noConversion"/>
  <conditionalFormatting sqref="T11">
    <cfRule type="duplicateValues" dxfId="1" priority="2"/>
  </conditionalFormatting>
  <conditionalFormatting sqref="T11">
    <cfRule type="duplicateValues" dxfId="0" priority="1"/>
  </conditionalFormatting>
  <pageMargins left="0.7" right="0.7" top="0.75" bottom="0.75" header="0.3" footer="0.3"/>
  <pageSetup paperSize="256"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35177" r:id="rId4">
          <objectPr defaultSize="0" r:id="rId5">
            <anchor moveWithCells="1">
              <from>
                <xdr:col>13</xdr:col>
                <xdr:colOff>95250</xdr:colOff>
                <xdr:row>1</xdr:row>
                <xdr:rowOff>0</xdr:rowOff>
              </from>
              <to>
                <xdr:col>14</xdr:col>
                <xdr:colOff>142875</xdr:colOff>
                <xdr:row>5</xdr:row>
                <xdr:rowOff>66675</xdr:rowOff>
              </to>
            </anchor>
          </objectPr>
        </oleObject>
      </mc:Choice>
      <mc:Fallback>
        <oleObject progId="Worksheet" dvAspect="DVASPECT_ICON" shapeId="135177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C7AD0-9BD6-4008-92A0-A47E48CE8BFC}">
  <sheetPr>
    <tabColor rgb="FF92D050"/>
    <pageSetUpPr fitToPage="1"/>
  </sheetPr>
  <dimension ref="A1:B115"/>
  <sheetViews>
    <sheetView showGridLines="0" topLeftCell="A49" zoomScale="80" zoomScaleNormal="80" zoomScaleSheetLayoutView="70" workbookViewId="0">
      <selection activeCell="L97" sqref="L97"/>
    </sheetView>
  </sheetViews>
  <sheetFormatPr defaultColWidth="9" defaultRowHeight="16.5"/>
  <cols>
    <col min="1" max="1" width="12.75" style="8" customWidth="1"/>
    <col min="2" max="6" width="9" style="8"/>
    <col min="7" max="7" width="41.5" style="8" bestFit="1" customWidth="1"/>
    <col min="8" max="11" width="9" style="8"/>
    <col min="12" max="12" width="9.25" style="8" customWidth="1"/>
    <col min="13" max="256" width="9" style="8"/>
    <col min="257" max="257" width="2.125" style="8" customWidth="1"/>
    <col min="258" max="512" width="9" style="8"/>
    <col min="513" max="513" width="2.125" style="8" customWidth="1"/>
    <col min="514" max="768" width="9" style="8"/>
    <col min="769" max="769" width="2.125" style="8" customWidth="1"/>
    <col min="770" max="1024" width="9" style="8"/>
    <col min="1025" max="1025" width="2.125" style="8" customWidth="1"/>
    <col min="1026" max="1280" width="9" style="8"/>
    <col min="1281" max="1281" width="2.125" style="8" customWidth="1"/>
    <col min="1282" max="1536" width="9" style="8"/>
    <col min="1537" max="1537" width="2.125" style="8" customWidth="1"/>
    <col min="1538" max="1792" width="9" style="8"/>
    <col min="1793" max="1793" width="2.125" style="8" customWidth="1"/>
    <col min="1794" max="2048" width="9" style="8"/>
    <col min="2049" max="2049" width="2.125" style="8" customWidth="1"/>
    <col min="2050" max="2304" width="9" style="8"/>
    <col min="2305" max="2305" width="2.125" style="8" customWidth="1"/>
    <col min="2306" max="2560" width="9" style="8"/>
    <col min="2561" max="2561" width="2.125" style="8" customWidth="1"/>
    <col min="2562" max="2816" width="9" style="8"/>
    <col min="2817" max="2817" width="2.125" style="8" customWidth="1"/>
    <col min="2818" max="3072" width="9" style="8"/>
    <col min="3073" max="3073" width="2.125" style="8" customWidth="1"/>
    <col min="3074" max="3328" width="9" style="8"/>
    <col min="3329" max="3329" width="2.125" style="8" customWidth="1"/>
    <col min="3330" max="3584" width="9" style="8"/>
    <col min="3585" max="3585" width="2.125" style="8" customWidth="1"/>
    <col min="3586" max="3840" width="9" style="8"/>
    <col min="3841" max="3841" width="2.125" style="8" customWidth="1"/>
    <col min="3842" max="4096" width="9" style="8"/>
    <col min="4097" max="4097" width="2.125" style="8" customWidth="1"/>
    <col min="4098" max="4352" width="9" style="8"/>
    <col min="4353" max="4353" width="2.125" style="8" customWidth="1"/>
    <col min="4354" max="4608" width="9" style="8"/>
    <col min="4609" max="4609" width="2.125" style="8" customWidth="1"/>
    <col min="4610" max="4864" width="9" style="8"/>
    <col min="4865" max="4865" width="2.125" style="8" customWidth="1"/>
    <col min="4866" max="5120" width="9" style="8"/>
    <col min="5121" max="5121" width="2.125" style="8" customWidth="1"/>
    <col min="5122" max="5376" width="9" style="8"/>
    <col min="5377" max="5377" width="2.125" style="8" customWidth="1"/>
    <col min="5378" max="5632" width="9" style="8"/>
    <col min="5633" max="5633" width="2.125" style="8" customWidth="1"/>
    <col min="5634" max="5888" width="9" style="8"/>
    <col min="5889" max="5889" width="2.125" style="8" customWidth="1"/>
    <col min="5890" max="6144" width="9" style="8"/>
    <col min="6145" max="6145" width="2.125" style="8" customWidth="1"/>
    <col min="6146" max="6400" width="9" style="8"/>
    <col min="6401" max="6401" width="2.125" style="8" customWidth="1"/>
    <col min="6402" max="6656" width="9" style="8"/>
    <col min="6657" max="6657" width="2.125" style="8" customWidth="1"/>
    <col min="6658" max="6912" width="9" style="8"/>
    <col min="6913" max="6913" width="2.125" style="8" customWidth="1"/>
    <col min="6914" max="7168" width="9" style="8"/>
    <col min="7169" max="7169" width="2.125" style="8" customWidth="1"/>
    <col min="7170" max="7424" width="9" style="8"/>
    <col min="7425" max="7425" width="2.125" style="8" customWidth="1"/>
    <col min="7426" max="7680" width="9" style="8"/>
    <col min="7681" max="7681" width="2.125" style="8" customWidth="1"/>
    <col min="7682" max="7936" width="9" style="8"/>
    <col min="7937" max="7937" width="2.125" style="8" customWidth="1"/>
    <col min="7938" max="8192" width="9" style="8"/>
    <col min="8193" max="8193" width="2.125" style="8" customWidth="1"/>
    <col min="8194" max="8448" width="9" style="8"/>
    <col min="8449" max="8449" width="2.125" style="8" customWidth="1"/>
    <col min="8450" max="8704" width="9" style="8"/>
    <col min="8705" max="8705" width="2.125" style="8" customWidth="1"/>
    <col min="8706" max="8960" width="9" style="8"/>
    <col min="8961" max="8961" width="2.125" style="8" customWidth="1"/>
    <col min="8962" max="9216" width="9" style="8"/>
    <col min="9217" max="9217" width="2.125" style="8" customWidth="1"/>
    <col min="9218" max="9472" width="9" style="8"/>
    <col min="9473" max="9473" width="2.125" style="8" customWidth="1"/>
    <col min="9474" max="9728" width="9" style="8"/>
    <col min="9729" max="9729" width="2.125" style="8" customWidth="1"/>
    <col min="9730" max="9984" width="9" style="8"/>
    <col min="9985" max="9985" width="2.125" style="8" customWidth="1"/>
    <col min="9986" max="10240" width="9" style="8"/>
    <col min="10241" max="10241" width="2.125" style="8" customWidth="1"/>
    <col min="10242" max="10496" width="9" style="8"/>
    <col min="10497" max="10497" width="2.125" style="8" customWidth="1"/>
    <col min="10498" max="10752" width="9" style="8"/>
    <col min="10753" max="10753" width="2.125" style="8" customWidth="1"/>
    <col min="10754" max="11008" width="9" style="8"/>
    <col min="11009" max="11009" width="2.125" style="8" customWidth="1"/>
    <col min="11010" max="11264" width="9" style="8"/>
    <col min="11265" max="11265" width="2.125" style="8" customWidth="1"/>
    <col min="11266" max="11520" width="9" style="8"/>
    <col min="11521" max="11521" width="2.125" style="8" customWidth="1"/>
    <col min="11522" max="11776" width="9" style="8"/>
    <col min="11777" max="11777" width="2.125" style="8" customWidth="1"/>
    <col min="11778" max="12032" width="9" style="8"/>
    <col min="12033" max="12033" width="2.125" style="8" customWidth="1"/>
    <col min="12034" max="12288" width="9" style="8"/>
    <col min="12289" max="12289" width="2.125" style="8" customWidth="1"/>
    <col min="12290" max="12544" width="9" style="8"/>
    <col min="12545" max="12545" width="2.125" style="8" customWidth="1"/>
    <col min="12546" max="12800" width="9" style="8"/>
    <col min="12801" max="12801" width="2.125" style="8" customWidth="1"/>
    <col min="12802" max="13056" width="9" style="8"/>
    <col min="13057" max="13057" width="2.125" style="8" customWidth="1"/>
    <col min="13058" max="13312" width="9" style="8"/>
    <col min="13313" max="13313" width="2.125" style="8" customWidth="1"/>
    <col min="13314" max="13568" width="9" style="8"/>
    <col min="13569" max="13569" width="2.125" style="8" customWidth="1"/>
    <col min="13570" max="13824" width="9" style="8"/>
    <col min="13825" max="13825" width="2.125" style="8" customWidth="1"/>
    <col min="13826" max="14080" width="9" style="8"/>
    <col min="14081" max="14081" width="2.125" style="8" customWidth="1"/>
    <col min="14082" max="14336" width="9" style="8"/>
    <col min="14337" max="14337" width="2.125" style="8" customWidth="1"/>
    <col min="14338" max="14592" width="9" style="8"/>
    <col min="14593" max="14593" width="2.125" style="8" customWidth="1"/>
    <col min="14594" max="14848" width="9" style="8"/>
    <col min="14849" max="14849" width="2.125" style="8" customWidth="1"/>
    <col min="14850" max="15104" width="9" style="8"/>
    <col min="15105" max="15105" width="2.125" style="8" customWidth="1"/>
    <col min="15106" max="15360" width="9" style="8"/>
    <col min="15361" max="15361" width="2.125" style="8" customWidth="1"/>
    <col min="15362" max="15616" width="9" style="8"/>
    <col min="15617" max="15617" width="2.125" style="8" customWidth="1"/>
    <col min="15618" max="15872" width="9" style="8"/>
    <col min="15873" max="15873" width="2.125" style="8" customWidth="1"/>
    <col min="15874" max="16128" width="9" style="8"/>
    <col min="16129" max="16129" width="2.125" style="8" customWidth="1"/>
    <col min="16130" max="16384" width="9" style="8"/>
  </cols>
  <sheetData>
    <row r="1" spans="2:2" ht="22.5" customHeight="1">
      <c r="B1" s="102"/>
    </row>
    <row r="22" spans="2:2">
      <c r="B22" s="102"/>
    </row>
    <row r="29" spans="2:2" ht="15.75" customHeight="1"/>
    <row r="38" ht="15.75" customHeight="1"/>
    <row r="79" spans="2:2">
      <c r="B79" s="102"/>
    </row>
    <row r="99" spans="2:2">
      <c r="B99" s="102"/>
    </row>
    <row r="115" spans="1:1">
      <c r="A115" s="102"/>
    </row>
  </sheetData>
  <phoneticPr fontId="10" type="noConversion"/>
  <pageMargins left="0.70866141732283505" right="0.70866141732283505" top="0.74803149606299202" bottom="0.74803149606299202" header="0.31496062992126" footer="0.31496062992126"/>
  <pageSetup paperSize="9" scale="55" fitToHeight="0" orientation="portrait" r:id="rId1"/>
  <rowBreaks count="1" manualBreakCount="1">
    <brk id="39" max="16383" man="1"/>
  </rowBreaks>
  <colBreaks count="2" manualBreakCount="2">
    <brk id="11" max="1048575" man="1"/>
    <brk id="1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FA6BF-E876-473E-BFC7-B0F7D99C5F64}">
  <dimension ref="B2:L47"/>
  <sheetViews>
    <sheetView zoomScale="80" zoomScaleNormal="80" workbookViewId="0">
      <selection activeCell="J28" sqref="J28"/>
    </sheetView>
  </sheetViews>
  <sheetFormatPr defaultColWidth="9" defaultRowHeight="13.5"/>
  <cols>
    <col min="1" max="1" width="3.75" style="415" customWidth="1"/>
    <col min="2" max="2" width="8.125" style="416" customWidth="1"/>
    <col min="3" max="3" width="8.25" style="415" customWidth="1"/>
    <col min="4" max="4" width="11.125" style="416" customWidth="1"/>
    <col min="5" max="5" width="12.25" style="416" bestFit="1" customWidth="1"/>
    <col min="6" max="6" width="24.375" style="416" customWidth="1"/>
    <col min="7" max="7" width="16.375" style="424" customWidth="1"/>
    <col min="8" max="8" width="14.5" style="415" bestFit="1" customWidth="1"/>
    <col min="9" max="9" width="25.625" style="415" customWidth="1"/>
    <col min="10" max="10" width="14.875" style="415" customWidth="1"/>
    <col min="11" max="11" width="47.75" style="415" bestFit="1" customWidth="1"/>
    <col min="12" max="12" width="62.75" style="415" bestFit="1" customWidth="1"/>
    <col min="13" max="250" width="9" style="415"/>
    <col min="251" max="251" width="3.75" style="415" customWidth="1"/>
    <col min="252" max="506" width="9" style="415"/>
    <col min="507" max="507" width="3.75" style="415" customWidth="1"/>
    <col min="508" max="762" width="9" style="415"/>
    <col min="763" max="763" width="3.75" style="415" customWidth="1"/>
    <col min="764" max="1018" width="9" style="415"/>
    <col min="1019" max="1019" width="3.75" style="415" customWidth="1"/>
    <col min="1020" max="1274" width="9" style="415"/>
    <col min="1275" max="1275" width="3.75" style="415" customWidth="1"/>
    <col min="1276" max="1530" width="9" style="415"/>
    <col min="1531" max="1531" width="3.75" style="415" customWidth="1"/>
    <col min="1532" max="1786" width="9" style="415"/>
    <col min="1787" max="1787" width="3.75" style="415" customWidth="1"/>
    <col min="1788" max="2042" width="9" style="415"/>
    <col min="2043" max="2043" width="3.75" style="415" customWidth="1"/>
    <col min="2044" max="2298" width="9" style="415"/>
    <col min="2299" max="2299" width="3.75" style="415" customWidth="1"/>
    <col min="2300" max="2554" width="9" style="415"/>
    <col min="2555" max="2555" width="3.75" style="415" customWidth="1"/>
    <col min="2556" max="2810" width="9" style="415"/>
    <col min="2811" max="2811" width="3.75" style="415" customWidth="1"/>
    <col min="2812" max="3066" width="9" style="415"/>
    <col min="3067" max="3067" width="3.75" style="415" customWidth="1"/>
    <col min="3068" max="3322" width="9" style="415"/>
    <col min="3323" max="3323" width="3.75" style="415" customWidth="1"/>
    <col min="3324" max="3578" width="9" style="415"/>
    <col min="3579" max="3579" width="3.75" style="415" customWidth="1"/>
    <col min="3580" max="3834" width="9" style="415"/>
    <col min="3835" max="3835" width="3.75" style="415" customWidth="1"/>
    <col min="3836" max="4090" width="9" style="415"/>
    <col min="4091" max="4091" width="3.75" style="415" customWidth="1"/>
    <col min="4092" max="4346" width="9" style="415"/>
    <col min="4347" max="4347" width="3.75" style="415" customWidth="1"/>
    <col min="4348" max="4602" width="9" style="415"/>
    <col min="4603" max="4603" width="3.75" style="415" customWidth="1"/>
    <col min="4604" max="4858" width="9" style="415"/>
    <col min="4859" max="4859" width="3.75" style="415" customWidth="1"/>
    <col min="4860" max="5114" width="9" style="415"/>
    <col min="5115" max="5115" width="3.75" style="415" customWidth="1"/>
    <col min="5116" max="5370" width="9" style="415"/>
    <col min="5371" max="5371" width="3.75" style="415" customWidth="1"/>
    <col min="5372" max="5626" width="9" style="415"/>
    <col min="5627" max="5627" width="3.75" style="415" customWidth="1"/>
    <col min="5628" max="5882" width="9" style="415"/>
    <col min="5883" max="5883" width="3.75" style="415" customWidth="1"/>
    <col min="5884" max="6138" width="9" style="415"/>
    <col min="6139" max="6139" width="3.75" style="415" customWidth="1"/>
    <col min="6140" max="6394" width="9" style="415"/>
    <col min="6395" max="6395" width="3.75" style="415" customWidth="1"/>
    <col min="6396" max="6650" width="9" style="415"/>
    <col min="6651" max="6651" width="3.75" style="415" customWidth="1"/>
    <col min="6652" max="6906" width="9" style="415"/>
    <col min="6907" max="6907" width="3.75" style="415" customWidth="1"/>
    <col min="6908" max="7162" width="9" style="415"/>
    <col min="7163" max="7163" width="3.75" style="415" customWidth="1"/>
    <col min="7164" max="7418" width="9" style="415"/>
    <col min="7419" max="7419" width="3.75" style="415" customWidth="1"/>
    <col min="7420" max="7674" width="9" style="415"/>
    <col min="7675" max="7675" width="3.75" style="415" customWidth="1"/>
    <col min="7676" max="7930" width="9" style="415"/>
    <col min="7931" max="7931" width="3.75" style="415" customWidth="1"/>
    <col min="7932" max="8186" width="9" style="415"/>
    <col min="8187" max="8187" width="3.75" style="415" customWidth="1"/>
    <col min="8188" max="8442" width="9" style="415"/>
    <col min="8443" max="8443" width="3.75" style="415" customWidth="1"/>
    <col min="8444" max="8698" width="9" style="415"/>
    <col min="8699" max="8699" width="3.75" style="415" customWidth="1"/>
    <col min="8700" max="8954" width="9" style="415"/>
    <col min="8955" max="8955" width="3.75" style="415" customWidth="1"/>
    <col min="8956" max="9210" width="9" style="415"/>
    <col min="9211" max="9211" width="3.75" style="415" customWidth="1"/>
    <col min="9212" max="9466" width="9" style="415"/>
    <col min="9467" max="9467" width="3.75" style="415" customWidth="1"/>
    <col min="9468" max="9722" width="9" style="415"/>
    <col min="9723" max="9723" width="3.75" style="415" customWidth="1"/>
    <col min="9724" max="9978" width="9" style="415"/>
    <col min="9979" max="9979" width="3.75" style="415" customWidth="1"/>
    <col min="9980" max="10234" width="9" style="415"/>
    <col min="10235" max="10235" width="3.75" style="415" customWidth="1"/>
    <col min="10236" max="10490" width="9" style="415"/>
    <col min="10491" max="10491" width="3.75" style="415" customWidth="1"/>
    <col min="10492" max="10746" width="9" style="415"/>
    <col min="10747" max="10747" width="3.75" style="415" customWidth="1"/>
    <col min="10748" max="11002" width="9" style="415"/>
    <col min="11003" max="11003" width="3.75" style="415" customWidth="1"/>
    <col min="11004" max="11258" width="9" style="415"/>
    <col min="11259" max="11259" width="3.75" style="415" customWidth="1"/>
    <col min="11260" max="11514" width="9" style="415"/>
    <col min="11515" max="11515" width="3.75" style="415" customWidth="1"/>
    <col min="11516" max="11770" width="9" style="415"/>
    <col min="11771" max="11771" width="3.75" style="415" customWidth="1"/>
    <col min="11772" max="12026" width="9" style="415"/>
    <col min="12027" max="12027" width="3.75" style="415" customWidth="1"/>
    <col min="12028" max="12282" width="9" style="415"/>
    <col min="12283" max="12283" width="3.75" style="415" customWidth="1"/>
    <col min="12284" max="12538" width="9" style="415"/>
    <col min="12539" max="12539" width="3.75" style="415" customWidth="1"/>
    <col min="12540" max="12794" width="9" style="415"/>
    <col min="12795" max="12795" width="3.75" style="415" customWidth="1"/>
    <col min="12796" max="13050" width="9" style="415"/>
    <col min="13051" max="13051" width="3.75" style="415" customWidth="1"/>
    <col min="13052" max="13306" width="9" style="415"/>
    <col min="13307" max="13307" width="3.75" style="415" customWidth="1"/>
    <col min="13308" max="13562" width="9" style="415"/>
    <col min="13563" max="13563" width="3.75" style="415" customWidth="1"/>
    <col min="13564" max="13818" width="9" style="415"/>
    <col min="13819" max="13819" width="3.75" style="415" customWidth="1"/>
    <col min="13820" max="14074" width="9" style="415"/>
    <col min="14075" max="14075" width="3.75" style="415" customWidth="1"/>
    <col min="14076" max="14330" width="9" style="415"/>
    <col min="14331" max="14331" width="3.75" style="415" customWidth="1"/>
    <col min="14332" max="14586" width="9" style="415"/>
    <col min="14587" max="14587" width="3.75" style="415" customWidth="1"/>
    <col min="14588" max="14842" width="9" style="415"/>
    <col min="14843" max="14843" width="3.75" style="415" customWidth="1"/>
    <col min="14844" max="15098" width="9" style="415"/>
    <col min="15099" max="15099" width="3.75" style="415" customWidth="1"/>
    <col min="15100" max="15354" width="9" style="415"/>
    <col min="15355" max="15355" width="3.75" style="415" customWidth="1"/>
    <col min="15356" max="15610" width="9" style="415"/>
    <col min="15611" max="15611" width="3.75" style="415" customWidth="1"/>
    <col min="15612" max="15866" width="9" style="415"/>
    <col min="15867" max="15867" width="3.75" style="415" customWidth="1"/>
    <col min="15868" max="16122" width="9" style="415"/>
    <col min="16123" max="16123" width="3.75" style="415" customWidth="1"/>
    <col min="16124" max="16384" width="9" style="415"/>
  </cols>
  <sheetData>
    <row r="2" spans="2:12" ht="19.5">
      <c r="B2" s="414" t="s">
        <v>42</v>
      </c>
      <c r="G2" s="647"/>
      <c r="H2" s="647"/>
      <c r="I2" s="647"/>
    </row>
    <row r="4" spans="2:12">
      <c r="B4" s="646" t="s">
        <v>43</v>
      </c>
      <c r="C4" s="646" t="s">
        <v>44</v>
      </c>
      <c r="D4" s="648" t="s">
        <v>45</v>
      </c>
      <c r="E4" s="648" t="s">
        <v>122</v>
      </c>
      <c r="F4" s="648" t="s">
        <v>46</v>
      </c>
      <c r="G4" s="646" t="s">
        <v>47</v>
      </c>
      <c r="H4" s="646"/>
      <c r="I4" s="646" t="s">
        <v>48</v>
      </c>
      <c r="J4" s="646" t="s">
        <v>49</v>
      </c>
      <c r="K4" s="646" t="s">
        <v>118</v>
      </c>
      <c r="L4" s="646"/>
    </row>
    <row r="5" spans="2:12">
      <c r="B5" s="646"/>
      <c r="C5" s="646"/>
      <c r="D5" s="649"/>
      <c r="E5" s="649"/>
      <c r="F5" s="649"/>
      <c r="G5" s="418" t="s">
        <v>50</v>
      </c>
      <c r="H5" s="417" t="s">
        <v>61</v>
      </c>
      <c r="I5" s="646"/>
      <c r="J5" s="646"/>
      <c r="K5" s="417" t="s">
        <v>119</v>
      </c>
      <c r="L5" s="417" t="s">
        <v>123</v>
      </c>
    </row>
    <row r="6" spans="2:12" ht="20.100000000000001" customHeight="1">
      <c r="B6" s="419">
        <f t="shared" ref="B6:B46" si="0">ROW()-5</f>
        <v>1</v>
      </c>
      <c r="C6" s="420"/>
      <c r="D6" s="425">
        <v>46133</v>
      </c>
      <c r="E6" s="523" t="s">
        <v>226</v>
      </c>
      <c r="F6" s="533" t="s">
        <v>236</v>
      </c>
      <c r="G6" s="524">
        <v>135</v>
      </c>
      <c r="H6" s="421"/>
      <c r="I6" s="426" t="s">
        <v>237</v>
      </c>
      <c r="J6" s="426" t="s">
        <v>225</v>
      </c>
      <c r="K6" s="426" t="s">
        <v>238</v>
      </c>
      <c r="L6" s="425" t="s">
        <v>229</v>
      </c>
    </row>
    <row r="7" spans="2:12" ht="20.100000000000001" customHeight="1">
      <c r="B7" s="419">
        <f t="shared" si="0"/>
        <v>2</v>
      </c>
      <c r="C7" s="420"/>
      <c r="D7" s="425">
        <v>46134</v>
      </c>
      <c r="E7" s="523" t="s">
        <v>226</v>
      </c>
      <c r="F7" s="533" t="s">
        <v>227</v>
      </c>
      <c r="G7" s="524">
        <v>68</v>
      </c>
      <c r="H7" s="421"/>
      <c r="I7" s="426" t="s">
        <v>228</v>
      </c>
      <c r="J7" s="426" t="s">
        <v>217</v>
      </c>
      <c r="K7" s="426" t="s">
        <v>239</v>
      </c>
      <c r="L7" s="425" t="s">
        <v>226</v>
      </c>
    </row>
    <row r="8" spans="2:12" ht="20.100000000000001" customHeight="1">
      <c r="B8" s="419">
        <f t="shared" si="0"/>
        <v>3</v>
      </c>
      <c r="C8" s="420"/>
      <c r="D8" s="425">
        <v>46149</v>
      </c>
      <c r="E8" s="523" t="s">
        <v>226</v>
      </c>
      <c r="F8" s="533" t="s">
        <v>240</v>
      </c>
      <c r="G8" s="524">
        <v>370</v>
      </c>
      <c r="H8" s="421"/>
      <c r="I8" s="426" t="s">
        <v>231</v>
      </c>
      <c r="J8" s="426" t="s">
        <v>217</v>
      </c>
      <c r="K8" s="426" t="s">
        <v>241</v>
      </c>
      <c r="L8" s="425" t="s">
        <v>226</v>
      </c>
    </row>
    <row r="9" spans="2:12" ht="20.100000000000001" customHeight="1">
      <c r="B9" s="419">
        <f t="shared" si="0"/>
        <v>4</v>
      </c>
      <c r="C9" s="420"/>
      <c r="D9" s="425">
        <v>46151</v>
      </c>
      <c r="E9" s="523" t="s">
        <v>226</v>
      </c>
      <c r="F9" s="522" t="s">
        <v>242</v>
      </c>
      <c r="G9" s="524">
        <v>233</v>
      </c>
      <c r="H9" s="421"/>
      <c r="I9" s="426" t="s">
        <v>243</v>
      </c>
      <c r="J9" s="426" t="s">
        <v>225</v>
      </c>
      <c r="K9" s="426" t="s">
        <v>244</v>
      </c>
      <c r="L9" s="425" t="s">
        <v>226</v>
      </c>
    </row>
    <row r="10" spans="2:12" ht="20.100000000000001" customHeight="1">
      <c r="B10" s="419">
        <f t="shared" si="0"/>
        <v>5</v>
      </c>
      <c r="C10" s="420"/>
      <c r="D10" s="425">
        <v>46118</v>
      </c>
      <c r="E10" s="523" t="s">
        <v>182</v>
      </c>
      <c r="F10" s="522" t="s">
        <v>245</v>
      </c>
      <c r="G10" s="524">
        <v>258</v>
      </c>
      <c r="H10" s="421"/>
      <c r="I10" s="426" t="s">
        <v>246</v>
      </c>
      <c r="J10" s="426" t="s">
        <v>217</v>
      </c>
      <c r="K10" s="426" t="s">
        <v>247</v>
      </c>
      <c r="L10" s="425" t="s">
        <v>222</v>
      </c>
    </row>
    <row r="11" spans="2:12" ht="20.100000000000001" customHeight="1">
      <c r="B11" s="419">
        <f t="shared" si="0"/>
        <v>6</v>
      </c>
      <c r="C11" s="420"/>
      <c r="D11" s="425">
        <v>46119</v>
      </c>
      <c r="E11" s="523" t="s">
        <v>182</v>
      </c>
      <c r="F11" s="522" t="s">
        <v>248</v>
      </c>
      <c r="G11" s="524">
        <v>873</v>
      </c>
      <c r="H11" s="421"/>
      <c r="I11" s="426" t="s">
        <v>246</v>
      </c>
      <c r="J11" s="426" t="s">
        <v>249</v>
      </c>
      <c r="K11" s="426" t="s">
        <v>250</v>
      </c>
      <c r="L11" s="425" t="s">
        <v>251</v>
      </c>
    </row>
    <row r="12" spans="2:12" ht="20.100000000000001" customHeight="1">
      <c r="B12" s="419">
        <f t="shared" si="0"/>
        <v>7</v>
      </c>
      <c r="C12" s="420"/>
      <c r="D12" s="425">
        <v>46120</v>
      </c>
      <c r="E12" s="523" t="s">
        <v>182</v>
      </c>
      <c r="F12" s="522" t="s">
        <v>252</v>
      </c>
      <c r="G12" s="524">
        <v>402</v>
      </c>
      <c r="H12" s="421"/>
      <c r="I12" s="426" t="s">
        <v>246</v>
      </c>
      <c r="J12" s="426" t="s">
        <v>249</v>
      </c>
      <c r="K12" s="426" t="s">
        <v>250</v>
      </c>
      <c r="L12" s="425" t="s">
        <v>253</v>
      </c>
    </row>
    <row r="13" spans="2:12" ht="20.100000000000001" customHeight="1">
      <c r="B13" s="419">
        <f t="shared" si="0"/>
        <v>8</v>
      </c>
      <c r="C13" s="420"/>
      <c r="D13" s="425">
        <v>46120</v>
      </c>
      <c r="E13" s="523" t="s">
        <v>182</v>
      </c>
      <c r="F13" s="522" t="s">
        <v>254</v>
      </c>
      <c r="G13" s="524">
        <v>800</v>
      </c>
      <c r="H13" s="421"/>
      <c r="I13" s="426" t="s">
        <v>246</v>
      </c>
      <c r="J13" s="426" t="s">
        <v>217</v>
      </c>
      <c r="K13" s="426" t="s">
        <v>255</v>
      </c>
      <c r="L13" s="425" t="s">
        <v>253</v>
      </c>
    </row>
    <row r="14" spans="2:12" ht="20.100000000000001" customHeight="1">
      <c r="B14" s="419">
        <f t="shared" si="0"/>
        <v>9</v>
      </c>
      <c r="C14" s="420"/>
      <c r="D14" s="425">
        <v>46128</v>
      </c>
      <c r="E14" s="523" t="s">
        <v>182</v>
      </c>
      <c r="F14" s="522" t="s">
        <v>256</v>
      </c>
      <c r="G14" s="524">
        <v>297</v>
      </c>
      <c r="H14" s="421"/>
      <c r="I14" s="426" t="s">
        <v>246</v>
      </c>
      <c r="J14" s="426" t="s">
        <v>217</v>
      </c>
      <c r="K14" s="426" t="s">
        <v>257</v>
      </c>
      <c r="L14" s="425" t="s">
        <v>258</v>
      </c>
    </row>
    <row r="15" spans="2:12" ht="20.100000000000001" customHeight="1">
      <c r="B15" s="419">
        <f t="shared" si="0"/>
        <v>10</v>
      </c>
      <c r="C15" s="420"/>
      <c r="D15" s="425">
        <v>46150</v>
      </c>
      <c r="E15" s="523" t="s">
        <v>182</v>
      </c>
      <c r="F15" s="533" t="s">
        <v>261</v>
      </c>
      <c r="G15" s="524">
        <v>693</v>
      </c>
      <c r="H15" s="421"/>
      <c r="I15" s="426" t="s">
        <v>246</v>
      </c>
      <c r="J15" s="426" t="s">
        <v>217</v>
      </c>
      <c r="K15" s="426" t="s">
        <v>259</v>
      </c>
      <c r="L15" s="534" t="s">
        <v>260</v>
      </c>
    </row>
    <row r="16" spans="2:12" ht="20.100000000000001" customHeight="1">
      <c r="B16" s="419">
        <f t="shared" si="0"/>
        <v>11</v>
      </c>
      <c r="C16" s="420"/>
      <c r="D16" s="425" t="s">
        <v>262</v>
      </c>
      <c r="E16" s="523" t="s">
        <v>263</v>
      </c>
      <c r="F16" s="522" t="s">
        <v>264</v>
      </c>
      <c r="G16" s="524">
        <v>60</v>
      </c>
      <c r="H16" s="421"/>
      <c r="I16" s="421" t="s">
        <v>265</v>
      </c>
      <c r="J16" s="426" t="s">
        <v>217</v>
      </c>
      <c r="K16" s="426" t="s">
        <v>266</v>
      </c>
      <c r="L16" s="426" t="s">
        <v>267</v>
      </c>
    </row>
    <row r="17" spans="2:12" ht="20.100000000000001" customHeight="1">
      <c r="B17" s="419">
        <f t="shared" si="0"/>
        <v>12</v>
      </c>
      <c r="C17" s="420"/>
      <c r="D17" s="425" t="s">
        <v>262</v>
      </c>
      <c r="E17" s="523" t="s">
        <v>263</v>
      </c>
      <c r="F17" s="522" t="s">
        <v>268</v>
      </c>
      <c r="G17" s="524">
        <v>281</v>
      </c>
      <c r="H17" s="421"/>
      <c r="I17" s="421" t="s">
        <v>269</v>
      </c>
      <c r="J17" s="426" t="s">
        <v>217</v>
      </c>
      <c r="K17" s="426" t="s">
        <v>266</v>
      </c>
      <c r="L17" s="426" t="s">
        <v>267</v>
      </c>
    </row>
    <row r="18" spans="2:12" ht="20.100000000000001" customHeight="1">
      <c r="B18" s="419">
        <f t="shared" si="0"/>
        <v>13</v>
      </c>
      <c r="C18" s="420"/>
      <c r="D18" s="425" t="s">
        <v>270</v>
      </c>
      <c r="E18" s="523" t="s">
        <v>263</v>
      </c>
      <c r="F18" s="522" t="s">
        <v>271</v>
      </c>
      <c r="G18" s="524">
        <v>315</v>
      </c>
      <c r="H18" s="421"/>
      <c r="I18" s="426" t="s">
        <v>269</v>
      </c>
      <c r="J18" s="426" t="s">
        <v>272</v>
      </c>
      <c r="K18" s="426" t="s">
        <v>273</v>
      </c>
      <c r="L18" s="425" t="s">
        <v>267</v>
      </c>
    </row>
    <row r="19" spans="2:12" ht="20.100000000000001" customHeight="1">
      <c r="B19" s="419">
        <f t="shared" si="0"/>
        <v>14</v>
      </c>
      <c r="C19" s="420"/>
      <c r="D19" s="425" t="s">
        <v>274</v>
      </c>
      <c r="E19" s="523" t="s">
        <v>263</v>
      </c>
      <c r="F19" s="522" t="s">
        <v>275</v>
      </c>
      <c r="G19" s="524">
        <v>100.7</v>
      </c>
      <c r="H19" s="421"/>
      <c r="I19" s="426" t="s">
        <v>265</v>
      </c>
      <c r="J19" s="426" t="s">
        <v>217</v>
      </c>
      <c r="K19" s="426" t="s">
        <v>276</v>
      </c>
      <c r="L19" s="425" t="s">
        <v>277</v>
      </c>
    </row>
    <row r="20" spans="2:12" ht="20.100000000000001" customHeight="1">
      <c r="B20" s="419">
        <f t="shared" si="0"/>
        <v>15</v>
      </c>
      <c r="C20" s="420"/>
      <c r="D20" s="425" t="s">
        <v>278</v>
      </c>
      <c r="E20" s="523" t="s">
        <v>263</v>
      </c>
      <c r="F20" s="522" t="s">
        <v>271</v>
      </c>
      <c r="G20" s="524">
        <v>255</v>
      </c>
      <c r="H20" s="421"/>
      <c r="I20" s="426" t="s">
        <v>269</v>
      </c>
      <c r="J20" s="426" t="s">
        <v>279</v>
      </c>
      <c r="K20" s="426" t="s">
        <v>280</v>
      </c>
      <c r="L20" s="425" t="s">
        <v>263</v>
      </c>
    </row>
    <row r="21" spans="2:12" ht="20.100000000000001" customHeight="1">
      <c r="B21" s="419">
        <f t="shared" si="0"/>
        <v>16</v>
      </c>
      <c r="C21" s="420"/>
      <c r="D21" s="425" t="s">
        <v>281</v>
      </c>
      <c r="E21" s="523" t="s">
        <v>263</v>
      </c>
      <c r="F21" s="522" t="s">
        <v>271</v>
      </c>
      <c r="G21" s="524">
        <v>307.8</v>
      </c>
      <c r="H21" s="421"/>
      <c r="I21" s="426" t="s">
        <v>269</v>
      </c>
      <c r="J21" s="426" t="s">
        <v>279</v>
      </c>
      <c r="K21" s="426" t="s">
        <v>282</v>
      </c>
      <c r="L21" s="425" t="s">
        <v>263</v>
      </c>
    </row>
    <row r="22" spans="2:12" ht="20.100000000000001" customHeight="1">
      <c r="B22" s="419">
        <f>ROW()-5</f>
        <v>17</v>
      </c>
      <c r="C22" s="420"/>
      <c r="D22" s="425" t="s">
        <v>283</v>
      </c>
      <c r="E22" s="523" t="s">
        <v>263</v>
      </c>
      <c r="F22" s="522" t="s">
        <v>284</v>
      </c>
      <c r="G22" s="524">
        <v>260</v>
      </c>
      <c r="H22" s="421"/>
      <c r="I22" s="426" t="s">
        <v>265</v>
      </c>
      <c r="J22" s="426" t="s">
        <v>285</v>
      </c>
      <c r="K22" s="426" t="s">
        <v>286</v>
      </c>
      <c r="L22" s="425" t="s">
        <v>267</v>
      </c>
    </row>
    <row r="23" spans="2:12" ht="20.100000000000001" customHeight="1">
      <c r="B23" s="419">
        <f t="shared" si="0"/>
        <v>18</v>
      </c>
      <c r="C23" s="420"/>
      <c r="D23" s="425" t="s">
        <v>283</v>
      </c>
      <c r="E23" s="523" t="s">
        <v>263</v>
      </c>
      <c r="F23" s="522" t="s">
        <v>287</v>
      </c>
      <c r="G23" s="524">
        <v>674</v>
      </c>
      <c r="H23" s="421"/>
      <c r="I23" s="426" t="s">
        <v>288</v>
      </c>
      <c r="J23" s="426" t="s">
        <v>285</v>
      </c>
      <c r="K23" s="426" t="s">
        <v>286</v>
      </c>
      <c r="L23" s="425" t="s">
        <v>267</v>
      </c>
    </row>
    <row r="24" spans="2:12" ht="20.100000000000001" customHeight="1">
      <c r="B24" s="419">
        <f t="shared" si="0"/>
        <v>19</v>
      </c>
      <c r="C24" s="420"/>
      <c r="D24" s="425" t="s">
        <v>283</v>
      </c>
      <c r="E24" s="523" t="s">
        <v>263</v>
      </c>
      <c r="F24" s="522" t="s">
        <v>289</v>
      </c>
      <c r="G24" s="524">
        <v>103</v>
      </c>
      <c r="H24" s="421"/>
      <c r="I24" s="426" t="s">
        <v>265</v>
      </c>
      <c r="J24" s="426" t="s">
        <v>285</v>
      </c>
      <c r="K24" s="426" t="s">
        <v>286</v>
      </c>
      <c r="L24" s="425" t="s">
        <v>267</v>
      </c>
    </row>
    <row r="25" spans="2:12" ht="20.100000000000001" customHeight="1">
      <c r="B25" s="419">
        <f t="shared" si="0"/>
        <v>20</v>
      </c>
      <c r="C25" s="420"/>
      <c r="D25" s="425">
        <v>46132</v>
      </c>
      <c r="E25" s="523" t="s">
        <v>232</v>
      </c>
      <c r="F25" s="522" t="s">
        <v>233</v>
      </c>
      <c r="G25" s="524">
        <v>246</v>
      </c>
      <c r="H25" s="421"/>
      <c r="I25" s="426" t="s">
        <v>235</v>
      </c>
      <c r="J25" s="426" t="s">
        <v>217</v>
      </c>
      <c r="K25" s="426" t="s">
        <v>290</v>
      </c>
      <c r="L25" s="425" t="s">
        <v>234</v>
      </c>
    </row>
    <row r="26" spans="2:12" ht="20.100000000000001" customHeight="1">
      <c r="B26" s="419">
        <f t="shared" si="0"/>
        <v>21</v>
      </c>
      <c r="C26" s="420"/>
      <c r="D26" s="425">
        <v>46149</v>
      </c>
      <c r="E26" s="523" t="s">
        <v>232</v>
      </c>
      <c r="F26" s="522" t="s">
        <v>230</v>
      </c>
      <c r="G26" s="524">
        <v>140</v>
      </c>
      <c r="H26" s="421"/>
      <c r="I26" s="426" t="s">
        <v>235</v>
      </c>
      <c r="J26" s="426" t="s">
        <v>217</v>
      </c>
      <c r="K26" s="426" t="s">
        <v>291</v>
      </c>
      <c r="L26" s="425" t="s">
        <v>234</v>
      </c>
    </row>
    <row r="27" spans="2:12" ht="20.100000000000001" customHeight="1">
      <c r="B27" s="419">
        <f t="shared" si="0"/>
        <v>22</v>
      </c>
      <c r="C27" s="420"/>
      <c r="D27" s="425">
        <v>46109</v>
      </c>
      <c r="E27" s="523" t="s">
        <v>223</v>
      </c>
      <c r="F27" s="522" t="s">
        <v>292</v>
      </c>
      <c r="G27" s="524">
        <v>36.04</v>
      </c>
      <c r="H27" s="421"/>
      <c r="I27" s="426" t="s">
        <v>293</v>
      </c>
      <c r="J27" s="426" t="s">
        <v>225</v>
      </c>
      <c r="K27" s="426" t="s">
        <v>294</v>
      </c>
      <c r="L27" s="425" t="s">
        <v>223</v>
      </c>
    </row>
    <row r="28" spans="2:12" ht="20.100000000000001" customHeight="1">
      <c r="B28" s="419">
        <f t="shared" si="0"/>
        <v>23</v>
      </c>
      <c r="C28" s="420"/>
      <c r="D28" s="425">
        <v>46156</v>
      </c>
      <c r="E28" s="523" t="s">
        <v>223</v>
      </c>
      <c r="F28" s="522" t="s">
        <v>295</v>
      </c>
      <c r="G28" s="524">
        <v>1016.12</v>
      </c>
      <c r="H28" s="421"/>
      <c r="I28" s="426" t="s">
        <v>224</v>
      </c>
      <c r="J28" s="426" t="s">
        <v>216</v>
      </c>
      <c r="K28" s="426" t="s">
        <v>296</v>
      </c>
      <c r="L28" s="425" t="s">
        <v>297</v>
      </c>
    </row>
    <row r="29" spans="2:12" ht="20.100000000000001" customHeight="1">
      <c r="B29" s="419">
        <f t="shared" si="0"/>
        <v>24</v>
      </c>
      <c r="C29" s="420"/>
      <c r="D29" s="425">
        <v>46134</v>
      </c>
      <c r="E29" s="523" t="s">
        <v>223</v>
      </c>
      <c r="F29" s="522" t="s">
        <v>298</v>
      </c>
      <c r="G29" s="524">
        <v>58</v>
      </c>
      <c r="H29" s="421"/>
      <c r="I29" s="426" t="s">
        <v>224</v>
      </c>
      <c r="J29" s="426" t="s">
        <v>216</v>
      </c>
      <c r="K29" s="426" t="s">
        <v>299</v>
      </c>
      <c r="L29" s="425" t="s">
        <v>223</v>
      </c>
    </row>
    <row r="30" spans="2:12" ht="20.100000000000001" customHeight="1">
      <c r="B30" s="419">
        <f t="shared" si="0"/>
        <v>25</v>
      </c>
      <c r="C30" s="420"/>
      <c r="D30" s="425"/>
      <c r="E30" s="523"/>
      <c r="F30" s="522"/>
      <c r="G30" s="524"/>
      <c r="H30" s="421"/>
      <c r="I30" s="426"/>
      <c r="J30" s="426"/>
      <c r="K30" s="426"/>
      <c r="L30" s="425"/>
    </row>
    <row r="31" spans="2:12" ht="20.100000000000001" customHeight="1">
      <c r="B31" s="419">
        <f t="shared" si="0"/>
        <v>26</v>
      </c>
      <c r="C31" s="420"/>
      <c r="D31" s="425"/>
      <c r="E31" s="523"/>
      <c r="F31" s="522"/>
      <c r="G31" s="524"/>
      <c r="H31" s="421"/>
      <c r="I31" s="426"/>
      <c r="J31" s="426"/>
      <c r="K31" s="426"/>
      <c r="L31" s="425"/>
    </row>
    <row r="32" spans="2:12" ht="20.100000000000001" customHeight="1">
      <c r="B32" s="419">
        <f t="shared" si="0"/>
        <v>27</v>
      </c>
      <c r="C32" s="420"/>
      <c r="D32" s="425"/>
      <c r="E32" s="523"/>
      <c r="F32" s="522"/>
      <c r="G32" s="524"/>
      <c r="H32" s="421"/>
      <c r="I32" s="426"/>
      <c r="J32" s="426"/>
      <c r="K32" s="426"/>
      <c r="L32" s="425"/>
    </row>
    <row r="33" spans="2:12" ht="20.100000000000001" customHeight="1">
      <c r="B33" s="419">
        <f t="shared" si="0"/>
        <v>28</v>
      </c>
      <c r="C33" s="420"/>
      <c r="D33" s="425"/>
      <c r="E33" s="523"/>
      <c r="F33" s="522"/>
      <c r="G33" s="524"/>
      <c r="H33" s="421"/>
      <c r="I33" s="426"/>
      <c r="J33" s="426"/>
      <c r="K33" s="426"/>
      <c r="L33" s="425"/>
    </row>
    <row r="34" spans="2:12" ht="20.100000000000001" customHeight="1">
      <c r="B34" s="419">
        <f t="shared" si="0"/>
        <v>29</v>
      </c>
      <c r="C34" s="420"/>
      <c r="D34" s="425"/>
      <c r="E34" s="523"/>
      <c r="F34" s="522"/>
      <c r="G34" s="524"/>
      <c r="H34" s="421"/>
      <c r="I34" s="426"/>
      <c r="J34" s="426"/>
      <c r="K34" s="426"/>
      <c r="L34" s="425"/>
    </row>
    <row r="35" spans="2:12" ht="20.100000000000001" customHeight="1">
      <c r="B35" s="419">
        <f t="shared" si="0"/>
        <v>30</v>
      </c>
      <c r="C35" s="420"/>
      <c r="D35" s="425"/>
      <c r="E35" s="523"/>
      <c r="F35" s="522"/>
      <c r="G35" s="524"/>
      <c r="H35" s="421"/>
      <c r="I35" s="426"/>
      <c r="J35" s="426"/>
      <c r="K35" s="426"/>
      <c r="L35" s="425"/>
    </row>
    <row r="36" spans="2:12" ht="20.100000000000001" customHeight="1">
      <c r="B36" s="419">
        <f t="shared" si="0"/>
        <v>31</v>
      </c>
      <c r="C36" s="420"/>
      <c r="D36" s="425"/>
      <c r="E36" s="523"/>
      <c r="F36" s="522"/>
      <c r="G36" s="524"/>
      <c r="H36" s="421"/>
      <c r="I36" s="426"/>
      <c r="J36" s="426"/>
      <c r="K36" s="426"/>
      <c r="L36" s="425"/>
    </row>
    <row r="37" spans="2:12" ht="20.100000000000001" customHeight="1">
      <c r="B37" s="419">
        <f t="shared" si="0"/>
        <v>32</v>
      </c>
      <c r="C37" s="420"/>
      <c r="D37" s="425"/>
      <c r="E37" s="523"/>
      <c r="F37" s="522"/>
      <c r="G37" s="524"/>
      <c r="H37" s="421"/>
      <c r="I37" s="426"/>
      <c r="J37" s="426"/>
      <c r="K37" s="426"/>
      <c r="L37" s="425"/>
    </row>
    <row r="38" spans="2:12" ht="20.100000000000001" customHeight="1">
      <c r="B38" s="419">
        <f t="shared" si="0"/>
        <v>33</v>
      </c>
      <c r="C38" s="420"/>
      <c r="D38" s="425"/>
      <c r="E38" s="523"/>
      <c r="F38" s="522"/>
      <c r="G38" s="524"/>
      <c r="H38" s="421"/>
      <c r="I38" s="426"/>
      <c r="J38" s="426"/>
      <c r="K38" s="426"/>
      <c r="L38" s="425"/>
    </row>
    <row r="39" spans="2:12" ht="20.100000000000001" customHeight="1">
      <c r="B39" s="419">
        <f t="shared" si="0"/>
        <v>34</v>
      </c>
      <c r="C39" s="420"/>
      <c r="D39" s="425"/>
      <c r="E39" s="523"/>
      <c r="F39" s="522"/>
      <c r="G39" s="524"/>
      <c r="H39" s="421"/>
      <c r="I39" s="426"/>
      <c r="J39" s="426"/>
      <c r="K39" s="426"/>
      <c r="L39" s="425"/>
    </row>
    <row r="40" spans="2:12" ht="20.100000000000001" customHeight="1">
      <c r="B40" s="419">
        <f t="shared" si="0"/>
        <v>35</v>
      </c>
      <c r="C40" s="420"/>
      <c r="D40" s="425"/>
      <c r="E40" s="523"/>
      <c r="F40" s="522"/>
      <c r="G40" s="524"/>
      <c r="H40" s="421"/>
      <c r="I40" s="426"/>
      <c r="J40" s="426"/>
      <c r="K40" s="426"/>
      <c r="L40" s="425"/>
    </row>
    <row r="41" spans="2:12" ht="20.100000000000001" customHeight="1">
      <c r="B41" s="419">
        <f t="shared" si="0"/>
        <v>36</v>
      </c>
      <c r="C41" s="420"/>
      <c r="D41" s="425"/>
      <c r="E41" s="523"/>
      <c r="F41" s="522"/>
      <c r="G41" s="524"/>
      <c r="H41" s="421"/>
      <c r="I41" s="426"/>
      <c r="J41" s="426"/>
      <c r="K41" s="426"/>
      <c r="L41" s="425"/>
    </row>
    <row r="42" spans="2:12" ht="20.100000000000001" hidden="1" customHeight="1">
      <c r="B42" s="419">
        <f t="shared" si="0"/>
        <v>37</v>
      </c>
      <c r="C42" s="420"/>
      <c r="D42" s="425"/>
      <c r="E42" s="523"/>
      <c r="F42" s="522"/>
      <c r="G42" s="524"/>
      <c r="H42" s="421"/>
      <c r="I42" s="426"/>
      <c r="J42" s="426"/>
      <c r="K42" s="426"/>
      <c r="L42" s="425"/>
    </row>
    <row r="43" spans="2:12" ht="20.100000000000001" hidden="1" customHeight="1">
      <c r="B43" s="419">
        <f t="shared" si="0"/>
        <v>38</v>
      </c>
      <c r="C43" s="420"/>
      <c r="D43" s="425"/>
      <c r="E43" s="523"/>
      <c r="F43" s="522"/>
      <c r="G43" s="524"/>
      <c r="H43" s="421"/>
      <c r="I43" s="426"/>
      <c r="J43" s="426"/>
      <c r="K43" s="426"/>
      <c r="L43" s="425"/>
    </row>
    <row r="44" spans="2:12" ht="20.100000000000001" hidden="1" customHeight="1">
      <c r="B44" s="419">
        <f t="shared" si="0"/>
        <v>39</v>
      </c>
      <c r="C44" s="420"/>
      <c r="D44" s="425"/>
      <c r="E44" s="523"/>
      <c r="F44" s="522"/>
      <c r="G44" s="524"/>
      <c r="H44" s="421"/>
      <c r="I44" s="426"/>
      <c r="J44" s="426"/>
      <c r="K44" s="426"/>
      <c r="L44" s="425"/>
    </row>
    <row r="45" spans="2:12" ht="20.100000000000001" hidden="1" customHeight="1">
      <c r="B45" s="419">
        <f t="shared" si="0"/>
        <v>40</v>
      </c>
      <c r="C45" s="420"/>
      <c r="D45" s="425"/>
      <c r="E45" s="523"/>
      <c r="F45" s="522"/>
      <c r="G45" s="524"/>
      <c r="H45" s="421"/>
      <c r="I45" s="426"/>
      <c r="J45" s="426"/>
      <c r="K45" s="426"/>
      <c r="L45" s="425"/>
    </row>
    <row r="46" spans="2:12" ht="20.100000000000001" hidden="1" customHeight="1">
      <c r="B46" s="419">
        <f t="shared" si="0"/>
        <v>41</v>
      </c>
      <c r="C46" s="420"/>
      <c r="D46" s="425"/>
      <c r="E46" s="425"/>
      <c r="F46" s="522"/>
      <c r="G46" s="525"/>
      <c r="H46" s="421"/>
      <c r="I46" s="426"/>
      <c r="J46" s="426"/>
      <c r="K46" s="426"/>
      <c r="L46" s="425"/>
    </row>
    <row r="47" spans="2:12">
      <c r="B47" s="419"/>
      <c r="G47" s="422">
        <f>SUM(G6:G46)</f>
        <v>7981.66</v>
      </c>
      <c r="H47" s="423">
        <f>SUM(H6:H46)</f>
        <v>0</v>
      </c>
    </row>
  </sheetData>
  <autoFilter ref="B5:L46" xr:uid="{3BDFA6BF-E876-473E-BFC7-B0F7D99C5F64}"/>
  <mergeCells count="10">
    <mergeCell ref="J4:J5"/>
    <mergeCell ref="K4:L4"/>
    <mergeCell ref="G2:I2"/>
    <mergeCell ref="B4:B5"/>
    <mergeCell ref="C4:C5"/>
    <mergeCell ref="D4:D5"/>
    <mergeCell ref="E4:E5"/>
    <mergeCell ref="F4:F5"/>
    <mergeCell ref="G4:H4"/>
    <mergeCell ref="I4:I5"/>
  </mergeCells>
  <phoneticPr fontId="6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2DB7-6A9C-4189-ACA3-520285F6CE7E}">
  <sheetPr>
    <tabColor rgb="FF92D050"/>
  </sheetPr>
  <dimension ref="C3:V24"/>
  <sheetViews>
    <sheetView showGridLines="0" view="pageBreakPreview" zoomScaleNormal="90" zoomScaleSheetLayoutView="100" workbookViewId="0">
      <selection activeCell="Q28" sqref="Q28"/>
    </sheetView>
  </sheetViews>
  <sheetFormatPr defaultColWidth="9.5" defaultRowHeight="16.5"/>
  <cols>
    <col min="1" max="2" width="2.125" style="408" customWidth="1"/>
    <col min="3" max="3" width="11.125" style="408" customWidth="1"/>
    <col min="4" max="4" width="9.875" style="408" customWidth="1"/>
    <col min="5" max="5" width="11.75" style="408" customWidth="1"/>
    <col min="6" max="6" width="6.75" style="408" customWidth="1"/>
    <col min="7" max="8" width="9.5" style="408"/>
    <col min="9" max="9" width="6.875" style="408" customWidth="1"/>
    <col min="10" max="10" width="11.125" style="408" customWidth="1"/>
    <col min="11" max="12" width="9.5" style="408"/>
    <col min="13" max="13" width="6.75" style="408" customWidth="1"/>
    <col min="14" max="16" width="9.5" style="408"/>
    <col min="17" max="17" width="11.125" style="408" customWidth="1"/>
    <col min="18" max="19" width="9.5" style="408"/>
    <col min="20" max="20" width="6.75" style="408" customWidth="1"/>
    <col min="21" max="16384" width="9.5" style="408"/>
  </cols>
  <sheetData>
    <row r="3" spans="3:22">
      <c r="C3" s="535" t="s">
        <v>219</v>
      </c>
      <c r="J3" s="536" t="s">
        <v>221</v>
      </c>
      <c r="K3" s="535"/>
      <c r="Q3" s="536" t="s">
        <v>220</v>
      </c>
    </row>
    <row r="4" spans="3:22">
      <c r="C4" s="409" t="s">
        <v>54</v>
      </c>
      <c r="D4" s="409" t="s">
        <v>55</v>
      </c>
      <c r="E4" s="409" t="s">
        <v>56</v>
      </c>
      <c r="F4" s="409" t="s">
        <v>57</v>
      </c>
      <c r="G4" s="409" t="s">
        <v>58</v>
      </c>
      <c r="H4" s="409" t="s">
        <v>59</v>
      </c>
      <c r="J4" s="409" t="s">
        <v>54</v>
      </c>
      <c r="K4" s="409" t="s">
        <v>55</v>
      </c>
      <c r="L4" s="409" t="s">
        <v>56</v>
      </c>
      <c r="M4" s="409" t="s">
        <v>57</v>
      </c>
      <c r="N4" s="409" t="s">
        <v>58</v>
      </c>
      <c r="O4" s="409" t="s">
        <v>59</v>
      </c>
      <c r="Q4" s="409" t="s">
        <v>54</v>
      </c>
      <c r="R4" s="409" t="s">
        <v>55</v>
      </c>
      <c r="S4" s="409" t="s">
        <v>56</v>
      </c>
      <c r="T4" s="409" t="s">
        <v>57</v>
      </c>
      <c r="U4" s="409" t="s">
        <v>58</v>
      </c>
      <c r="V4" s="409" t="s">
        <v>59</v>
      </c>
    </row>
    <row r="5" spans="3:22">
      <c r="C5" s="410">
        <v>46134</v>
      </c>
      <c r="D5" s="409"/>
      <c r="E5" s="409" t="s">
        <v>60</v>
      </c>
      <c r="F5" s="409">
        <v>6</v>
      </c>
      <c r="G5" s="409">
        <f>F5*20</f>
        <v>120</v>
      </c>
      <c r="H5" s="409"/>
      <c r="J5" s="410">
        <v>46135</v>
      </c>
      <c r="K5" s="409"/>
      <c r="L5" s="409" t="s">
        <v>60</v>
      </c>
      <c r="M5" s="409">
        <v>4</v>
      </c>
      <c r="N5" s="409">
        <f t="shared" ref="N5:N16" si="0">M5*20</f>
        <v>80</v>
      </c>
      <c r="O5" s="409"/>
      <c r="Q5" s="410">
        <v>46134</v>
      </c>
      <c r="R5" s="409"/>
      <c r="S5" s="409" t="s">
        <v>60</v>
      </c>
      <c r="T5" s="409">
        <v>1</v>
      </c>
      <c r="U5" s="409">
        <f t="shared" ref="U5:U16" si="1">T5*20</f>
        <v>20</v>
      </c>
      <c r="V5" s="409"/>
    </row>
    <row r="6" spans="3:22">
      <c r="C6" s="410">
        <v>46135</v>
      </c>
      <c r="D6" s="409"/>
      <c r="E6" s="409" t="s">
        <v>60</v>
      </c>
      <c r="F6" s="409">
        <v>3.5</v>
      </c>
      <c r="G6" s="409">
        <f>F6*20</f>
        <v>70</v>
      </c>
      <c r="H6" s="409"/>
      <c r="J6" s="410">
        <v>46139</v>
      </c>
      <c r="K6" s="409"/>
      <c r="L6" s="409" t="s">
        <v>60</v>
      </c>
      <c r="M6" s="409">
        <v>4</v>
      </c>
      <c r="N6" s="409">
        <f t="shared" si="0"/>
        <v>80</v>
      </c>
      <c r="O6" s="409"/>
      <c r="Q6" s="410">
        <v>46135</v>
      </c>
      <c r="R6" s="409"/>
      <c r="S6" s="409" t="s">
        <v>60</v>
      </c>
      <c r="T6" s="409">
        <v>2</v>
      </c>
      <c r="U6" s="409">
        <f t="shared" si="1"/>
        <v>40</v>
      </c>
      <c r="V6" s="409"/>
    </row>
    <row r="7" spans="3:22">
      <c r="C7" s="410">
        <v>46136</v>
      </c>
      <c r="D7" s="409"/>
      <c r="E7" s="409" t="s">
        <v>60</v>
      </c>
      <c r="F7" s="409">
        <v>6.5</v>
      </c>
      <c r="G7" s="409">
        <f t="shared" ref="G7:G14" si="2">F7*20</f>
        <v>130</v>
      </c>
      <c r="H7" s="409"/>
      <c r="J7" s="410">
        <v>46149</v>
      </c>
      <c r="K7" s="409"/>
      <c r="L7" s="409" t="s">
        <v>60</v>
      </c>
      <c r="M7" s="409">
        <v>3</v>
      </c>
      <c r="N7" s="409">
        <f t="shared" si="0"/>
        <v>60</v>
      </c>
      <c r="O7" s="409"/>
      <c r="Q7" s="410">
        <v>46139</v>
      </c>
      <c r="R7" s="409"/>
      <c r="S7" s="409" t="s">
        <v>60</v>
      </c>
      <c r="T7" s="409">
        <v>3</v>
      </c>
      <c r="U7" s="409">
        <f t="shared" si="1"/>
        <v>60</v>
      </c>
      <c r="V7" s="409"/>
    </row>
    <row r="8" spans="3:22">
      <c r="C8" s="410">
        <v>46139</v>
      </c>
      <c r="D8" s="409"/>
      <c r="E8" s="409" t="s">
        <v>60</v>
      </c>
      <c r="F8" s="409">
        <v>3</v>
      </c>
      <c r="G8" s="409">
        <f t="shared" si="2"/>
        <v>60</v>
      </c>
      <c r="H8" s="409"/>
      <c r="J8" s="410">
        <v>46150</v>
      </c>
      <c r="K8" s="409"/>
      <c r="L8" s="409" t="s">
        <v>60</v>
      </c>
      <c r="M8" s="409">
        <v>3</v>
      </c>
      <c r="N8" s="409">
        <f t="shared" si="0"/>
        <v>60</v>
      </c>
      <c r="O8" s="409"/>
      <c r="Q8" s="410">
        <v>46140</v>
      </c>
      <c r="R8" s="409"/>
      <c r="S8" s="409" t="s">
        <v>60</v>
      </c>
      <c r="T8" s="409">
        <v>1</v>
      </c>
      <c r="U8" s="409">
        <f t="shared" si="1"/>
        <v>20</v>
      </c>
      <c r="V8" s="409"/>
    </row>
    <row r="9" spans="3:22">
      <c r="C9" s="410">
        <v>46142</v>
      </c>
      <c r="D9" s="409"/>
      <c r="E9" s="409" t="s">
        <v>60</v>
      </c>
      <c r="F9" s="409">
        <v>1</v>
      </c>
      <c r="G9" s="409">
        <f t="shared" si="2"/>
        <v>20</v>
      </c>
      <c r="H9" s="411"/>
      <c r="J9" s="410">
        <v>46155</v>
      </c>
      <c r="K9" s="409"/>
      <c r="L9" s="409" t="s">
        <v>60</v>
      </c>
      <c r="M9" s="409">
        <v>5</v>
      </c>
      <c r="N9" s="409">
        <f t="shared" si="0"/>
        <v>100</v>
      </c>
      <c r="O9" s="411"/>
      <c r="Q9" s="410">
        <v>46154</v>
      </c>
      <c r="R9" s="409"/>
      <c r="S9" s="409" t="s">
        <v>60</v>
      </c>
      <c r="T9" s="409">
        <v>3</v>
      </c>
      <c r="U9" s="409">
        <f t="shared" si="1"/>
        <v>60</v>
      </c>
      <c r="V9" s="411"/>
    </row>
    <row r="10" spans="3:22">
      <c r="C10" s="410">
        <v>46150</v>
      </c>
      <c r="D10" s="409"/>
      <c r="E10" s="409" t="s">
        <v>60</v>
      </c>
      <c r="F10" s="409">
        <v>5</v>
      </c>
      <c r="G10" s="409">
        <f t="shared" si="2"/>
        <v>100</v>
      </c>
      <c r="H10" s="409"/>
      <c r="J10" s="410">
        <v>46158</v>
      </c>
      <c r="K10" s="409"/>
      <c r="L10" s="409" t="s">
        <v>60</v>
      </c>
      <c r="M10" s="409">
        <v>16</v>
      </c>
      <c r="N10" s="409">
        <f t="shared" si="0"/>
        <v>320</v>
      </c>
      <c r="O10" s="409"/>
      <c r="Q10" s="410">
        <v>46158</v>
      </c>
      <c r="R10" s="409"/>
      <c r="S10" s="409" t="s">
        <v>60</v>
      </c>
      <c r="T10" s="409">
        <v>5</v>
      </c>
      <c r="U10" s="409">
        <f t="shared" si="1"/>
        <v>100</v>
      </c>
      <c r="V10" s="409"/>
    </row>
    <row r="11" spans="3:22">
      <c r="C11" s="410">
        <v>46153</v>
      </c>
      <c r="D11" s="409"/>
      <c r="E11" s="409" t="s">
        <v>60</v>
      </c>
      <c r="F11" s="409">
        <v>1</v>
      </c>
      <c r="G11" s="409">
        <f t="shared" si="2"/>
        <v>20</v>
      </c>
      <c r="H11" s="409"/>
      <c r="J11" s="410">
        <v>46159</v>
      </c>
      <c r="K11" s="409"/>
      <c r="L11" s="409" t="s">
        <v>60</v>
      </c>
      <c r="M11" s="409">
        <v>3</v>
      </c>
      <c r="N11" s="409">
        <f t="shared" si="0"/>
        <v>60</v>
      </c>
      <c r="O11" s="409"/>
      <c r="Q11" s="410"/>
      <c r="R11" s="409"/>
      <c r="S11" s="409" t="s">
        <v>60</v>
      </c>
      <c r="T11" s="409"/>
      <c r="U11" s="409">
        <f t="shared" si="1"/>
        <v>0</v>
      </c>
      <c r="V11" s="409"/>
    </row>
    <row r="12" spans="3:22">
      <c r="C12" s="410">
        <v>46156</v>
      </c>
      <c r="D12" s="409"/>
      <c r="E12" s="409" t="s">
        <v>60</v>
      </c>
      <c r="F12" s="409">
        <v>3</v>
      </c>
      <c r="G12" s="409">
        <f t="shared" si="2"/>
        <v>60</v>
      </c>
      <c r="H12" s="409"/>
      <c r="J12" s="410"/>
      <c r="K12" s="409"/>
      <c r="L12" s="409" t="s">
        <v>60</v>
      </c>
      <c r="M12" s="409"/>
      <c r="N12" s="409">
        <f t="shared" si="0"/>
        <v>0</v>
      </c>
      <c r="O12" s="409"/>
      <c r="Q12" s="410"/>
      <c r="R12" s="409"/>
      <c r="S12" s="409" t="s">
        <v>60</v>
      </c>
      <c r="T12" s="409"/>
      <c r="U12" s="409">
        <f t="shared" si="1"/>
        <v>0</v>
      </c>
      <c r="V12" s="409"/>
    </row>
    <row r="13" spans="3:22">
      <c r="C13" s="410"/>
      <c r="D13" s="409"/>
      <c r="E13" s="409" t="s">
        <v>60</v>
      </c>
      <c r="F13" s="409"/>
      <c r="G13" s="409">
        <f t="shared" si="2"/>
        <v>0</v>
      </c>
      <c r="H13" s="411"/>
      <c r="J13" s="410"/>
      <c r="K13" s="409"/>
      <c r="L13" s="409" t="s">
        <v>60</v>
      </c>
      <c r="M13" s="409"/>
      <c r="N13" s="409">
        <f t="shared" si="0"/>
        <v>0</v>
      </c>
      <c r="O13" s="411"/>
      <c r="Q13" s="410"/>
      <c r="R13" s="409"/>
      <c r="S13" s="409" t="s">
        <v>60</v>
      </c>
      <c r="T13" s="409"/>
      <c r="U13" s="409">
        <f t="shared" si="1"/>
        <v>0</v>
      </c>
      <c r="V13" s="411"/>
    </row>
    <row r="14" spans="3:22">
      <c r="C14" s="410"/>
      <c r="D14" s="409"/>
      <c r="E14" s="409" t="s">
        <v>60</v>
      </c>
      <c r="F14" s="409"/>
      <c r="G14" s="409">
        <f t="shared" si="2"/>
        <v>0</v>
      </c>
      <c r="H14" s="411"/>
      <c r="J14" s="410"/>
      <c r="K14" s="409"/>
      <c r="L14" s="409" t="s">
        <v>60</v>
      </c>
      <c r="M14" s="409"/>
      <c r="N14" s="409">
        <f t="shared" si="0"/>
        <v>0</v>
      </c>
      <c r="O14" s="411"/>
      <c r="Q14" s="410"/>
      <c r="R14" s="409"/>
      <c r="S14" s="409" t="s">
        <v>60</v>
      </c>
      <c r="T14" s="409"/>
      <c r="U14" s="409">
        <f t="shared" si="1"/>
        <v>0</v>
      </c>
      <c r="V14" s="411"/>
    </row>
    <row r="15" spans="3:22">
      <c r="C15" s="410"/>
      <c r="D15" s="409"/>
      <c r="E15" s="409" t="s">
        <v>60</v>
      </c>
      <c r="F15" s="409"/>
      <c r="G15" s="409">
        <f t="shared" ref="G15:G23" si="3">F15*20</f>
        <v>0</v>
      </c>
      <c r="H15" s="411"/>
      <c r="J15" s="410"/>
      <c r="K15" s="409"/>
      <c r="L15" s="409" t="s">
        <v>60</v>
      </c>
      <c r="M15" s="409"/>
      <c r="N15" s="409">
        <f t="shared" si="0"/>
        <v>0</v>
      </c>
      <c r="O15" s="411"/>
      <c r="Q15" s="410"/>
      <c r="R15" s="409"/>
      <c r="S15" s="409" t="s">
        <v>60</v>
      </c>
      <c r="T15" s="409"/>
      <c r="U15" s="409">
        <f t="shared" si="1"/>
        <v>0</v>
      </c>
      <c r="V15" s="411"/>
    </row>
    <row r="16" spans="3:22">
      <c r="C16" s="410"/>
      <c r="D16" s="409"/>
      <c r="E16" s="409" t="s">
        <v>60</v>
      </c>
      <c r="F16" s="409"/>
      <c r="G16" s="409">
        <f t="shared" si="3"/>
        <v>0</v>
      </c>
      <c r="H16" s="411"/>
      <c r="J16" s="410"/>
      <c r="K16" s="409"/>
      <c r="L16" s="409" t="s">
        <v>60</v>
      </c>
      <c r="M16" s="409"/>
      <c r="N16" s="409">
        <f t="shared" si="0"/>
        <v>0</v>
      </c>
      <c r="O16" s="411"/>
      <c r="Q16" s="410"/>
      <c r="R16" s="409"/>
      <c r="S16" s="409" t="s">
        <v>60</v>
      </c>
      <c r="T16" s="409"/>
      <c r="U16" s="409">
        <f t="shared" si="1"/>
        <v>0</v>
      </c>
      <c r="V16" s="411"/>
    </row>
    <row r="17" spans="3:22">
      <c r="C17" s="410"/>
      <c r="D17" s="409"/>
      <c r="E17" s="409" t="s">
        <v>60</v>
      </c>
      <c r="F17" s="409"/>
      <c r="G17" s="409">
        <f t="shared" si="3"/>
        <v>0</v>
      </c>
      <c r="H17" s="409"/>
      <c r="J17" s="410"/>
      <c r="K17" s="409"/>
      <c r="L17" s="409" t="s">
        <v>60</v>
      </c>
      <c r="M17" s="409"/>
      <c r="N17" s="409">
        <f t="shared" ref="N17:N23" si="4">M17*20</f>
        <v>0</v>
      </c>
      <c r="O17" s="409"/>
      <c r="Q17" s="410"/>
      <c r="R17" s="409"/>
      <c r="S17" s="409" t="s">
        <v>60</v>
      </c>
      <c r="T17" s="409"/>
      <c r="U17" s="409">
        <f t="shared" ref="U17:U23" si="5">T17*20</f>
        <v>0</v>
      </c>
      <c r="V17" s="409"/>
    </row>
    <row r="18" spans="3:22">
      <c r="C18" s="410"/>
      <c r="D18" s="409"/>
      <c r="E18" s="409" t="s">
        <v>60</v>
      </c>
      <c r="F18" s="409"/>
      <c r="G18" s="409">
        <f t="shared" si="3"/>
        <v>0</v>
      </c>
      <c r="H18" s="409"/>
      <c r="J18" s="410"/>
      <c r="K18" s="409"/>
      <c r="L18" s="409" t="s">
        <v>60</v>
      </c>
      <c r="M18" s="409"/>
      <c r="N18" s="409">
        <f t="shared" si="4"/>
        <v>0</v>
      </c>
      <c r="O18" s="409"/>
      <c r="Q18" s="410"/>
      <c r="R18" s="409"/>
      <c r="S18" s="409" t="s">
        <v>60</v>
      </c>
      <c r="T18" s="409"/>
      <c r="U18" s="409">
        <f t="shared" si="5"/>
        <v>0</v>
      </c>
      <c r="V18" s="409"/>
    </row>
    <row r="19" spans="3:22">
      <c r="C19" s="410"/>
      <c r="D19" s="409"/>
      <c r="E19" s="409" t="s">
        <v>60</v>
      </c>
      <c r="F19" s="409"/>
      <c r="G19" s="409">
        <f t="shared" si="3"/>
        <v>0</v>
      </c>
      <c r="H19" s="409"/>
      <c r="J19" s="410"/>
      <c r="K19" s="409"/>
      <c r="L19" s="409" t="s">
        <v>60</v>
      </c>
      <c r="M19" s="409"/>
      <c r="N19" s="409">
        <f t="shared" si="4"/>
        <v>0</v>
      </c>
      <c r="O19" s="409"/>
      <c r="Q19" s="410"/>
      <c r="R19" s="409"/>
      <c r="S19" s="409" t="s">
        <v>60</v>
      </c>
      <c r="T19" s="409"/>
      <c r="U19" s="409">
        <f t="shared" si="5"/>
        <v>0</v>
      </c>
      <c r="V19" s="409"/>
    </row>
    <row r="20" spans="3:22">
      <c r="C20" s="410"/>
      <c r="D20" s="409"/>
      <c r="E20" s="409" t="s">
        <v>60</v>
      </c>
      <c r="F20" s="409"/>
      <c r="G20" s="409">
        <f t="shared" si="3"/>
        <v>0</v>
      </c>
      <c r="H20" s="409"/>
      <c r="J20" s="410"/>
      <c r="K20" s="409"/>
      <c r="L20" s="409" t="s">
        <v>60</v>
      </c>
      <c r="M20" s="409"/>
      <c r="N20" s="409">
        <f t="shared" si="4"/>
        <v>0</v>
      </c>
      <c r="O20" s="409"/>
      <c r="Q20" s="410"/>
      <c r="R20" s="409"/>
      <c r="S20" s="409" t="s">
        <v>60</v>
      </c>
      <c r="T20" s="409"/>
      <c r="U20" s="409">
        <f t="shared" si="5"/>
        <v>0</v>
      </c>
      <c r="V20" s="409"/>
    </row>
    <row r="21" spans="3:22">
      <c r="C21" s="410"/>
      <c r="D21" s="411"/>
      <c r="E21" s="409" t="s">
        <v>60</v>
      </c>
      <c r="F21" s="409"/>
      <c r="G21" s="409">
        <f t="shared" si="3"/>
        <v>0</v>
      </c>
      <c r="H21" s="411"/>
      <c r="J21" s="410"/>
      <c r="K21" s="411"/>
      <c r="L21" s="409" t="s">
        <v>60</v>
      </c>
      <c r="M21" s="409"/>
      <c r="N21" s="409">
        <f t="shared" si="4"/>
        <v>0</v>
      </c>
      <c r="O21" s="411"/>
      <c r="Q21" s="410"/>
      <c r="R21" s="411"/>
      <c r="S21" s="409" t="s">
        <v>60</v>
      </c>
      <c r="T21" s="409"/>
      <c r="U21" s="409">
        <f t="shared" si="5"/>
        <v>0</v>
      </c>
      <c r="V21" s="411"/>
    </row>
    <row r="22" spans="3:22">
      <c r="C22" s="410"/>
      <c r="D22" s="411"/>
      <c r="E22" s="409" t="s">
        <v>60</v>
      </c>
      <c r="F22" s="409"/>
      <c r="G22" s="409">
        <f t="shared" si="3"/>
        <v>0</v>
      </c>
      <c r="H22" s="411"/>
      <c r="J22" s="410"/>
      <c r="K22" s="411"/>
      <c r="L22" s="409" t="s">
        <v>60</v>
      </c>
      <c r="M22" s="409"/>
      <c r="N22" s="409">
        <f t="shared" si="4"/>
        <v>0</v>
      </c>
      <c r="O22" s="411"/>
      <c r="Q22" s="410"/>
      <c r="R22" s="411"/>
      <c r="S22" s="409" t="s">
        <v>60</v>
      </c>
      <c r="T22" s="409"/>
      <c r="U22" s="409">
        <f t="shared" si="5"/>
        <v>0</v>
      </c>
      <c r="V22" s="411"/>
    </row>
    <row r="23" spans="3:22">
      <c r="C23" s="412"/>
      <c r="D23" s="411"/>
      <c r="E23" s="409" t="s">
        <v>60</v>
      </c>
      <c r="F23" s="409"/>
      <c r="G23" s="409">
        <f t="shared" si="3"/>
        <v>0</v>
      </c>
      <c r="H23" s="411"/>
      <c r="J23" s="410"/>
      <c r="K23" s="411"/>
      <c r="L23" s="409" t="s">
        <v>60</v>
      </c>
      <c r="M23" s="409"/>
      <c r="N23" s="409">
        <f t="shared" si="4"/>
        <v>0</v>
      </c>
      <c r="O23" s="411"/>
      <c r="Q23" s="410"/>
      <c r="R23" s="411"/>
      <c r="S23" s="409" t="s">
        <v>60</v>
      </c>
      <c r="T23" s="409"/>
      <c r="U23" s="409">
        <f t="shared" si="5"/>
        <v>0</v>
      </c>
      <c r="V23" s="411"/>
    </row>
    <row r="24" spans="3:22">
      <c r="G24" s="413">
        <f>SUM(G5:G23)</f>
        <v>580</v>
      </c>
      <c r="N24" s="413">
        <f>SUM(N5:N23)</f>
        <v>760</v>
      </c>
      <c r="U24" s="413">
        <f>SUM(U5:U23)</f>
        <v>300</v>
      </c>
    </row>
  </sheetData>
  <phoneticPr fontId="6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2</vt:i4>
      </vt:variant>
    </vt:vector>
  </HeadingPairs>
  <TitlesOfParts>
    <vt:vector size="12" baseType="lpstr">
      <vt:lpstr>통장내역(환율표)</vt:lpstr>
      <vt:lpstr>내역_25.01</vt:lpstr>
      <vt:lpstr>내역_25.02</vt:lpstr>
      <vt:lpstr>내역_25.03</vt:lpstr>
      <vt:lpstr>내역_25.04</vt:lpstr>
      <vt:lpstr>내역_25.05</vt:lpstr>
      <vt:lpstr>YY.MM</vt:lpstr>
      <vt:lpstr>통장지급내역</vt:lpstr>
      <vt:lpstr>당월 업무추진비</vt:lpstr>
      <vt:lpstr>기사 야근 일지</vt:lpstr>
      <vt:lpstr>'통장내역(환율표)'!Print_Area</vt:lpstr>
      <vt:lpstr>통장지급내역!Print_Area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이선희 (LEE SUN HEE)</dc:creator>
  <cp:lastModifiedBy>정영욱 (JEONG YOUNG WOOK)</cp:lastModifiedBy>
  <cp:lastPrinted>2025-06-30T00:12:53Z</cp:lastPrinted>
  <dcterms:created xsi:type="dcterms:W3CDTF">2022-03-30T06:37:23Z</dcterms:created>
  <dcterms:modified xsi:type="dcterms:W3CDTF">2026-07-03T06:00:31Z</dcterms:modified>
</cp:coreProperties>
</file>