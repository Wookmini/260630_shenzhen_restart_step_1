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00177\Desktop\Wooktigravity\260630_shenzhen_restart_step_1\작업장소 (영수증 보관)\2026-05\"/>
    </mc:Choice>
  </mc:AlternateContent>
  <xr:revisionPtr revIDLastSave="0" documentId="13_ncr:1_{3ED46E47-7F06-40B8-B5D2-ACEB339B76A5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통장내역(환율표)" sheetId="1" r:id="rId1"/>
    <sheet name="내역_25.01" sheetId="2" state="hidden" r:id="rId2"/>
    <sheet name="내역_25.02" sheetId="3" state="hidden" r:id="rId3"/>
    <sheet name="내역_25.03" sheetId="4" state="hidden" r:id="rId4"/>
    <sheet name="내역_25.04" sheetId="5" state="hidden" r:id="rId5"/>
    <sheet name="내역_25.05" sheetId="6" state="hidden" r:id="rId6"/>
    <sheet name="2026-05" sheetId="7" r:id="rId7"/>
    <sheet name="통장지급내역" sheetId="8" r:id="rId8"/>
    <sheet name="당월 업무추진비" sheetId="9" r:id="rId9"/>
    <sheet name="기사 야근 일지" sheetId="10" r:id="rId10"/>
  </sheets>
  <externalReferences>
    <externalReference r:id="rId11"/>
    <externalReference r:id="rId12"/>
  </externalReferences>
  <definedNames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_FilterDatabase" localSheetId="8" hidden="1">'당월 업무추진비'!$B$5:$L$46</definedName>
    <definedName name="Large_scale_classification">[1]Sheet3!$C$4:$C$10</definedName>
    <definedName name="_xlnm.Print_Area" localSheetId="0">'통장내역(환율표)'!$B$2:$N$10</definedName>
    <definedName name="_xlnm.Print_Area" localSheetId="7">통장지급내역!$A$1:$L$133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3" i="10" l="1"/>
  <c r="N23" i="10"/>
  <c r="G23" i="10"/>
  <c r="U22" i="10"/>
  <c r="N22" i="10"/>
  <c r="G22" i="10"/>
  <c r="U21" i="10"/>
  <c r="N21" i="10"/>
  <c r="G21" i="10"/>
  <c r="U20" i="10"/>
  <c r="N20" i="10"/>
  <c r="G20" i="10"/>
  <c r="U19" i="10"/>
  <c r="N19" i="10"/>
  <c r="G19" i="10"/>
  <c r="U18" i="10"/>
  <c r="N18" i="10"/>
  <c r="G18" i="10"/>
  <c r="U17" i="10"/>
  <c r="N17" i="10"/>
  <c r="G17" i="10"/>
  <c r="U16" i="10"/>
  <c r="N16" i="10"/>
  <c r="G16" i="10"/>
  <c r="U15" i="10"/>
  <c r="N15" i="10"/>
  <c r="G15" i="10"/>
  <c r="U14" i="10"/>
  <c r="N14" i="10"/>
  <c r="G14" i="10"/>
  <c r="U13" i="10"/>
  <c r="N13" i="10"/>
  <c r="G13" i="10"/>
  <c r="U12" i="10"/>
  <c r="N12" i="10"/>
  <c r="G12" i="10"/>
  <c r="U11" i="10"/>
  <c r="N11" i="10"/>
  <c r="G11" i="10"/>
  <c r="U10" i="10"/>
  <c r="N10" i="10"/>
  <c r="G10" i="10"/>
  <c r="U9" i="10"/>
  <c r="N9" i="10"/>
  <c r="G9" i="10"/>
  <c r="U8" i="10"/>
  <c r="N8" i="10"/>
  <c r="G8" i="10"/>
  <c r="U7" i="10"/>
  <c r="N7" i="10"/>
  <c r="G7" i="10"/>
  <c r="U6" i="10"/>
  <c r="N6" i="10"/>
  <c r="G6" i="10"/>
  <c r="U5" i="10"/>
  <c r="N5" i="10"/>
  <c r="G5" i="10"/>
  <c r="H47" i="9"/>
  <c r="G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N224" i="7"/>
  <c r="O224" i="7" s="1"/>
  <c r="N220" i="7"/>
  <c r="O220" i="7" s="1"/>
  <c r="N218" i="7"/>
  <c r="O218" i="7" s="1"/>
  <c r="N203" i="7"/>
  <c r="O203" i="7" s="1"/>
  <c r="N199" i="7"/>
  <c r="O199" i="7" s="1"/>
  <c r="N195" i="7"/>
  <c r="O195" i="7" s="1"/>
  <c r="N181" i="7"/>
  <c r="O181" i="7" s="1"/>
  <c r="N180" i="7"/>
  <c r="O180" i="7" s="1"/>
  <c r="N178" i="7"/>
  <c r="O178" i="7" s="1"/>
  <c r="N174" i="7"/>
  <c r="O174" i="7" s="1"/>
  <c r="N153" i="7"/>
  <c r="O153" i="7" s="1"/>
  <c r="N149" i="7"/>
  <c r="O149" i="7" s="1"/>
  <c r="O130" i="7"/>
  <c r="N130" i="7"/>
  <c r="N128" i="7"/>
  <c r="O128" i="7" s="1"/>
  <c r="N124" i="7"/>
  <c r="O124" i="7" s="1"/>
  <c r="N109" i="7"/>
  <c r="O109" i="7" s="1"/>
  <c r="N103" i="7"/>
  <c r="O103" i="7" s="1"/>
  <c r="N81" i="7"/>
  <c r="O81" i="7" s="1"/>
  <c r="N80" i="7"/>
  <c r="O80" i="7" s="1"/>
  <c r="N78" i="7"/>
  <c r="O78" i="7" s="1"/>
  <c r="N59" i="7"/>
  <c r="O59" i="7" s="1"/>
  <c r="N53" i="7"/>
  <c r="O53" i="7" s="1"/>
  <c r="N38" i="7"/>
  <c r="O38" i="7" s="1"/>
  <c r="P34" i="7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61" i="7" s="1"/>
  <c r="P62" i="7" s="1"/>
  <c r="P63" i="7" s="1"/>
  <c r="P64" i="7" s="1"/>
  <c r="P65" i="7" s="1"/>
  <c r="P66" i="7" s="1"/>
  <c r="P67" i="7" s="1"/>
  <c r="P68" i="7" s="1"/>
  <c r="P69" i="7" s="1"/>
  <c r="P70" i="7" s="1"/>
  <c r="P71" i="7" s="1"/>
  <c r="P72" i="7" s="1"/>
  <c r="P73" i="7" s="1"/>
  <c r="P74" i="7" s="1"/>
  <c r="P75" i="7" s="1"/>
  <c r="P76" i="7" s="1"/>
  <c r="P77" i="7" s="1"/>
  <c r="P78" i="7" s="1"/>
  <c r="P79" i="7" s="1"/>
  <c r="P80" i="7" s="1"/>
  <c r="P81" i="7" s="1"/>
  <c r="P82" i="7" s="1"/>
  <c r="P83" i="7" s="1"/>
  <c r="P84" i="7" s="1"/>
  <c r="P85" i="7" s="1"/>
  <c r="P86" i="7" s="1"/>
  <c r="P87" i="7" s="1"/>
  <c r="P88" i="7" s="1"/>
  <c r="P89" i="7" s="1"/>
  <c r="P90" i="7" s="1"/>
  <c r="P91" i="7" s="1"/>
  <c r="P92" i="7" s="1"/>
  <c r="P93" i="7" s="1"/>
  <c r="P94" i="7" s="1"/>
  <c r="P95" i="7" s="1"/>
  <c r="P96" i="7" s="1"/>
  <c r="P97" i="7" s="1"/>
  <c r="P98" i="7" s="1"/>
  <c r="P99" i="7" s="1"/>
  <c r="P100" i="7" s="1"/>
  <c r="P101" i="7" s="1"/>
  <c r="P102" i="7" s="1"/>
  <c r="P103" i="7" s="1"/>
  <c r="P104" i="7" s="1"/>
  <c r="P105" i="7" s="1"/>
  <c r="P106" i="7" s="1"/>
  <c r="P107" i="7" s="1"/>
  <c r="P108" i="7" s="1"/>
  <c r="P109" i="7" s="1"/>
  <c r="P110" i="7" s="1"/>
  <c r="P111" i="7" s="1"/>
  <c r="P112" i="7" s="1"/>
  <c r="P113" i="7" s="1"/>
  <c r="P114" i="7" s="1"/>
  <c r="P115" i="7" s="1"/>
  <c r="P116" i="7" s="1"/>
  <c r="P117" i="7" s="1"/>
  <c r="P118" i="7" s="1"/>
  <c r="P119" i="7" s="1"/>
  <c r="P120" i="7" s="1"/>
  <c r="P121" i="7" s="1"/>
  <c r="P122" i="7" s="1"/>
  <c r="P123" i="7" s="1"/>
  <c r="P124" i="7" s="1"/>
  <c r="P125" i="7" s="1"/>
  <c r="P126" i="7" s="1"/>
  <c r="P127" i="7" s="1"/>
  <c r="P128" i="7" s="1"/>
  <c r="P129" i="7" s="1"/>
  <c r="P130" i="7" s="1"/>
  <c r="P131" i="7" s="1"/>
  <c r="P132" i="7" s="1"/>
  <c r="P133" i="7" s="1"/>
  <c r="P134" i="7" s="1"/>
  <c r="P135" i="7" s="1"/>
  <c r="P136" i="7" s="1"/>
  <c r="P137" i="7" s="1"/>
  <c r="P138" i="7" s="1"/>
  <c r="P139" i="7" s="1"/>
  <c r="P140" i="7" s="1"/>
  <c r="P141" i="7" s="1"/>
  <c r="P142" i="7" s="1"/>
  <c r="P143" i="7" s="1"/>
  <c r="P144" i="7" s="1"/>
  <c r="P145" i="7" s="1"/>
  <c r="P146" i="7" s="1"/>
  <c r="P147" i="7" s="1"/>
  <c r="P148" i="7" s="1"/>
  <c r="P149" i="7" s="1"/>
  <c r="P150" i="7" s="1"/>
  <c r="P151" i="7" s="1"/>
  <c r="P152" i="7" s="1"/>
  <c r="P153" i="7" s="1"/>
  <c r="P154" i="7" s="1"/>
  <c r="P155" i="7" s="1"/>
  <c r="P156" i="7" s="1"/>
  <c r="P157" i="7" s="1"/>
  <c r="P158" i="7" s="1"/>
  <c r="P159" i="7" s="1"/>
  <c r="P160" i="7" s="1"/>
  <c r="P161" i="7" s="1"/>
  <c r="P162" i="7" s="1"/>
  <c r="P163" i="7" s="1"/>
  <c r="P164" i="7" s="1"/>
  <c r="P165" i="7" s="1"/>
  <c r="P166" i="7" s="1"/>
  <c r="P167" i="7" s="1"/>
  <c r="P168" i="7" s="1"/>
  <c r="P169" i="7" s="1"/>
  <c r="P170" i="7" s="1"/>
  <c r="P171" i="7" s="1"/>
  <c r="P172" i="7" s="1"/>
  <c r="P173" i="7" s="1"/>
  <c r="P174" i="7" s="1"/>
  <c r="P175" i="7" s="1"/>
  <c r="P176" i="7" s="1"/>
  <c r="P177" i="7" s="1"/>
  <c r="P178" i="7" s="1"/>
  <c r="P179" i="7" s="1"/>
  <c r="P180" i="7" s="1"/>
  <c r="P181" i="7" s="1"/>
  <c r="P182" i="7" s="1"/>
  <c r="P183" i="7" s="1"/>
  <c r="P184" i="7" s="1"/>
  <c r="P185" i="7" s="1"/>
  <c r="P186" i="7" s="1"/>
  <c r="P187" i="7" s="1"/>
  <c r="P188" i="7" s="1"/>
  <c r="P189" i="7" s="1"/>
  <c r="P190" i="7" s="1"/>
  <c r="P191" i="7" s="1"/>
  <c r="P192" i="7" s="1"/>
  <c r="P193" i="7" s="1"/>
  <c r="P194" i="7" s="1"/>
  <c r="P195" i="7" s="1"/>
  <c r="P196" i="7" s="1"/>
  <c r="P197" i="7" s="1"/>
  <c r="P198" i="7" s="1"/>
  <c r="P199" i="7" s="1"/>
  <c r="P200" i="7" s="1"/>
  <c r="P201" i="7" s="1"/>
  <c r="P202" i="7" s="1"/>
  <c r="P203" i="7" s="1"/>
  <c r="P204" i="7" s="1"/>
  <c r="P205" i="7" s="1"/>
  <c r="P206" i="7" s="1"/>
  <c r="P207" i="7" s="1"/>
  <c r="P208" i="7" s="1"/>
  <c r="P209" i="7" s="1"/>
  <c r="P210" i="7" s="1"/>
  <c r="P211" i="7" s="1"/>
  <c r="P212" i="7" s="1"/>
  <c r="P213" i="7" s="1"/>
  <c r="P214" i="7" s="1"/>
  <c r="P215" i="7" s="1"/>
  <c r="P216" i="7" s="1"/>
  <c r="P217" i="7" s="1"/>
  <c r="P218" i="7" s="1"/>
  <c r="P219" i="7" s="1"/>
  <c r="P220" i="7" s="1"/>
  <c r="P221" i="7" s="1"/>
  <c r="P222" i="7" s="1"/>
  <c r="P223" i="7" s="1"/>
  <c r="P224" i="7" s="1"/>
  <c r="P225" i="7" s="1"/>
  <c r="P226" i="7" s="1"/>
  <c r="P227" i="7" s="1"/>
  <c r="P228" i="7" s="1"/>
  <c r="P229" i="7" s="1"/>
  <c r="P230" i="7" s="1"/>
  <c r="P231" i="7" s="1"/>
  <c r="P232" i="7" s="1"/>
  <c r="P233" i="7" s="1"/>
  <c r="P234" i="7" s="1"/>
  <c r="P235" i="7" s="1"/>
  <c r="P236" i="7" s="1"/>
  <c r="P237" i="7" s="1"/>
  <c r="P238" i="7" s="1"/>
  <c r="P239" i="7" s="1"/>
  <c r="P240" i="7" s="1"/>
  <c r="P241" i="7" s="1"/>
  <c r="P242" i="7" s="1"/>
  <c r="P243" i="7" s="1"/>
  <c r="N31" i="7"/>
  <c r="O31" i="7" s="1"/>
  <c r="N30" i="7"/>
  <c r="O30" i="7" s="1"/>
  <c r="M25" i="7"/>
  <c r="M23" i="7"/>
  <c r="L18" i="7" s="1"/>
  <c r="Q22" i="7"/>
  <c r="Q23" i="7" s="1"/>
  <c r="Q24" i="7" s="1"/>
  <c r="Q25" i="7" s="1"/>
  <c r="P22" i="7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K18" i="7"/>
  <c r="I18" i="7"/>
  <c r="K14" i="7"/>
  <c r="K15" i="7" s="1"/>
  <c r="J14" i="7"/>
  <c r="J15" i="7" s="1"/>
  <c r="E14" i="7"/>
  <c r="D14" i="7"/>
  <c r="L13" i="7"/>
  <c r="G13" i="7"/>
  <c r="F13" i="7"/>
  <c r="L12" i="7"/>
  <c r="L11" i="7"/>
  <c r="F11" i="7"/>
  <c r="F14" i="7" s="1"/>
  <c r="G14" i="7" s="1"/>
  <c r="G12" i="7" s="1"/>
  <c r="L10" i="7"/>
  <c r="F10" i="7"/>
  <c r="L9" i="7"/>
  <c r="F9" i="7"/>
  <c r="L8" i="7"/>
  <c r="F8" i="7"/>
  <c r="S8" i="7" s="1"/>
  <c r="S7" i="7"/>
  <c r="L7" i="7"/>
  <c r="F7" i="7"/>
  <c r="L6" i="7"/>
  <c r="S6" i="7" s="1"/>
  <c r="F6" i="7"/>
  <c r="L5" i="7"/>
  <c r="F5" i="7"/>
  <c r="S5" i="7" s="1"/>
  <c r="M110" i="6"/>
  <c r="L110" i="6"/>
  <c r="L109" i="6"/>
  <c r="M108" i="6"/>
  <c r="L108" i="6"/>
  <c r="L107" i="6"/>
  <c r="M107" i="6" s="1"/>
  <c r="M106" i="6"/>
  <c r="L106" i="6"/>
  <c r="L105" i="6"/>
  <c r="M104" i="6"/>
  <c r="L104" i="6"/>
  <c r="L103" i="6"/>
  <c r="M103" i="6" s="1"/>
  <c r="M102" i="6"/>
  <c r="L102" i="6"/>
  <c r="M101" i="6"/>
  <c r="L101" i="6"/>
  <c r="M100" i="6"/>
  <c r="L100" i="6"/>
  <c r="L99" i="6"/>
  <c r="M99" i="6" s="1"/>
  <c r="L98" i="6"/>
  <c r="M98" i="6" s="1"/>
  <c r="M97" i="6"/>
  <c r="L97" i="6"/>
  <c r="L96" i="6"/>
  <c r="M96" i="6" s="1"/>
  <c r="M95" i="6"/>
  <c r="L95" i="6"/>
  <c r="L94" i="6"/>
  <c r="M94" i="6" s="1"/>
  <c r="M93" i="6"/>
  <c r="L93" i="6"/>
  <c r="L92" i="6"/>
  <c r="M92" i="6" s="1"/>
  <c r="M91" i="6"/>
  <c r="L91" i="6"/>
  <c r="L90" i="6"/>
  <c r="M90" i="6" s="1"/>
  <c r="M89" i="6"/>
  <c r="L89" i="6"/>
  <c r="L88" i="6"/>
  <c r="M88" i="6" s="1"/>
  <c r="M87" i="6"/>
  <c r="L87" i="6"/>
  <c r="M86" i="6"/>
  <c r="L86" i="6"/>
  <c r="M85" i="6"/>
  <c r="L85" i="6"/>
  <c r="L84" i="6"/>
  <c r="M84" i="6" s="1"/>
  <c r="M83" i="6"/>
  <c r="L83" i="6"/>
  <c r="L82" i="6"/>
  <c r="M82" i="6" s="1"/>
  <c r="M81" i="6"/>
  <c r="L81" i="6"/>
  <c r="L80" i="6"/>
  <c r="M80" i="6" s="1"/>
  <c r="M79" i="6"/>
  <c r="L79" i="6"/>
  <c r="L78" i="6"/>
  <c r="M78" i="6" s="1"/>
  <c r="M77" i="6"/>
  <c r="L77" i="6"/>
  <c r="L76" i="6"/>
  <c r="M76" i="6" s="1"/>
  <c r="M75" i="6"/>
  <c r="L75" i="6"/>
  <c r="L74" i="6"/>
  <c r="M74" i="6" s="1"/>
  <c r="M73" i="6"/>
  <c r="L73" i="6"/>
  <c r="L72" i="6"/>
  <c r="M72" i="6" s="1"/>
  <c r="M71" i="6"/>
  <c r="L71" i="6"/>
  <c r="L70" i="6"/>
  <c r="M70" i="6" s="1"/>
  <c r="M69" i="6"/>
  <c r="L69" i="6"/>
  <c r="L68" i="6"/>
  <c r="M68" i="6" s="1"/>
  <c r="M67" i="6"/>
  <c r="L67" i="6"/>
  <c r="M66" i="6"/>
  <c r="L66" i="6"/>
  <c r="M65" i="6"/>
  <c r="L65" i="6"/>
  <c r="L64" i="6"/>
  <c r="M64" i="6" s="1"/>
  <c r="M63" i="6"/>
  <c r="L63" i="6"/>
  <c r="L62" i="6"/>
  <c r="M62" i="6" s="1"/>
  <c r="M61" i="6"/>
  <c r="L61" i="6"/>
  <c r="L60" i="6"/>
  <c r="M60" i="6" s="1"/>
  <c r="L59" i="6"/>
  <c r="M59" i="6" s="1"/>
  <c r="L58" i="6"/>
  <c r="M58" i="6" s="1"/>
  <c r="M57" i="6"/>
  <c r="L57" i="6"/>
  <c r="L56" i="6"/>
  <c r="M56" i="6" s="1"/>
  <c r="M55" i="6"/>
  <c r="L55" i="6"/>
  <c r="L54" i="6"/>
  <c r="K54" i="6"/>
  <c r="M54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S86" i="6" s="1"/>
  <c r="S87" i="6" s="1"/>
  <c r="S88" i="6" s="1"/>
  <c r="S89" i="6" s="1"/>
  <c r="S90" i="6" s="1"/>
  <c r="S91" i="6" s="1"/>
  <c r="S92" i="6" s="1"/>
  <c r="S93" i="6" s="1"/>
  <c r="S94" i="6" s="1"/>
  <c r="S95" i="6" s="1"/>
  <c r="S96" i="6" s="1"/>
  <c r="S97" i="6" s="1"/>
  <c r="S98" i="6" s="1"/>
  <c r="L53" i="6"/>
  <c r="K53" i="6" s="1"/>
  <c r="K16" i="6" s="1"/>
  <c r="K15" i="6" s="1"/>
  <c r="M52" i="6"/>
  <c r="L52" i="6"/>
  <c r="L51" i="6"/>
  <c r="L50" i="6"/>
  <c r="M50" i="6" s="1"/>
  <c r="M49" i="6"/>
  <c r="L49" i="6"/>
  <c r="L48" i="6"/>
  <c r="M48" i="6" s="1"/>
  <c r="M47" i="6"/>
  <c r="L47" i="6"/>
  <c r="L46" i="6"/>
  <c r="M46" i="6" s="1"/>
  <c r="M45" i="6"/>
  <c r="L45" i="6"/>
  <c r="L44" i="6"/>
  <c r="M44" i="6" s="1"/>
  <c r="M43" i="6"/>
  <c r="L43" i="6"/>
  <c r="L42" i="6"/>
  <c r="M42" i="6" s="1"/>
  <c r="M41" i="6"/>
  <c r="L41" i="6"/>
  <c r="L40" i="6"/>
  <c r="M40" i="6" s="1"/>
  <c r="L39" i="6"/>
  <c r="M39" i="6" s="1"/>
  <c r="M38" i="6"/>
  <c r="L38" i="6"/>
  <c r="M37" i="6"/>
  <c r="L37" i="6"/>
  <c r="L36" i="6"/>
  <c r="M36" i="6" s="1"/>
  <c r="M35" i="6"/>
  <c r="L35" i="6"/>
  <c r="N34" i="6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M34" i="6"/>
  <c r="L34" i="6"/>
  <c r="M33" i="6"/>
  <c r="L33" i="6"/>
  <c r="L32" i="6"/>
  <c r="M32" i="6" s="1"/>
  <c r="M31" i="6"/>
  <c r="L31" i="6"/>
  <c r="L30" i="6"/>
  <c r="M30" i="6" s="1"/>
  <c r="M29" i="6"/>
  <c r="L29" i="6"/>
  <c r="L28" i="6"/>
  <c r="M28" i="6" s="1"/>
  <c r="M27" i="6"/>
  <c r="L27" i="6"/>
  <c r="N26" i="6"/>
  <c r="N27" i="6" s="1"/>
  <c r="N28" i="6" s="1"/>
  <c r="N29" i="6" s="1"/>
  <c r="N30" i="6" s="1"/>
  <c r="N31" i="6" s="1"/>
  <c r="N32" i="6" s="1"/>
  <c r="N33" i="6" s="1"/>
  <c r="L26" i="6"/>
  <c r="M26" i="6" s="1"/>
  <c r="M25" i="6"/>
  <c r="L25" i="6"/>
  <c r="L24" i="6"/>
  <c r="M24" i="6" s="1"/>
  <c r="N23" i="6"/>
  <c r="N24" i="6" s="1"/>
  <c r="N25" i="6" s="1"/>
  <c r="M23" i="6"/>
  <c r="L23" i="6"/>
  <c r="N22" i="6"/>
  <c r="L22" i="6"/>
  <c r="M22" i="6" s="1"/>
  <c r="O21" i="6"/>
  <c r="O22" i="6" s="1"/>
  <c r="O23" i="6" s="1"/>
  <c r="O20" i="6"/>
  <c r="N20" i="6"/>
  <c r="N21" i="6" s="1"/>
  <c r="L15" i="6"/>
  <c r="J15" i="6"/>
  <c r="J14" i="6"/>
  <c r="L13" i="6"/>
  <c r="K13" i="6"/>
  <c r="K14" i="6" s="1"/>
  <c r="J13" i="6"/>
  <c r="E13" i="6"/>
  <c r="D13" i="6"/>
  <c r="L12" i="6"/>
  <c r="G12" i="6"/>
  <c r="F12" i="6"/>
  <c r="L11" i="6"/>
  <c r="S11" i="6" s="1"/>
  <c r="L10" i="6"/>
  <c r="F10" i="6"/>
  <c r="L9" i="6"/>
  <c r="M9" i="6" s="1"/>
  <c r="F9" i="6"/>
  <c r="S9" i="6" s="1"/>
  <c r="L8" i="6"/>
  <c r="F8" i="6"/>
  <c r="L7" i="6"/>
  <c r="F7" i="6"/>
  <c r="S7" i="6" s="1"/>
  <c r="L6" i="6"/>
  <c r="M6" i="6" s="1"/>
  <c r="F6" i="6"/>
  <c r="S6" i="6" s="1"/>
  <c r="L5" i="6"/>
  <c r="M5" i="6" s="1"/>
  <c r="F5" i="6"/>
  <c r="S5" i="6" s="1"/>
  <c r="M104" i="5"/>
  <c r="L104" i="5"/>
  <c r="M103" i="5"/>
  <c r="L103" i="5"/>
  <c r="M102" i="5"/>
  <c r="L102" i="5"/>
  <c r="L101" i="5"/>
  <c r="M101" i="5" s="1"/>
  <c r="M100" i="5"/>
  <c r="L100" i="5"/>
  <c r="M99" i="5"/>
  <c r="L99" i="5"/>
  <c r="M98" i="5"/>
  <c r="L98" i="5"/>
  <c r="L97" i="5"/>
  <c r="M97" i="5" s="1"/>
  <c r="M96" i="5"/>
  <c r="L96" i="5"/>
  <c r="M95" i="5"/>
  <c r="L95" i="5"/>
  <c r="M94" i="5"/>
  <c r="L94" i="5"/>
  <c r="L93" i="5"/>
  <c r="M93" i="5" s="1"/>
  <c r="M92" i="5"/>
  <c r="L92" i="5"/>
  <c r="M91" i="5"/>
  <c r="L91" i="5"/>
  <c r="L90" i="5"/>
  <c r="M90" i="5" s="1"/>
  <c r="L89" i="5"/>
  <c r="M89" i="5" s="1"/>
  <c r="M88" i="5"/>
  <c r="L88" i="5"/>
  <c r="M87" i="5"/>
  <c r="L87" i="5"/>
  <c r="L86" i="5"/>
  <c r="M86" i="5" s="1"/>
  <c r="M85" i="5"/>
  <c r="L85" i="5"/>
  <c r="M84" i="5"/>
  <c r="L84" i="5"/>
  <c r="M83" i="5"/>
  <c r="L83" i="5"/>
  <c r="M82" i="5"/>
  <c r="L82" i="5"/>
  <c r="N81" i="5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M81" i="5"/>
  <c r="L81" i="5"/>
  <c r="M80" i="5"/>
  <c r="L80" i="5"/>
  <c r="M79" i="5"/>
  <c r="L79" i="5"/>
  <c r="M78" i="5"/>
  <c r="L78" i="5"/>
  <c r="L77" i="5"/>
  <c r="M77" i="5" s="1"/>
  <c r="M76" i="5"/>
  <c r="L76" i="5"/>
  <c r="M75" i="5"/>
  <c r="L75" i="5"/>
  <c r="L74" i="5"/>
  <c r="M74" i="5" s="1"/>
  <c r="L73" i="5"/>
  <c r="M73" i="5" s="1"/>
  <c r="M72" i="5"/>
  <c r="L72" i="5"/>
  <c r="M71" i="5"/>
  <c r="L71" i="5"/>
  <c r="M70" i="5"/>
  <c r="L70" i="5"/>
  <c r="L69" i="5"/>
  <c r="M69" i="5" s="1"/>
  <c r="M68" i="5"/>
  <c r="L68" i="5"/>
  <c r="M67" i="5"/>
  <c r="L67" i="5"/>
  <c r="L66" i="5"/>
  <c r="M66" i="5" s="1"/>
  <c r="L65" i="5"/>
  <c r="M65" i="5" s="1"/>
  <c r="M64" i="5"/>
  <c r="L64" i="5"/>
  <c r="M63" i="5"/>
  <c r="L63" i="5"/>
  <c r="M62" i="5"/>
  <c r="L62" i="5"/>
  <c r="L61" i="5"/>
  <c r="M61" i="5" s="1"/>
  <c r="M60" i="5"/>
  <c r="L60" i="5"/>
  <c r="M59" i="5"/>
  <c r="L59" i="5"/>
  <c r="M58" i="5"/>
  <c r="L58" i="5"/>
  <c r="L57" i="5"/>
  <c r="M57" i="5" s="1"/>
  <c r="M56" i="5"/>
  <c r="L56" i="5"/>
  <c r="M55" i="5"/>
  <c r="L55" i="5"/>
  <c r="M54" i="5"/>
  <c r="L54" i="5"/>
  <c r="L53" i="5"/>
  <c r="M53" i="5" s="1"/>
  <c r="L52" i="5"/>
  <c r="M52" i="5" s="1"/>
  <c r="M51" i="5"/>
  <c r="L51" i="5"/>
  <c r="N50" i="5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L50" i="5"/>
  <c r="M50" i="5" s="1"/>
  <c r="L49" i="5"/>
  <c r="M49" i="5" s="1"/>
  <c r="M48" i="5"/>
  <c r="L48" i="5"/>
  <c r="M47" i="5"/>
  <c r="L47" i="5"/>
  <c r="L46" i="5"/>
  <c r="M46" i="5" s="1"/>
  <c r="M45" i="5"/>
  <c r="L45" i="5"/>
  <c r="L44" i="5"/>
  <c r="M44" i="5" s="1"/>
  <c r="M43" i="5"/>
  <c r="L43" i="5"/>
  <c r="M42" i="5"/>
  <c r="L42" i="5"/>
  <c r="N41" i="5"/>
  <c r="N42" i="5" s="1"/>
  <c r="N43" i="5" s="1"/>
  <c r="N44" i="5" s="1"/>
  <c r="N45" i="5" s="1"/>
  <c r="N46" i="5" s="1"/>
  <c r="N47" i="5" s="1"/>
  <c r="N48" i="5" s="1"/>
  <c r="N49" i="5" s="1"/>
  <c r="M41" i="5"/>
  <c r="L41" i="5"/>
  <c r="M40" i="5"/>
  <c r="L40" i="5"/>
  <c r="M39" i="5"/>
  <c r="L39" i="5"/>
  <c r="M38" i="5"/>
  <c r="L38" i="5"/>
  <c r="L37" i="5"/>
  <c r="M37" i="5" s="1"/>
  <c r="M36" i="5"/>
  <c r="L36" i="5"/>
  <c r="M35" i="5"/>
  <c r="L35" i="5"/>
  <c r="L34" i="5"/>
  <c r="M34" i="5" s="1"/>
  <c r="L33" i="5"/>
  <c r="M33" i="5" s="1"/>
  <c r="M32" i="5"/>
  <c r="L32" i="5"/>
  <c r="M31" i="5"/>
  <c r="L31" i="5"/>
  <c r="L30" i="5"/>
  <c r="M30" i="5" s="1"/>
  <c r="M29" i="5"/>
  <c r="L29" i="5"/>
  <c r="L28" i="5"/>
  <c r="M28" i="5" s="1"/>
  <c r="M27" i="5"/>
  <c r="L27" i="5"/>
  <c r="M26" i="5"/>
  <c r="L26" i="5"/>
  <c r="L25" i="5"/>
  <c r="M25" i="5" s="1"/>
  <c r="L24" i="5"/>
  <c r="K24" i="5"/>
  <c r="M24" i="5" s="1"/>
  <c r="S24" i="5" s="1"/>
  <c r="L23" i="5"/>
  <c r="K23" i="5" s="1"/>
  <c r="N20" i="5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L20" i="5"/>
  <c r="M20" i="5" s="1"/>
  <c r="S20" i="5" s="1"/>
  <c r="M16" i="5"/>
  <c r="K16" i="5"/>
  <c r="M15" i="5"/>
  <c r="L15" i="5"/>
  <c r="K15" i="5"/>
  <c r="J15" i="5"/>
  <c r="M14" i="5"/>
  <c r="J14" i="5"/>
  <c r="K13" i="5"/>
  <c r="J13" i="5"/>
  <c r="E13" i="5"/>
  <c r="G12" i="5" s="1"/>
  <c r="D13" i="5"/>
  <c r="L12" i="5"/>
  <c r="F12" i="5"/>
  <c r="L11" i="5"/>
  <c r="S11" i="5" s="1"/>
  <c r="L10" i="5"/>
  <c r="F10" i="5"/>
  <c r="S10" i="5" s="1"/>
  <c r="L9" i="5"/>
  <c r="F9" i="5"/>
  <c r="S9" i="5" s="1"/>
  <c r="L8" i="5"/>
  <c r="F8" i="5"/>
  <c r="S8" i="5" s="1"/>
  <c r="L7" i="5"/>
  <c r="M7" i="5" s="1"/>
  <c r="F7" i="5"/>
  <c r="S7" i="5" s="1"/>
  <c r="S6" i="5"/>
  <c r="M6" i="5"/>
  <c r="L6" i="5"/>
  <c r="F6" i="5"/>
  <c r="S5" i="5"/>
  <c r="L5" i="5"/>
  <c r="M5" i="5" s="1"/>
  <c r="F5" i="5"/>
  <c r="L104" i="4"/>
  <c r="M104" i="4" s="1"/>
  <c r="M103" i="4"/>
  <c r="L103" i="4"/>
  <c r="L102" i="4"/>
  <c r="M102" i="4" s="1"/>
  <c r="L101" i="4"/>
  <c r="M101" i="4" s="1"/>
  <c r="M100" i="4"/>
  <c r="L100" i="4"/>
  <c r="L99" i="4"/>
  <c r="M99" i="4" s="1"/>
  <c r="L98" i="4"/>
  <c r="M98" i="4" s="1"/>
  <c r="M97" i="4"/>
  <c r="L97" i="4"/>
  <c r="L96" i="4"/>
  <c r="M96" i="4" s="1"/>
  <c r="L95" i="4"/>
  <c r="M94" i="4"/>
  <c r="L94" i="4"/>
  <c r="L93" i="4"/>
  <c r="M93" i="4" s="1"/>
  <c r="M92" i="4"/>
  <c r="L92" i="4"/>
  <c r="L91" i="4"/>
  <c r="M91" i="4" s="1"/>
  <c r="M90" i="4"/>
  <c r="L90" i="4"/>
  <c r="L89" i="4"/>
  <c r="M89" i="4" s="1"/>
  <c r="M88" i="4"/>
  <c r="L88" i="4"/>
  <c r="L87" i="4"/>
  <c r="M87" i="4" s="1"/>
  <c r="M86" i="4"/>
  <c r="L86" i="4"/>
  <c r="L85" i="4"/>
  <c r="M85" i="4" s="1"/>
  <c r="L84" i="4"/>
  <c r="M84" i="4" s="1"/>
  <c r="L83" i="4"/>
  <c r="M83" i="4" s="1"/>
  <c r="M82" i="4"/>
  <c r="L82" i="4"/>
  <c r="L81" i="4"/>
  <c r="M81" i="4" s="1"/>
  <c r="L80" i="4"/>
  <c r="M80" i="4" s="1"/>
  <c r="L79" i="4"/>
  <c r="M79" i="4" s="1"/>
  <c r="M78" i="4"/>
  <c r="L78" i="4"/>
  <c r="L77" i="4"/>
  <c r="M77" i="4" s="1"/>
  <c r="L76" i="4"/>
  <c r="M76" i="4" s="1"/>
  <c r="L75" i="4"/>
  <c r="M75" i="4" s="1"/>
  <c r="M74" i="4"/>
  <c r="L74" i="4"/>
  <c r="L73" i="4"/>
  <c r="M73" i="4" s="1"/>
  <c r="L72" i="4"/>
  <c r="M72" i="4" s="1"/>
  <c r="L71" i="4"/>
  <c r="M71" i="4" s="1"/>
  <c r="M70" i="4"/>
  <c r="L70" i="4"/>
  <c r="L69" i="4"/>
  <c r="M69" i="4" s="1"/>
  <c r="L68" i="4"/>
  <c r="M68" i="4" s="1"/>
  <c r="L67" i="4"/>
  <c r="M67" i="4" s="1"/>
  <c r="M66" i="4"/>
  <c r="L66" i="4"/>
  <c r="L65" i="4"/>
  <c r="M65" i="4" s="1"/>
  <c r="L64" i="4"/>
  <c r="M64" i="4" s="1"/>
  <c r="L63" i="4"/>
  <c r="M63" i="4" s="1"/>
  <c r="M62" i="4"/>
  <c r="L62" i="4"/>
  <c r="L61" i="4"/>
  <c r="M61" i="4" s="1"/>
  <c r="L60" i="4"/>
  <c r="L59" i="4"/>
  <c r="K59" i="4" s="1"/>
  <c r="K60" i="4" s="1"/>
  <c r="M60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L58" i="4"/>
  <c r="L57" i="4"/>
  <c r="L56" i="4"/>
  <c r="M56" i="4" s="1"/>
  <c r="L55" i="4"/>
  <c r="M55" i="4" s="1"/>
  <c r="L54" i="4"/>
  <c r="M54" i="4" s="1"/>
  <c r="M53" i="4"/>
  <c r="L53" i="4"/>
  <c r="L52" i="4"/>
  <c r="M52" i="4" s="1"/>
  <c r="L51" i="4"/>
  <c r="M51" i="4" s="1"/>
  <c r="L50" i="4"/>
  <c r="M50" i="4" s="1"/>
  <c r="M49" i="4"/>
  <c r="L49" i="4"/>
  <c r="L48" i="4"/>
  <c r="M48" i="4" s="1"/>
  <c r="L47" i="4"/>
  <c r="M47" i="4" s="1"/>
  <c r="L46" i="4"/>
  <c r="M46" i="4" s="1"/>
  <c r="M45" i="4"/>
  <c r="L45" i="4"/>
  <c r="L44" i="4"/>
  <c r="M44" i="4" s="1"/>
  <c r="L43" i="4"/>
  <c r="M43" i="4" s="1"/>
  <c r="L42" i="4"/>
  <c r="M42" i="4" s="1"/>
  <c r="M41" i="4"/>
  <c r="L41" i="4"/>
  <c r="L40" i="4"/>
  <c r="M40" i="4" s="1"/>
  <c r="L39" i="4"/>
  <c r="M39" i="4" s="1"/>
  <c r="L38" i="4"/>
  <c r="M38" i="4" s="1"/>
  <c r="M37" i="4"/>
  <c r="L37" i="4"/>
  <c r="L36" i="4"/>
  <c r="M35" i="4"/>
  <c r="L35" i="4"/>
  <c r="L34" i="4"/>
  <c r="M34" i="4" s="1"/>
  <c r="L33" i="4"/>
  <c r="M33" i="4" s="1"/>
  <c r="L32" i="4"/>
  <c r="M32" i="4" s="1"/>
  <c r="N31" i="4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M31" i="4"/>
  <c r="L31" i="4"/>
  <c r="L30" i="4"/>
  <c r="M30" i="4" s="1"/>
  <c r="L29" i="4"/>
  <c r="M29" i="4" s="1"/>
  <c r="M28" i="4"/>
  <c r="L28" i="4"/>
  <c r="M27" i="4"/>
  <c r="L27" i="4"/>
  <c r="L26" i="4"/>
  <c r="M26" i="4" s="1"/>
  <c r="I26" i="4"/>
  <c r="M25" i="4"/>
  <c r="L25" i="4"/>
  <c r="N24" i="4"/>
  <c r="N25" i="4" s="1"/>
  <c r="N26" i="4" s="1"/>
  <c r="N27" i="4" s="1"/>
  <c r="N28" i="4" s="1"/>
  <c r="N29" i="4" s="1"/>
  <c r="N30" i="4" s="1"/>
  <c r="M24" i="4"/>
  <c r="L24" i="4"/>
  <c r="M23" i="4"/>
  <c r="L23" i="4"/>
  <c r="S22" i="4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L22" i="4"/>
  <c r="M22" i="4" s="1"/>
  <c r="M16" i="4" s="1"/>
  <c r="M15" i="4" s="1"/>
  <c r="O20" i="4"/>
  <c r="O21" i="4" s="1"/>
  <c r="O22" i="4" s="1"/>
  <c r="O23" i="4" s="1"/>
  <c r="O24" i="4" s="1"/>
  <c r="N20" i="4"/>
  <c r="N21" i="4" s="1"/>
  <c r="N22" i="4" s="1"/>
  <c r="N23" i="4" s="1"/>
  <c r="K16" i="4"/>
  <c r="L15" i="4"/>
  <c r="K15" i="4"/>
  <c r="J15" i="4"/>
  <c r="M14" i="4"/>
  <c r="K14" i="4"/>
  <c r="J14" i="4"/>
  <c r="K13" i="4"/>
  <c r="J13" i="4"/>
  <c r="E13" i="4"/>
  <c r="D13" i="4"/>
  <c r="L12" i="4"/>
  <c r="G12" i="4"/>
  <c r="F12" i="4"/>
  <c r="S11" i="4"/>
  <c r="L11" i="4"/>
  <c r="M11" i="4" s="1"/>
  <c r="L10" i="4"/>
  <c r="S10" i="4" s="1"/>
  <c r="F10" i="4"/>
  <c r="L9" i="4"/>
  <c r="M9" i="4" s="1"/>
  <c r="F9" i="4"/>
  <c r="L8" i="4"/>
  <c r="M8" i="4" s="1"/>
  <c r="F8" i="4"/>
  <c r="S8" i="4" s="1"/>
  <c r="L7" i="4"/>
  <c r="M7" i="4" s="1"/>
  <c r="F7" i="4"/>
  <c r="S7" i="4" s="1"/>
  <c r="L6" i="4"/>
  <c r="F6" i="4"/>
  <c r="S6" i="4" s="1"/>
  <c r="L5" i="4"/>
  <c r="F5" i="4"/>
  <c r="S5" i="4" s="1"/>
  <c r="M97" i="3"/>
  <c r="L97" i="3"/>
  <c r="M96" i="3"/>
  <c r="L96" i="3"/>
  <c r="L95" i="3"/>
  <c r="M95" i="3" s="1"/>
  <c r="L94" i="3"/>
  <c r="M94" i="3" s="1"/>
  <c r="M93" i="3"/>
  <c r="L93" i="3"/>
  <c r="M92" i="3"/>
  <c r="L92" i="3"/>
  <c r="M91" i="3"/>
  <c r="L91" i="3"/>
  <c r="L90" i="3"/>
  <c r="M90" i="3" s="1"/>
  <c r="L89" i="3"/>
  <c r="M89" i="3" s="1"/>
  <c r="L88" i="3"/>
  <c r="M88" i="3" s="1"/>
  <c r="L87" i="3"/>
  <c r="M87" i="3" s="1"/>
  <c r="L86" i="3"/>
  <c r="M86" i="3" s="1"/>
  <c r="M85" i="3"/>
  <c r="L85" i="3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M77" i="3"/>
  <c r="L77" i="3"/>
  <c r="L76" i="3"/>
  <c r="M76" i="3" s="1"/>
  <c r="L75" i="3"/>
  <c r="M75" i="3" s="1"/>
  <c r="L74" i="3"/>
  <c r="L73" i="3"/>
  <c r="K73" i="3"/>
  <c r="K74" i="3" s="1"/>
  <c r="M74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L72" i="3"/>
  <c r="M72" i="3" s="1"/>
  <c r="M71" i="3"/>
  <c r="L71" i="3"/>
  <c r="L70" i="3"/>
  <c r="M70" i="3" s="1"/>
  <c r="M69" i="3"/>
  <c r="L69" i="3"/>
  <c r="L68" i="3"/>
  <c r="M68" i="3" s="1"/>
  <c r="M67" i="3"/>
  <c r="L67" i="3"/>
  <c r="L66" i="3"/>
  <c r="M66" i="3" s="1"/>
  <c r="L65" i="3"/>
  <c r="M65" i="3" s="1"/>
  <c r="L64" i="3"/>
  <c r="M64" i="3" s="1"/>
  <c r="M63" i="3"/>
  <c r="L63" i="3"/>
  <c r="L62" i="3"/>
  <c r="M62" i="3" s="1"/>
  <c r="M61" i="3"/>
  <c r="L61" i="3"/>
  <c r="L60" i="3"/>
  <c r="M60" i="3" s="1"/>
  <c r="M59" i="3"/>
  <c r="L59" i="3"/>
  <c r="L58" i="3"/>
  <c r="M58" i="3" s="1"/>
  <c r="L57" i="3"/>
  <c r="M57" i="3" s="1"/>
  <c r="L56" i="3"/>
  <c r="M56" i="3" s="1"/>
  <c r="M55" i="3"/>
  <c r="L55" i="3"/>
  <c r="L54" i="3"/>
  <c r="L53" i="3"/>
  <c r="K53" i="3" s="1"/>
  <c r="K16" i="3" s="1"/>
  <c r="K15" i="3" s="1"/>
  <c r="L52" i="3"/>
  <c r="M52" i="3" s="1"/>
  <c r="L51" i="3"/>
  <c r="M51" i="3" s="1"/>
  <c r="L50" i="3"/>
  <c r="M50" i="3" s="1"/>
  <c r="M49" i="3"/>
  <c r="L49" i="3"/>
  <c r="L48" i="3"/>
  <c r="M48" i="3" s="1"/>
  <c r="L47" i="3"/>
  <c r="M47" i="3" s="1"/>
  <c r="L46" i="3"/>
  <c r="M46" i="3" s="1"/>
  <c r="M45" i="3"/>
  <c r="L45" i="3"/>
  <c r="L44" i="3"/>
  <c r="M44" i="3" s="1"/>
  <c r="L43" i="3"/>
  <c r="M43" i="3" s="1"/>
  <c r="L42" i="3"/>
  <c r="M42" i="3" s="1"/>
  <c r="M41" i="3"/>
  <c r="L41" i="3"/>
  <c r="L40" i="3"/>
  <c r="M40" i="3" s="1"/>
  <c r="L39" i="3"/>
  <c r="M39" i="3" s="1"/>
  <c r="L38" i="3"/>
  <c r="M38" i="3" s="1"/>
  <c r="M37" i="3"/>
  <c r="L37" i="3"/>
  <c r="L36" i="3"/>
  <c r="M36" i="3" s="1"/>
  <c r="L35" i="3"/>
  <c r="M35" i="3" s="1"/>
  <c r="L34" i="3"/>
  <c r="M34" i="3" s="1"/>
  <c r="M33" i="3"/>
  <c r="L33" i="3"/>
  <c r="L32" i="3"/>
  <c r="M32" i="3" s="1"/>
  <c r="L31" i="3"/>
  <c r="M31" i="3" s="1"/>
  <c r="L30" i="3"/>
  <c r="M30" i="3" s="1"/>
  <c r="M29" i="3"/>
  <c r="L29" i="3"/>
  <c r="L28" i="3"/>
  <c r="M28" i="3" s="1"/>
  <c r="L27" i="3"/>
  <c r="M27" i="3" s="1"/>
  <c r="L26" i="3"/>
  <c r="M26" i="3" s="1"/>
  <c r="M25" i="3"/>
  <c r="L25" i="3"/>
  <c r="L24" i="3"/>
  <c r="M24" i="3" s="1"/>
  <c r="L23" i="3"/>
  <c r="M23" i="3" s="1"/>
  <c r="L22" i="3"/>
  <c r="M22" i="3" s="1"/>
  <c r="M16" i="3" s="1"/>
  <c r="N21" i="3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S20" i="3"/>
  <c r="O20" i="3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N20" i="3"/>
  <c r="E14" i="3"/>
  <c r="D14" i="3"/>
  <c r="R13" i="3"/>
  <c r="Q13" i="3"/>
  <c r="K14" i="3" s="1"/>
  <c r="P13" i="3"/>
  <c r="P14" i="3" s="1"/>
  <c r="K13" i="3"/>
  <c r="J13" i="3"/>
  <c r="E13" i="3"/>
  <c r="D13" i="3"/>
  <c r="R12" i="3"/>
  <c r="L12" i="3"/>
  <c r="F12" i="3"/>
  <c r="R11" i="3"/>
  <c r="L11" i="3"/>
  <c r="M11" i="3" s="1"/>
  <c r="F11" i="3"/>
  <c r="S11" i="3" s="1"/>
  <c r="R10" i="3"/>
  <c r="L10" i="3"/>
  <c r="F10" i="3"/>
  <c r="S10" i="3" s="1"/>
  <c r="R9" i="3"/>
  <c r="L9" i="3"/>
  <c r="M9" i="3" s="1"/>
  <c r="F9" i="3"/>
  <c r="S9" i="3" s="1"/>
  <c r="S8" i="3"/>
  <c r="R8" i="3"/>
  <c r="L8" i="3"/>
  <c r="F8" i="3"/>
  <c r="R7" i="3"/>
  <c r="M7" i="3"/>
  <c r="L7" i="3"/>
  <c r="F7" i="3"/>
  <c r="F14" i="3" s="1"/>
  <c r="S6" i="3"/>
  <c r="R6" i="3"/>
  <c r="L6" i="3"/>
  <c r="F6" i="3"/>
  <c r="M6" i="3" s="1"/>
  <c r="R5" i="3"/>
  <c r="L5" i="3"/>
  <c r="M5" i="3" s="1"/>
  <c r="F5" i="3"/>
  <c r="S5" i="3" s="1"/>
  <c r="M103" i="2"/>
  <c r="L103" i="2"/>
  <c r="L102" i="2"/>
  <c r="M102" i="2" s="1"/>
  <c r="L101" i="2"/>
  <c r="M101" i="2" s="1"/>
  <c r="L100" i="2"/>
  <c r="M100" i="2" s="1"/>
  <c r="M99" i="2"/>
  <c r="L99" i="2"/>
  <c r="L98" i="2"/>
  <c r="M98" i="2" s="1"/>
  <c r="L97" i="2"/>
  <c r="M97" i="2" s="1"/>
  <c r="L96" i="2"/>
  <c r="M96" i="2" s="1"/>
  <c r="M95" i="2"/>
  <c r="L95" i="2"/>
  <c r="L94" i="2"/>
  <c r="M94" i="2" s="1"/>
  <c r="L93" i="2"/>
  <c r="M93" i="2" s="1"/>
  <c r="L92" i="2"/>
  <c r="M92" i="2" s="1"/>
  <c r="M91" i="2"/>
  <c r="L91" i="2"/>
  <c r="L90" i="2"/>
  <c r="M90" i="2" s="1"/>
  <c r="L89" i="2"/>
  <c r="M89" i="2" s="1"/>
  <c r="L88" i="2"/>
  <c r="M88" i="2" s="1"/>
  <c r="M87" i="2"/>
  <c r="L87" i="2"/>
  <c r="L86" i="2"/>
  <c r="M86" i="2" s="1"/>
  <c r="L85" i="2"/>
  <c r="M85" i="2" s="1"/>
  <c r="L84" i="2"/>
  <c r="M84" i="2" s="1"/>
  <c r="M83" i="2"/>
  <c r="L83" i="2"/>
  <c r="L82" i="2"/>
  <c r="M82" i="2" s="1"/>
  <c r="L81" i="2"/>
  <c r="M81" i="2" s="1"/>
  <c r="L80" i="2"/>
  <c r="M80" i="2" s="1"/>
  <c r="M79" i="2"/>
  <c r="L79" i="2"/>
  <c r="L78" i="2"/>
  <c r="M78" i="2" s="1"/>
  <c r="L77" i="2"/>
  <c r="M77" i="2" s="1"/>
  <c r="L76" i="2"/>
  <c r="M76" i="2" s="1"/>
  <c r="M75" i="2"/>
  <c r="L75" i="2"/>
  <c r="L74" i="2"/>
  <c r="M74" i="2" s="1"/>
  <c r="L73" i="2"/>
  <c r="M73" i="2" s="1"/>
  <c r="L72" i="2"/>
  <c r="M72" i="2" s="1"/>
  <c r="M71" i="2"/>
  <c r="L71" i="2"/>
  <c r="L70" i="2"/>
  <c r="M70" i="2" s="1"/>
  <c r="L69" i="2"/>
  <c r="M69" i="2" s="1"/>
  <c r="L68" i="2"/>
  <c r="M68" i="2" s="1"/>
  <c r="M67" i="2"/>
  <c r="L67" i="2"/>
  <c r="L66" i="2"/>
  <c r="M66" i="2" s="1"/>
  <c r="L65" i="2"/>
  <c r="M65" i="2" s="1"/>
  <c r="L64" i="2"/>
  <c r="M64" i="2" s="1"/>
  <c r="M63" i="2"/>
  <c r="L63" i="2"/>
  <c r="L62" i="2"/>
  <c r="M62" i="2" s="1"/>
  <c r="L61" i="2"/>
  <c r="M61" i="2" s="1"/>
  <c r="L60" i="2"/>
  <c r="M60" i="2" s="1"/>
  <c r="M59" i="2"/>
  <c r="L59" i="2"/>
  <c r="L58" i="2"/>
  <c r="M58" i="2" s="1"/>
  <c r="L57" i="2"/>
  <c r="M57" i="2" s="1"/>
  <c r="L56" i="2"/>
  <c r="M56" i="2" s="1"/>
  <c r="M55" i="2"/>
  <c r="L55" i="2"/>
  <c r="L54" i="2"/>
  <c r="M54" i="2" s="1"/>
  <c r="L53" i="2"/>
  <c r="M53" i="2" s="1"/>
  <c r="L52" i="2"/>
  <c r="M52" i="2" s="1"/>
  <c r="M51" i="2"/>
  <c r="L51" i="2"/>
  <c r="L50" i="2"/>
  <c r="M50" i="2" s="1"/>
  <c r="L49" i="2"/>
  <c r="M49" i="2" s="1"/>
  <c r="L48" i="2"/>
  <c r="M48" i="2" s="1"/>
  <c r="M47" i="2"/>
  <c r="L47" i="2"/>
  <c r="L46" i="2"/>
  <c r="M46" i="2" s="1"/>
  <c r="L45" i="2"/>
  <c r="M45" i="2" s="1"/>
  <c r="L44" i="2"/>
  <c r="M44" i="2" s="1"/>
  <c r="M43" i="2"/>
  <c r="L43" i="2"/>
  <c r="L42" i="2"/>
  <c r="M42" i="2" s="1"/>
  <c r="L41" i="2"/>
  <c r="M41" i="2" s="1"/>
  <c r="L40" i="2"/>
  <c r="M40" i="2" s="1"/>
  <c r="M39" i="2"/>
  <c r="L39" i="2"/>
  <c r="L38" i="2"/>
  <c r="M38" i="2" s="1"/>
  <c r="L37" i="2"/>
  <c r="M37" i="2" s="1"/>
  <c r="L36" i="2"/>
  <c r="M36" i="2" s="1"/>
  <c r="M35" i="2"/>
  <c r="L35" i="2"/>
  <c r="L34" i="2"/>
  <c r="M34" i="2" s="1"/>
  <c r="L33" i="2"/>
  <c r="M33" i="2" s="1"/>
  <c r="L32" i="2"/>
  <c r="M32" i="2" s="1"/>
  <c r="M31" i="2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L31" i="2"/>
  <c r="K31" i="2"/>
  <c r="L30" i="2"/>
  <c r="K30" i="2" s="1"/>
  <c r="L29" i="2"/>
  <c r="M29" i="2" s="1"/>
  <c r="M28" i="2"/>
  <c r="L28" i="2"/>
  <c r="M27" i="2"/>
  <c r="L27" i="2"/>
  <c r="L26" i="2"/>
  <c r="M26" i="2" s="1"/>
  <c r="L25" i="2"/>
  <c r="M25" i="2" s="1"/>
  <c r="L24" i="2"/>
  <c r="M24" i="2" s="1"/>
  <c r="N23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L23" i="2"/>
  <c r="M23" i="2" s="1"/>
  <c r="N21" i="2"/>
  <c r="N22" i="2" s="1"/>
  <c r="N20" i="2"/>
  <c r="L20" i="2"/>
  <c r="M20" i="2" s="1"/>
  <c r="K16" i="2"/>
  <c r="K15" i="2" s="1"/>
  <c r="P14" i="2"/>
  <c r="J14" i="2"/>
  <c r="E14" i="2"/>
  <c r="D14" i="2"/>
  <c r="Q13" i="2"/>
  <c r="P13" i="2"/>
  <c r="K13" i="2"/>
  <c r="Q14" i="2" s="1"/>
  <c r="J13" i="2"/>
  <c r="F13" i="2"/>
  <c r="E13" i="2"/>
  <c r="G12" i="2" s="1"/>
  <c r="D13" i="2"/>
  <c r="R12" i="2"/>
  <c r="L12" i="2"/>
  <c r="S12" i="2" s="1"/>
  <c r="F12" i="2"/>
  <c r="R11" i="2"/>
  <c r="L11" i="2"/>
  <c r="M11" i="2" s="1"/>
  <c r="F11" i="2"/>
  <c r="S11" i="2" s="1"/>
  <c r="R10" i="2"/>
  <c r="M10" i="2"/>
  <c r="L10" i="2"/>
  <c r="F10" i="2"/>
  <c r="S10" i="2" s="1"/>
  <c r="R9" i="2"/>
  <c r="L9" i="2"/>
  <c r="M9" i="2" s="1"/>
  <c r="F9" i="2"/>
  <c r="S9" i="2" s="1"/>
  <c r="S8" i="2"/>
  <c r="R8" i="2"/>
  <c r="M8" i="2"/>
  <c r="L8" i="2"/>
  <c r="F8" i="2"/>
  <c r="R7" i="2"/>
  <c r="L7" i="2"/>
  <c r="F7" i="2"/>
  <c r="R6" i="2"/>
  <c r="M6" i="2"/>
  <c r="L6" i="2"/>
  <c r="F6" i="2"/>
  <c r="S6" i="2" s="1"/>
  <c r="R5" i="2"/>
  <c r="L5" i="2"/>
  <c r="M5" i="2" s="1"/>
  <c r="F5" i="2"/>
  <c r="S5" i="2" s="1"/>
  <c r="D94" i="1"/>
  <c r="N238" i="7" s="1"/>
  <c r="O238" i="7" s="1"/>
  <c r="D88" i="1"/>
  <c r="D84" i="1"/>
  <c r="D75" i="1"/>
  <c r="D68" i="1"/>
  <c r="D58" i="1"/>
  <c r="D49" i="1"/>
  <c r="D41" i="1"/>
  <c r="D35" i="1"/>
  <c r="D28" i="1"/>
  <c r="D21" i="1"/>
  <c r="D12" i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D5" i="1"/>
  <c r="N4" i="1"/>
  <c r="S72" i="4" l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89" i="3"/>
  <c r="S90" i="3" s="1"/>
  <c r="S91" i="3" s="1"/>
  <c r="S92" i="3" s="1"/>
  <c r="S93" i="3" s="1"/>
  <c r="S94" i="3" s="1"/>
  <c r="S95" i="3" s="1"/>
  <c r="S96" i="3" s="1"/>
  <c r="S97" i="3" s="1"/>
  <c r="M15" i="3"/>
  <c r="M14" i="3"/>
  <c r="O54" i="3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S99" i="6"/>
  <c r="S100" i="6" s="1"/>
  <c r="S101" i="6" s="1"/>
  <c r="S102" i="6" s="1"/>
  <c r="S103" i="6" s="1"/>
  <c r="S104" i="6" s="1"/>
  <c r="S105" i="6" s="1"/>
  <c r="S106" i="6" s="1"/>
  <c r="S107" i="6" s="1"/>
  <c r="S108" i="6" s="1"/>
  <c r="S109" i="6" s="1"/>
  <c r="S110" i="6" s="1"/>
  <c r="N24" i="10"/>
  <c r="U24" i="10"/>
  <c r="M5" i="4"/>
  <c r="G24" i="10"/>
  <c r="K14" i="2"/>
  <c r="R14" i="3"/>
  <c r="L14" i="7"/>
  <c r="L15" i="7" s="1"/>
  <c r="X13" i="2"/>
  <c r="G13" i="2"/>
  <c r="G11" i="2" s="1"/>
  <c r="F14" i="2"/>
  <c r="S25" i="5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F13" i="3"/>
  <c r="S12" i="3"/>
  <c r="K54" i="3"/>
  <c r="M54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22" i="3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M12" i="2"/>
  <c r="R13" i="2"/>
  <c r="M12" i="3"/>
  <c r="M10" i="4"/>
  <c r="M16" i="2"/>
  <c r="S20" i="2"/>
  <c r="S23" i="2" s="1"/>
  <c r="S24" i="2" s="1"/>
  <c r="S25" i="2" s="1"/>
  <c r="S26" i="2" s="1"/>
  <c r="S27" i="2" s="1"/>
  <c r="S28" i="2" s="1"/>
  <c r="S29" i="2" s="1"/>
  <c r="S30" i="2" s="1"/>
  <c r="O20" i="2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L13" i="3"/>
  <c r="S7" i="3"/>
  <c r="O24" i="6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Q14" i="3"/>
  <c r="G12" i="3"/>
  <c r="L13" i="2"/>
  <c r="J14" i="3"/>
  <c r="O25" i="4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Q26" i="7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Q84" i="7" s="1"/>
  <c r="Q85" i="7" s="1"/>
  <c r="Q86" i="7" s="1"/>
  <c r="Q87" i="7" s="1"/>
  <c r="Q88" i="7" s="1"/>
  <c r="Q89" i="7" s="1"/>
  <c r="Q90" i="7" s="1"/>
  <c r="Q91" i="7" s="1"/>
  <c r="Q92" i="7" s="1"/>
  <c r="Q93" i="7" s="1"/>
  <c r="Q94" i="7" s="1"/>
  <c r="Q95" i="7" s="1"/>
  <c r="Q96" i="7" s="1"/>
  <c r="Q97" i="7" s="1"/>
  <c r="Q98" i="7" s="1"/>
  <c r="Q99" i="7" s="1"/>
  <c r="Q100" i="7" s="1"/>
  <c r="Q101" i="7" s="1"/>
  <c r="Q102" i="7" s="1"/>
  <c r="Q103" i="7" s="1"/>
  <c r="Q104" i="7" s="1"/>
  <c r="Q105" i="7" s="1"/>
  <c r="Q106" i="7" s="1"/>
  <c r="Q107" i="7" s="1"/>
  <c r="Q108" i="7" s="1"/>
  <c r="Q109" i="7" s="1"/>
  <c r="Q110" i="7" s="1"/>
  <c r="Q111" i="7" s="1"/>
  <c r="Q112" i="7" s="1"/>
  <c r="Q113" i="7" s="1"/>
  <c r="Q114" i="7" s="1"/>
  <c r="Q115" i="7" s="1"/>
  <c r="Q116" i="7" s="1"/>
  <c r="Q117" i="7" s="1"/>
  <c r="Q118" i="7" s="1"/>
  <c r="Q119" i="7" s="1"/>
  <c r="Q120" i="7" s="1"/>
  <c r="Q121" i="7" s="1"/>
  <c r="Q122" i="7" s="1"/>
  <c r="Q123" i="7" s="1"/>
  <c r="Q124" i="7" s="1"/>
  <c r="Q125" i="7" s="1"/>
  <c r="Q126" i="7" s="1"/>
  <c r="Q127" i="7" s="1"/>
  <c r="Q128" i="7" s="1"/>
  <c r="Q129" i="7" s="1"/>
  <c r="Q130" i="7" s="1"/>
  <c r="Q131" i="7" s="1"/>
  <c r="Q132" i="7" s="1"/>
  <c r="Q133" i="7" s="1"/>
  <c r="Q134" i="7" s="1"/>
  <c r="Q135" i="7" s="1"/>
  <c r="Q136" i="7" s="1"/>
  <c r="Q137" i="7" s="1"/>
  <c r="Q138" i="7" s="1"/>
  <c r="Q139" i="7" s="1"/>
  <c r="Q140" i="7" s="1"/>
  <c r="Q141" i="7" s="1"/>
  <c r="Q142" i="7" s="1"/>
  <c r="Q143" i="7" s="1"/>
  <c r="Q144" i="7" s="1"/>
  <c r="Q145" i="7" s="1"/>
  <c r="Q146" i="7" s="1"/>
  <c r="Q147" i="7" s="1"/>
  <c r="Q148" i="7" s="1"/>
  <c r="Q149" i="7" s="1"/>
  <c r="Q150" i="7" s="1"/>
  <c r="Q151" i="7" s="1"/>
  <c r="Q152" i="7" s="1"/>
  <c r="Q153" i="7" s="1"/>
  <c r="Q154" i="7" s="1"/>
  <c r="Q155" i="7" s="1"/>
  <c r="Q156" i="7" s="1"/>
  <c r="Q157" i="7" s="1"/>
  <c r="Q158" i="7" s="1"/>
  <c r="Q159" i="7" s="1"/>
  <c r="Q160" i="7" s="1"/>
  <c r="Q161" i="7" s="1"/>
  <c r="Q162" i="7" s="1"/>
  <c r="Q163" i="7" s="1"/>
  <c r="Q164" i="7" s="1"/>
  <c r="Q165" i="7" s="1"/>
  <c r="Q166" i="7" s="1"/>
  <c r="Q167" i="7" s="1"/>
  <c r="Q168" i="7" s="1"/>
  <c r="Q169" i="7" s="1"/>
  <c r="Q170" i="7" s="1"/>
  <c r="Q171" i="7" s="1"/>
  <c r="Q172" i="7" s="1"/>
  <c r="Q173" i="7" s="1"/>
  <c r="Q174" i="7" s="1"/>
  <c r="Q175" i="7" s="1"/>
  <c r="Q176" i="7" s="1"/>
  <c r="Q177" i="7" s="1"/>
  <c r="Q178" i="7" s="1"/>
  <c r="Q179" i="7" s="1"/>
  <c r="Q180" i="7" s="1"/>
  <c r="Q181" i="7" s="1"/>
  <c r="Q182" i="7" s="1"/>
  <c r="Q183" i="7" s="1"/>
  <c r="Q184" i="7" s="1"/>
  <c r="Q185" i="7" s="1"/>
  <c r="Q186" i="7" s="1"/>
  <c r="Q187" i="7" s="1"/>
  <c r="Q188" i="7" s="1"/>
  <c r="Q189" i="7" s="1"/>
  <c r="Q190" i="7" s="1"/>
  <c r="Q191" i="7" s="1"/>
  <c r="Q192" i="7" s="1"/>
  <c r="Q193" i="7" s="1"/>
  <c r="Q194" i="7" s="1"/>
  <c r="Q195" i="7" s="1"/>
  <c r="Q196" i="7" s="1"/>
  <c r="Q197" i="7" s="1"/>
  <c r="Q198" i="7" s="1"/>
  <c r="Q199" i="7" s="1"/>
  <c r="Q200" i="7" s="1"/>
  <c r="Q201" i="7" s="1"/>
  <c r="Q202" i="7" s="1"/>
  <c r="Q203" i="7" s="1"/>
  <c r="Q204" i="7" s="1"/>
  <c r="Q205" i="7" s="1"/>
  <c r="Q206" i="7" s="1"/>
  <c r="Q207" i="7" s="1"/>
  <c r="Q208" i="7" s="1"/>
  <c r="Q209" i="7" s="1"/>
  <c r="Q210" i="7" s="1"/>
  <c r="Q211" i="7" s="1"/>
  <c r="Q212" i="7" s="1"/>
  <c r="Q213" i="7" s="1"/>
  <c r="Q214" i="7" s="1"/>
  <c r="Q215" i="7" s="1"/>
  <c r="Q216" i="7" s="1"/>
  <c r="Q217" i="7" s="1"/>
  <c r="Q218" i="7" s="1"/>
  <c r="Q219" i="7" s="1"/>
  <c r="Q220" i="7" s="1"/>
  <c r="Q221" i="7" s="1"/>
  <c r="Q222" i="7" s="1"/>
  <c r="Q223" i="7" s="1"/>
  <c r="Q224" i="7" s="1"/>
  <c r="Q225" i="7" s="1"/>
  <c r="Q226" i="7" s="1"/>
  <c r="Q227" i="7" s="1"/>
  <c r="Q228" i="7" s="1"/>
  <c r="Q229" i="7" s="1"/>
  <c r="Q230" i="7" s="1"/>
  <c r="Q231" i="7" s="1"/>
  <c r="Q232" i="7" s="1"/>
  <c r="Q233" i="7" s="1"/>
  <c r="Q234" i="7" s="1"/>
  <c r="Q235" i="7" s="1"/>
  <c r="Q236" i="7" s="1"/>
  <c r="Q237" i="7" s="1"/>
  <c r="Q238" i="7" s="1"/>
  <c r="Q239" i="7" s="1"/>
  <c r="Q240" i="7" s="1"/>
  <c r="Q241" i="7" s="1"/>
  <c r="Q242" i="7" s="1"/>
  <c r="Q243" i="7" s="1"/>
  <c r="M8" i="3"/>
  <c r="N131" i="7"/>
  <c r="O131" i="7" s="1"/>
  <c r="N228" i="7"/>
  <c r="O228" i="7" s="1"/>
  <c r="M8" i="5"/>
  <c r="N60" i="7"/>
  <c r="O60" i="7" s="1"/>
  <c r="N88" i="7"/>
  <c r="O88" i="7" s="1"/>
  <c r="N159" i="7"/>
  <c r="O159" i="7" s="1"/>
  <c r="N230" i="7"/>
  <c r="O230" i="7" s="1"/>
  <c r="F13" i="4"/>
  <c r="N39" i="7"/>
  <c r="O39" i="7" s="1"/>
  <c r="N110" i="7"/>
  <c r="O110" i="7" s="1"/>
  <c r="N138" i="7"/>
  <c r="O138" i="7" s="1"/>
  <c r="N209" i="7"/>
  <c r="O209" i="7" s="1"/>
  <c r="M6" i="4"/>
  <c r="N66" i="7"/>
  <c r="O66" i="7" s="1"/>
  <c r="N231" i="7"/>
  <c r="O231" i="7" s="1"/>
  <c r="L13" i="4"/>
  <c r="M10" i="5"/>
  <c r="N89" i="7"/>
  <c r="O89" i="7" s="1"/>
  <c r="N160" i="7"/>
  <c r="O160" i="7" s="1"/>
  <c r="N188" i="7"/>
  <c r="O188" i="7" s="1"/>
  <c r="M12" i="4"/>
  <c r="O20" i="5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104" i="5" s="1"/>
  <c r="S10" i="6"/>
  <c r="M10" i="6"/>
  <c r="M16" i="6"/>
  <c r="S22" i="6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N116" i="7"/>
  <c r="O116" i="7" s="1"/>
  <c r="S12" i="4"/>
  <c r="N45" i="7"/>
  <c r="O45" i="7" s="1"/>
  <c r="N68" i="7"/>
  <c r="O68" i="7" s="1"/>
  <c r="N139" i="7"/>
  <c r="O139" i="7" s="1"/>
  <c r="N210" i="7"/>
  <c r="O210" i="7" s="1"/>
  <c r="N242" i="7"/>
  <c r="O242" i="7" s="1"/>
  <c r="N237" i="7"/>
  <c r="O237" i="7" s="1"/>
  <c r="N232" i="7"/>
  <c r="O232" i="7" s="1"/>
  <c r="N227" i="7"/>
  <c r="O227" i="7" s="1"/>
  <c r="N222" i="7"/>
  <c r="O222" i="7" s="1"/>
  <c r="N217" i="7"/>
  <c r="O217" i="7" s="1"/>
  <c r="N212" i="7"/>
  <c r="O212" i="7" s="1"/>
  <c r="N207" i="7"/>
  <c r="O207" i="7" s="1"/>
  <c r="N202" i="7"/>
  <c r="O202" i="7" s="1"/>
  <c r="N197" i="7"/>
  <c r="O197" i="7" s="1"/>
  <c r="N192" i="7"/>
  <c r="O192" i="7" s="1"/>
  <c r="N187" i="7"/>
  <c r="O187" i="7" s="1"/>
  <c r="N182" i="7"/>
  <c r="O182" i="7" s="1"/>
  <c r="N177" i="7"/>
  <c r="O177" i="7" s="1"/>
  <c r="N172" i="7"/>
  <c r="O172" i="7" s="1"/>
  <c r="N167" i="7"/>
  <c r="O167" i="7" s="1"/>
  <c r="N162" i="7"/>
  <c r="O162" i="7" s="1"/>
  <c r="N157" i="7"/>
  <c r="O157" i="7" s="1"/>
  <c r="N152" i="7"/>
  <c r="O152" i="7" s="1"/>
  <c r="N147" i="7"/>
  <c r="O147" i="7" s="1"/>
  <c r="N142" i="7"/>
  <c r="O142" i="7" s="1"/>
  <c r="N137" i="7"/>
  <c r="O137" i="7" s="1"/>
  <c r="N132" i="7"/>
  <c r="O132" i="7" s="1"/>
  <c r="N127" i="7"/>
  <c r="O127" i="7" s="1"/>
  <c r="N122" i="7"/>
  <c r="O122" i="7" s="1"/>
  <c r="N117" i="7"/>
  <c r="O117" i="7" s="1"/>
  <c r="N112" i="7"/>
  <c r="O112" i="7" s="1"/>
  <c r="N107" i="7"/>
  <c r="O107" i="7" s="1"/>
  <c r="N102" i="7"/>
  <c r="O102" i="7" s="1"/>
  <c r="N97" i="7"/>
  <c r="O97" i="7" s="1"/>
  <c r="N92" i="7"/>
  <c r="O92" i="7" s="1"/>
  <c r="N87" i="7"/>
  <c r="O87" i="7" s="1"/>
  <c r="N82" i="7"/>
  <c r="O82" i="7" s="1"/>
  <c r="N77" i="7"/>
  <c r="O77" i="7" s="1"/>
  <c r="N72" i="7"/>
  <c r="O72" i="7" s="1"/>
  <c r="N67" i="7"/>
  <c r="O67" i="7" s="1"/>
  <c r="N62" i="7"/>
  <c r="O62" i="7" s="1"/>
  <c r="N57" i="7"/>
  <c r="O57" i="7" s="1"/>
  <c r="N52" i="7"/>
  <c r="O52" i="7" s="1"/>
  <c r="N47" i="7"/>
  <c r="O47" i="7" s="1"/>
  <c r="N42" i="7"/>
  <c r="O42" i="7" s="1"/>
  <c r="N37" i="7"/>
  <c r="O37" i="7" s="1"/>
  <c r="N32" i="7"/>
  <c r="O32" i="7" s="1"/>
  <c r="N27" i="7"/>
  <c r="O27" i="7" s="1"/>
  <c r="N201" i="7"/>
  <c r="O201" i="7" s="1"/>
  <c r="N151" i="7"/>
  <c r="O151" i="7" s="1"/>
  <c r="N101" i="7"/>
  <c r="O101" i="7" s="1"/>
  <c r="N51" i="7"/>
  <c r="O51" i="7" s="1"/>
  <c r="N223" i="7"/>
  <c r="O223" i="7" s="1"/>
  <c r="N215" i="7"/>
  <c r="O215" i="7" s="1"/>
  <c r="N194" i="7"/>
  <c r="O194" i="7" s="1"/>
  <c r="N173" i="7"/>
  <c r="O173" i="7" s="1"/>
  <c r="N165" i="7"/>
  <c r="O165" i="7" s="1"/>
  <c r="N144" i="7"/>
  <c r="O144" i="7" s="1"/>
  <c r="N123" i="7"/>
  <c r="O123" i="7" s="1"/>
  <c r="N115" i="7"/>
  <c r="O115" i="7" s="1"/>
  <c r="N94" i="7"/>
  <c r="O94" i="7" s="1"/>
  <c r="N73" i="7"/>
  <c r="O73" i="7" s="1"/>
  <c r="N65" i="7"/>
  <c r="O65" i="7" s="1"/>
  <c r="N44" i="7"/>
  <c r="O44" i="7" s="1"/>
  <c r="N236" i="7"/>
  <c r="O236" i="7" s="1"/>
  <c r="N186" i="7"/>
  <c r="O186" i="7" s="1"/>
  <c r="N136" i="7"/>
  <c r="O136" i="7" s="1"/>
  <c r="N86" i="7"/>
  <c r="O86" i="7" s="1"/>
  <c r="N36" i="7"/>
  <c r="O36" i="7" s="1"/>
  <c r="N229" i="7"/>
  <c r="O229" i="7" s="1"/>
  <c r="N208" i="7"/>
  <c r="O208" i="7" s="1"/>
  <c r="N200" i="7"/>
  <c r="O200" i="7" s="1"/>
  <c r="N179" i="7"/>
  <c r="O179" i="7" s="1"/>
  <c r="N158" i="7"/>
  <c r="O158" i="7" s="1"/>
  <c r="N150" i="7"/>
  <c r="O150" i="7" s="1"/>
  <c r="N129" i="7"/>
  <c r="O129" i="7" s="1"/>
  <c r="N108" i="7"/>
  <c r="O108" i="7" s="1"/>
  <c r="N100" i="7"/>
  <c r="O100" i="7" s="1"/>
  <c r="N79" i="7"/>
  <c r="O79" i="7" s="1"/>
  <c r="N58" i="7"/>
  <c r="O58" i="7" s="1"/>
  <c r="N50" i="7"/>
  <c r="O50" i="7" s="1"/>
  <c r="N29" i="7"/>
  <c r="O29" i="7" s="1"/>
  <c r="N221" i="7"/>
  <c r="O221" i="7" s="1"/>
  <c r="N171" i="7"/>
  <c r="O171" i="7" s="1"/>
  <c r="N121" i="7"/>
  <c r="O121" i="7" s="1"/>
  <c r="N71" i="7"/>
  <c r="O71" i="7" s="1"/>
  <c r="N243" i="7"/>
  <c r="O243" i="7" s="1"/>
  <c r="N235" i="7"/>
  <c r="O235" i="7" s="1"/>
  <c r="N214" i="7"/>
  <c r="O214" i="7" s="1"/>
  <c r="N193" i="7"/>
  <c r="O193" i="7" s="1"/>
  <c r="N185" i="7"/>
  <c r="O185" i="7" s="1"/>
  <c r="N164" i="7"/>
  <c r="O164" i="7" s="1"/>
  <c r="N143" i="7"/>
  <c r="O143" i="7" s="1"/>
  <c r="N135" i="7"/>
  <c r="O135" i="7" s="1"/>
  <c r="N114" i="7"/>
  <c r="O114" i="7" s="1"/>
  <c r="N93" i="7"/>
  <c r="O93" i="7" s="1"/>
  <c r="N85" i="7"/>
  <c r="O85" i="7" s="1"/>
  <c r="N64" i="7"/>
  <c r="O64" i="7" s="1"/>
  <c r="N43" i="7"/>
  <c r="O43" i="7" s="1"/>
  <c r="N35" i="7"/>
  <c r="O35" i="7" s="1"/>
  <c r="N206" i="7"/>
  <c r="O206" i="7" s="1"/>
  <c r="N156" i="7"/>
  <c r="O156" i="7" s="1"/>
  <c r="N106" i="7"/>
  <c r="O106" i="7" s="1"/>
  <c r="N56" i="7"/>
  <c r="O56" i="7" s="1"/>
  <c r="N241" i="7"/>
  <c r="O241" i="7" s="1"/>
  <c r="N191" i="7"/>
  <c r="O191" i="7" s="1"/>
  <c r="N141" i="7"/>
  <c r="O141" i="7" s="1"/>
  <c r="N91" i="7"/>
  <c r="O91" i="7" s="1"/>
  <c r="N41" i="7"/>
  <c r="O41" i="7" s="1"/>
  <c r="N234" i="7"/>
  <c r="O234" i="7" s="1"/>
  <c r="N213" i="7"/>
  <c r="O213" i="7" s="1"/>
  <c r="N205" i="7"/>
  <c r="O205" i="7" s="1"/>
  <c r="N184" i="7"/>
  <c r="O184" i="7" s="1"/>
  <c r="N163" i="7"/>
  <c r="O163" i="7" s="1"/>
  <c r="N155" i="7"/>
  <c r="O155" i="7" s="1"/>
  <c r="N134" i="7"/>
  <c r="O134" i="7" s="1"/>
  <c r="N113" i="7"/>
  <c r="O113" i="7" s="1"/>
  <c r="N105" i="7"/>
  <c r="O105" i="7" s="1"/>
  <c r="N84" i="7"/>
  <c r="O84" i="7" s="1"/>
  <c r="N63" i="7"/>
  <c r="O63" i="7" s="1"/>
  <c r="N55" i="7"/>
  <c r="O55" i="7" s="1"/>
  <c r="N34" i="7"/>
  <c r="O34" i="7" s="1"/>
  <c r="N226" i="7"/>
  <c r="O226" i="7" s="1"/>
  <c r="N176" i="7"/>
  <c r="O176" i="7" s="1"/>
  <c r="N126" i="7"/>
  <c r="O126" i="7" s="1"/>
  <c r="N76" i="7"/>
  <c r="O76" i="7" s="1"/>
  <c r="N26" i="7"/>
  <c r="O26" i="7" s="1"/>
  <c r="N240" i="7"/>
  <c r="O240" i="7" s="1"/>
  <c r="N219" i="7"/>
  <c r="O219" i="7" s="1"/>
  <c r="N198" i="7"/>
  <c r="O198" i="7" s="1"/>
  <c r="N190" i="7"/>
  <c r="O190" i="7" s="1"/>
  <c r="N169" i="7"/>
  <c r="O169" i="7" s="1"/>
  <c r="N148" i="7"/>
  <c r="O148" i="7" s="1"/>
  <c r="N140" i="7"/>
  <c r="O140" i="7" s="1"/>
  <c r="N119" i="7"/>
  <c r="O119" i="7" s="1"/>
  <c r="N98" i="7"/>
  <c r="O98" i="7" s="1"/>
  <c r="N90" i="7"/>
  <c r="O90" i="7" s="1"/>
  <c r="N69" i="7"/>
  <c r="O69" i="7" s="1"/>
  <c r="N48" i="7"/>
  <c r="O48" i="7" s="1"/>
  <c r="N40" i="7"/>
  <c r="O40" i="7" s="1"/>
  <c r="N211" i="7"/>
  <c r="O211" i="7" s="1"/>
  <c r="N161" i="7"/>
  <c r="O161" i="7" s="1"/>
  <c r="N111" i="7"/>
  <c r="O111" i="7" s="1"/>
  <c r="N61" i="7"/>
  <c r="O61" i="7" s="1"/>
  <c r="N233" i="7"/>
  <c r="O233" i="7" s="1"/>
  <c r="N225" i="7"/>
  <c r="O225" i="7" s="1"/>
  <c r="N204" i="7"/>
  <c r="O204" i="7" s="1"/>
  <c r="N183" i="7"/>
  <c r="O183" i="7" s="1"/>
  <c r="N175" i="7"/>
  <c r="O175" i="7" s="1"/>
  <c r="N154" i="7"/>
  <c r="O154" i="7" s="1"/>
  <c r="N133" i="7"/>
  <c r="O133" i="7" s="1"/>
  <c r="N125" i="7"/>
  <c r="O125" i="7" s="1"/>
  <c r="N104" i="7"/>
  <c r="O104" i="7" s="1"/>
  <c r="N83" i="7"/>
  <c r="O83" i="7" s="1"/>
  <c r="N75" i="7"/>
  <c r="O75" i="7" s="1"/>
  <c r="N54" i="7"/>
  <c r="O54" i="7" s="1"/>
  <c r="N33" i="7"/>
  <c r="O33" i="7" s="1"/>
  <c r="N196" i="7"/>
  <c r="O196" i="7" s="1"/>
  <c r="N146" i="7"/>
  <c r="O146" i="7" s="1"/>
  <c r="N96" i="7"/>
  <c r="O96" i="7" s="1"/>
  <c r="N46" i="7"/>
  <c r="O46" i="7" s="1"/>
  <c r="M11" i="5"/>
  <c r="N70" i="7"/>
  <c r="O70" i="7" s="1"/>
  <c r="N166" i="7"/>
  <c r="O166" i="7" s="1"/>
  <c r="S7" i="2"/>
  <c r="F13" i="5"/>
  <c r="F13" i="6"/>
  <c r="S12" i="6"/>
  <c r="M12" i="6"/>
  <c r="N95" i="7"/>
  <c r="O95" i="7" s="1"/>
  <c r="N118" i="7"/>
  <c r="O118" i="7" s="1"/>
  <c r="N189" i="7"/>
  <c r="O189" i="7" s="1"/>
  <c r="M10" i="3"/>
  <c r="L13" i="5"/>
  <c r="N49" i="7"/>
  <c r="O49" i="7" s="1"/>
  <c r="N120" i="7"/>
  <c r="O120" i="7" s="1"/>
  <c r="N216" i="7"/>
  <c r="O216" i="7" s="1"/>
  <c r="M7" i="2"/>
  <c r="N74" i="7"/>
  <c r="O74" i="7" s="1"/>
  <c r="N145" i="7"/>
  <c r="O145" i="7" s="1"/>
  <c r="N168" i="7"/>
  <c r="O168" i="7" s="1"/>
  <c r="N239" i="7"/>
  <c r="O239" i="7" s="1"/>
  <c r="S9" i="4"/>
  <c r="N28" i="7"/>
  <c r="O28" i="7" s="1"/>
  <c r="N99" i="7"/>
  <c r="O99" i="7" s="1"/>
  <c r="N170" i="7"/>
  <c r="O170" i="7" s="1"/>
  <c r="M12" i="5"/>
  <c r="S12" i="5"/>
  <c r="M11" i="6"/>
  <c r="K14" i="5"/>
  <c r="M7" i="6"/>
  <c r="M9" i="5"/>
  <c r="S8" i="6"/>
  <c r="M8" i="6"/>
  <c r="M13" i="2" l="1"/>
  <c r="L14" i="2"/>
  <c r="S13" i="2"/>
  <c r="G13" i="6"/>
  <c r="G11" i="6" s="1"/>
  <c r="X13" i="6"/>
  <c r="S13" i="6"/>
  <c r="M13" i="6"/>
  <c r="M13" i="3"/>
  <c r="L14" i="3"/>
  <c r="G13" i="4"/>
  <c r="G11" i="4" s="1"/>
  <c r="S13" i="4"/>
  <c r="X13" i="4"/>
  <c r="M15" i="2"/>
  <c r="M14" i="2"/>
  <c r="N18" i="7"/>
  <c r="M18" i="7"/>
  <c r="L14" i="6"/>
  <c r="X13" i="5"/>
  <c r="S13" i="5"/>
  <c r="G13" i="5"/>
  <c r="G11" i="5" s="1"/>
  <c r="M13" i="4"/>
  <c r="L14" i="4"/>
  <c r="M15" i="6"/>
  <c r="M14" i="6"/>
  <c r="R14" i="2"/>
  <c r="N54" i="3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M13" i="5"/>
  <c r="L14" i="5"/>
  <c r="G13" i="3"/>
  <c r="G11" i="3" s="1"/>
  <c r="X13" i="3"/>
  <c r="S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0000000-0006-0000-01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H11" authorId="0" shapeId="0" xr:uid="{00000000-0006-0000-01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N11" authorId="0" shapeId="0" xr:uid="{00000000-0006-0000-01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0000000-0006-0000-02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H11" authorId="0" shapeId="0" xr:uid="{00000000-0006-0000-02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N11" authorId="0" shapeId="0" xr:uid="{00000000-0006-0000-02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0000000-0006-0000-03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H11" authorId="0" shapeId="0" xr:uid="{00000000-0006-0000-03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0000000-0006-0000-04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H11" authorId="0" shapeId="0" xr:uid="{00000000-0006-0000-04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0000000-0006-0000-05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H11" authorId="0" shapeId="0" xr:uid="{00000000-0006-0000-05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2" authorId="0" shapeId="0" xr:uid="{00000000-0006-0000-06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H12" authorId="0" shapeId="0" xr:uid="{00000000-0006-0000-06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생산성향상 격려금 (PI : Productivity Incentive) : 전도금 송금환율 반영하여 정산</t>
        </r>
      </text>
    </comment>
    <comment ref="H20" authorId="1" shapeId="0" xr:uid="{00000000-0006-0000-06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</text>
    </comment>
  </commentList>
</comments>
</file>

<file path=xl/sharedStrings.xml><?xml version="1.0" encoding="utf-8"?>
<sst xmlns="http://schemas.openxmlformats.org/spreadsheetml/2006/main" count="3969" uniqueCount="582">
  <si>
    <t xml:space="preserve">통장 일자 </t>
  </si>
  <si>
    <t>지급</t>
  </si>
  <si>
    <t>송금액</t>
  </si>
  <si>
    <t>입금</t>
  </si>
  <si>
    <t>출금</t>
  </si>
  <si>
    <t>잔액</t>
  </si>
  <si>
    <t>지급시
환율</t>
  </si>
  <si>
    <t>환산요율</t>
  </si>
  <si>
    <t>전표번호</t>
  </si>
  <si>
    <t>USD</t>
  </si>
  <si>
    <t>수수료</t>
  </si>
  <si>
    <t>RMB</t>
  </si>
  <si>
    <t>▶ 25년 1월 전도금 정산 내역 (심천지사)_4000061 (B2F590)</t>
  </si>
  <si>
    <t/>
  </si>
  <si>
    <t>보증금 입금 내역_1,234.5 (#1900000828 / #1200000234 / #100013313)</t>
  </si>
  <si>
    <t>24년 12월 송금_1,433.2(#)</t>
  </si>
  <si>
    <t>25년 1월 송금_1458.2(#)</t>
  </si>
  <si>
    <t>25년 1월 2차 송금_1,434.30 (#)</t>
  </si>
  <si>
    <t>대계정</t>
  </si>
  <si>
    <t>소계정</t>
  </si>
  <si>
    <t>금액 (CNY)</t>
  </si>
  <si>
    <t>금액 (USD)</t>
  </si>
  <si>
    <t>금액 (KRW)</t>
  </si>
  <si>
    <t>업무추진비</t>
  </si>
  <si>
    <t>일반</t>
  </si>
  <si>
    <t>여비교통비</t>
  </si>
  <si>
    <t>해외</t>
  </si>
  <si>
    <t>지급임차료</t>
  </si>
  <si>
    <t>사무실임차료</t>
  </si>
  <si>
    <t>차량임차료</t>
  </si>
  <si>
    <t>통신비</t>
  </si>
  <si>
    <t>기타</t>
  </si>
  <si>
    <t>해외지사비</t>
  </si>
  <si>
    <t>급여(incentive)</t>
  </si>
  <si>
    <t>성과급여조정</t>
  </si>
  <si>
    <t>포상금</t>
  </si>
  <si>
    <t>(-)잡이익(50)</t>
  </si>
  <si>
    <t>(-)잡이익</t>
  </si>
  <si>
    <t>Total</t>
  </si>
  <si>
    <t>날짜</t>
  </si>
  <si>
    <t>내역</t>
  </si>
  <si>
    <t>담당자</t>
  </si>
  <si>
    <t>증빙번호</t>
  </si>
  <si>
    <t>항목</t>
  </si>
  <si>
    <t>CNY</t>
  </si>
  <si>
    <t>비고</t>
  </si>
  <si>
    <t>4분기 세금 비용</t>
  </si>
  <si>
    <t>12월 송금</t>
  </si>
  <si>
    <t>USD입금 and RMB 환전</t>
  </si>
  <si>
    <t>은행수수료</t>
  </si>
  <si>
    <t>DB HITEK조회확인서 수수료</t>
  </si>
  <si>
    <t>사무실 임대료/전기세 관련</t>
  </si>
  <si>
    <t>사무실</t>
  </si>
  <si>
    <t>사무실 주차비</t>
  </si>
  <si>
    <t>세무대행비</t>
  </si>
  <si>
    <t>차량 Rent비</t>
  </si>
  <si>
    <t>1월 송금</t>
  </si>
  <si>
    <t>차량 기사비</t>
  </si>
  <si>
    <t>기사 야근비용</t>
  </si>
  <si>
    <t>사무실 WIFI+통신비</t>
  </si>
  <si>
    <t>신순연</t>
  </si>
  <si>
    <t>출장비</t>
  </si>
  <si>
    <t>Pan Shi Qiang</t>
  </si>
  <si>
    <t>시내교통비</t>
  </si>
  <si>
    <t>택배비</t>
  </si>
  <si>
    <t>Zhang Liang</t>
  </si>
  <si>
    <t>시내</t>
  </si>
  <si>
    <t>사무용픔</t>
  </si>
  <si>
    <t>시내/시외</t>
  </si>
  <si>
    <t>Lin Jie Ting</t>
  </si>
  <si>
    <t>Lin Jie Ting / pc. 모니터</t>
  </si>
  <si>
    <t>주유비</t>
  </si>
  <si>
    <t>Chen Guo Liang</t>
  </si>
  <si>
    <t>주차비</t>
  </si>
  <si>
    <t>톨비</t>
  </si>
  <si>
    <t>Liu Ming Liang</t>
  </si>
  <si>
    <t>김명관</t>
  </si>
  <si>
    <t>Piao Mei Ling</t>
  </si>
  <si>
    <t>사무용품</t>
  </si>
  <si>
    <t>전문법율서비스</t>
  </si>
  <si>
    <t>주재원 주재수당</t>
  </si>
  <si>
    <t>주재원 주택수당</t>
  </si>
  <si>
    <t>보험(주재원/현채인)</t>
  </si>
  <si>
    <t>세금(주재원/현채인)</t>
  </si>
  <si>
    <t>대행수수료</t>
  </si>
  <si>
    <t>현채인 월급</t>
  </si>
  <si>
    <t>FAE (Pan Shi Qiang)</t>
  </si>
  <si>
    <t>보너스</t>
  </si>
  <si>
    <t>보험비(회사납부)
公司缴纳部分合计</t>
  </si>
  <si>
    <t>일비</t>
  </si>
  <si>
    <t>张亮(Zhang Liang)</t>
  </si>
  <si>
    <t>林洁婷 임결정</t>
  </si>
  <si>
    <t>朴美玲 박미령</t>
  </si>
  <si>
    <t>1월 2차 송금</t>
  </si>
  <si>
    <t>▶ 25년 2월 전도금 정산 내역 (심천지사)_4000061 (B2F590)</t>
  </si>
  <si>
    <t>25년 2월 송금_1447.40 (#)</t>
  </si>
  <si>
    <t>2월 송금</t>
  </si>
  <si>
    <t>신순연_사무실 wfi, 통신비</t>
  </si>
  <si>
    <t>Pan Shi Qiang_출장비</t>
  </si>
  <si>
    <t>Pan Shi Qiang_통신비</t>
  </si>
  <si>
    <t>Zhang Liang_시내교통비</t>
  </si>
  <si>
    <t>Zhang Liang_출장비</t>
  </si>
  <si>
    <t>Zhang Liang_통신비</t>
  </si>
  <si>
    <t>Zhang Liang_택배비</t>
  </si>
  <si>
    <t>Zhang Liang_사무용품</t>
  </si>
  <si>
    <t>Lin Jie Ting_시내/시외교통비</t>
  </si>
  <si>
    <t>Lin Jie Ting_통신비</t>
  </si>
  <si>
    <t>Lin Jie Ting_택배비</t>
  </si>
  <si>
    <t>Lin Jie Ting_사무용품비</t>
  </si>
  <si>
    <t>Lin Jie Ting_업무추진비</t>
  </si>
  <si>
    <t>김명관_출장비</t>
  </si>
  <si>
    <t>김명관_업무추진비</t>
  </si>
  <si>
    <t>Piao Mei Ling_업무추진비</t>
  </si>
  <si>
    <t>Piao Mei Ling_통신비</t>
  </si>
  <si>
    <t>Piao Mei Ling_출장비</t>
  </si>
  <si>
    <t>Piao Mei Ling_시내교통비</t>
  </si>
  <si>
    <t>Piao Mei Ling_사무실운영비</t>
  </si>
  <si>
    <t>Chen Guo Liang_주차비</t>
  </si>
  <si>
    <t>Chen Guo Liang_주유비</t>
  </si>
  <si>
    <t>Chen Guo Liang_톨비</t>
  </si>
  <si>
    <t>Liu Ming Liang_톨비</t>
  </si>
  <si>
    <t>Liu Ming Liang_주유비</t>
  </si>
  <si>
    <t>Liu Ming Liang_주차비</t>
  </si>
  <si>
    <t>급여</t>
  </si>
  <si>
    <t>▶ 25년 3월 전도금 정산 내역 (심천지사)_4000061 (B2F590)</t>
  </si>
  <si>
    <t>25년 3월 송금_1,446.30 (#)</t>
  </si>
  <si>
    <t>이자</t>
  </si>
  <si>
    <t>잡이익</t>
  </si>
  <si>
    <t>시내/시외교통비</t>
  </si>
  <si>
    <t>학자금</t>
  </si>
  <si>
    <t>3월 송금</t>
  </si>
  <si>
    <t>사무실 운영비</t>
  </si>
  <si>
    <t>세차비</t>
  </si>
  <si>
    <t>임결정</t>
  </si>
  <si>
    <t>박미령</t>
  </si>
  <si>
    <t>▶ 25년 4월 전도금 정산 내역 (심천지사)_4000061 (B2F590)</t>
  </si>
  <si>
    <t>25년 4월 송금_1,482.90 (#)</t>
  </si>
  <si>
    <t>1분기 기업 소득세</t>
  </si>
  <si>
    <t>4월 송금</t>
  </si>
  <si>
    <t>Pan Shi Qiang_시내교통비</t>
  </si>
  <si>
    <t>Pan Shi Qiang_택배비</t>
  </si>
  <si>
    <t>사무실운영비</t>
  </si>
  <si>
    <t>Chen Guo Liang_주유비_주차비_톨비</t>
  </si>
  <si>
    <t>Liu Ming Liang_주유비_주차비_톨비</t>
  </si>
  <si>
    <t>김명관 프로</t>
  </si>
  <si>
    <t>신순연 프로</t>
  </si>
  <si>
    <t>FAE (Pan Shi Qiang)
7/1 입사
潘世强</t>
  </si>
  <si>
    <t>张亮(Zhang Liang)
23/8/1 입사</t>
  </si>
  <si>
    <t>林洁婷 임결정
23/9/18 입사</t>
  </si>
  <si>
    <t>朴美玲 박미령
23/9/18 입사</t>
  </si>
  <si>
    <t>은행 수수료</t>
  </si>
  <si>
    <t>▶ 25년 5월 전도금 정산 내역 (심천지사)_4000061 (B2F590)</t>
  </si>
  <si>
    <t>25년 5월 송금_1405.60 (#)</t>
  </si>
  <si>
    <t>시내 교통비</t>
  </si>
  <si>
    <t>추진비</t>
  </si>
  <si>
    <t>시내/시외 교통비</t>
  </si>
  <si>
    <t>5월 송금</t>
  </si>
  <si>
    <t>사무실 운영비(24년 회계심사비)</t>
  </si>
  <si>
    <t>24년 회계심사비</t>
  </si>
  <si>
    <t>사무실 운영비(신한은행 이체 프로그램 비용)</t>
  </si>
  <si>
    <t>신한은행 이체 프로그램 비용</t>
  </si>
  <si>
    <t>김명관
수석</t>
  </si>
  <si>
    <t>신순연
책임</t>
  </si>
  <si>
    <t>새차 6월 주차비</t>
  </si>
  <si>
    <t>▶ 00년 00월 전도금 정산 내역 (심천지사)_4000061 (B2F590)</t>
  </si>
  <si>
    <t>00년 00월 송금_1405.60 (#)</t>
  </si>
  <si>
    <t>00년 00월 송금_1358.90 (#)</t>
  </si>
  <si>
    <t>세금과공과</t>
  </si>
  <si>
    <t>시스템 판독</t>
  </si>
  <si>
    <t>출금일자</t>
  </si>
  <si>
    <t>증빙일자</t>
  </si>
  <si>
    <t>증빙번호(FULL)</t>
  </si>
  <si>
    <t>2026-04-30</t>
  </si>
  <si>
    <t>2026-05-06</t>
  </si>
  <si>
    <t>USD입금/RMB환전 CNY 36153.32</t>
  </si>
  <si>
    <t>심천지사</t>
  </si>
  <si>
    <t>X</t>
  </si>
  <si>
    <t>전도금 입금</t>
  </si>
  <si>
    <t>✅ 입금 확인 (USD: 5226.93 / 환산요율: 6.93 / 수수료 USD: 10)
파표 외 영수증</t>
  </si>
  <si>
    <t>USD입금/RMB환전 수수료 USD 10</t>
  </si>
  <si>
    <t>2026-05-18</t>
  </si>
  <si>
    <t>USD입금/RMB환전 CNY 402839.04</t>
  </si>
  <si>
    <t>✅ 입금 확인 (USD: 59269.52 / 환산요율: 6.7996 / 수수료 USD: 25)
파표 외 영수증</t>
  </si>
  <si>
    <t>USD입금/RMB환전 수수료 USD 25</t>
  </si>
  <si>
    <t>2026-05-12</t>
  </si>
  <si>
    <t>2026-05-03</t>
  </si>
  <si>
    <t>26952000001805357341</t>
  </si>
  <si>
    <t>✅ 금액 일치</t>
  </si>
  <si>
    <t>26952000001805650846</t>
  </si>
  <si>
    <t>[⚠️ 금액 불일치 (이체 5,680.95 / 영수증 26,072.78)]
파표 회사코드 불일치/누락</t>
  </si>
  <si>
    <t>26952000001805651776</t>
  </si>
  <si>
    <t>파표 회사코드 불일치/누락</t>
  </si>
  <si>
    <t>26952000001805065096</t>
  </si>
  <si>
    <t>26952000001805951821</t>
  </si>
  <si>
    <t>26952000001805218291</t>
  </si>
  <si>
    <t>[⚠️ 금액 불일치 (이체 1,019.60 / 영수증 9,058.00)]</t>
  </si>
  <si>
    <t>26952000001838818096</t>
  </si>
  <si>
    <t>세무 대행비</t>
  </si>
  <si>
    <t>26952000001839468886</t>
  </si>
  <si>
    <t>2026-05-21</t>
  </si>
  <si>
    <t>26952000002085925876</t>
  </si>
  <si>
    <t>3월 사무실 전기세</t>
  </si>
  <si>
    <t>26952000002085292786</t>
  </si>
  <si>
    <t>교통비</t>
  </si>
  <si>
    <t>[⚠️ 금액 불일치 (이체 8,707.90 / 영수증 9,353.40)]
파표 외 영수증</t>
  </si>
  <si>
    <t>26952000002080236721</t>
  </si>
  <si>
    <t>26952000002080364596</t>
  </si>
  <si>
    <t>26952000002079537391</t>
  </si>
  <si>
    <t>[⚠️ 금액 불일치 (이체 16,850.00 / 영수증 5,140.28)]</t>
  </si>
  <si>
    <t>2026-05-19</t>
  </si>
  <si>
    <t>[⚠️ 금액 불일치 (이체 89.25 / 영수증 0.00)]</t>
  </si>
  <si>
    <t>2026-05-23</t>
  </si>
  <si>
    <t>[⚠️ 금액 불일치 (이체 17.00 / 영수증 0.00)]</t>
  </si>
  <si>
    <t>[⚠️ 금액 불일치 (이체 13.00 / 영수증 0.00)]</t>
  </si>
  <si>
    <t>⚠️ 금액 불일치 (이체 5,432.35 / 영수증 22,105.93)
✅ 수동 정정 및 검증완료</t>
  </si>
  <si>
    <t>[⚠️ 금액 불일치 (이체 5,432.35 / 영수증 22,105.93)]</t>
  </si>
  <si>
    <t>2026-04-23</t>
  </si>
  <si>
    <t>02971103</t>
  </si>
  <si>
    <t>深埔市综团瑞会工淀装有限公司司</t>
  </si>
  <si>
    <t>Chen Feng Ju</t>
  </si>
  <si>
    <t>2026-04-24</t>
  </si>
  <si>
    <t>26957000000111397399</t>
  </si>
  <si>
    <t>2026-04-28</t>
  </si>
  <si>
    <t>26957000000113572716</t>
  </si>
  <si>
    <t>06911008</t>
  </si>
  <si>
    <t>广州市人民商广设份有际公司电话84356163</t>
  </si>
  <si>
    <t>2026-05-01</t>
  </si>
  <si>
    <t>26957000000115325725</t>
  </si>
  <si>
    <t>2026-05-08</t>
  </si>
  <si>
    <t>26957000000123052708</t>
  </si>
  <si>
    <t>2026-05-14</t>
  </si>
  <si>
    <t>26957000000128763467</t>
  </si>
  <si>
    <t>2026-05-16</t>
  </si>
  <si>
    <t>03280880</t>
  </si>
  <si>
    <t>汉圳中汉国鸿区公限有限公司司</t>
  </si>
  <si>
    <t>[⚠️ 금액 불일치 (이체 3,981.00 / 영수증 144,032,503,165.01)]
파표 회사코드 불일치/누락</t>
  </si>
  <si>
    <t>26957000000133561421</t>
  </si>
  <si>
    <t>2026-05-20</t>
  </si>
  <si>
    <t>26447000001045829301</t>
  </si>
  <si>
    <t>07286132</t>
  </si>
  <si>
    <t>广州市人房的话万股份有限公司电话84356163</t>
  </si>
  <si>
    <t>08126257</t>
  </si>
  <si>
    <t>限公司</t>
  </si>
  <si>
    <t>2026-05-13</t>
  </si>
  <si>
    <t>은행 거래</t>
  </si>
  <si>
    <t>[⚠️ 금액 불일치 (이체 300.00 / 영수증 68,977.76)]</t>
  </si>
  <si>
    <t>1626-04-21</t>
  </si>
  <si>
    <t>08038258</t>
  </si>
  <si>
    <t>2026-04-18</t>
  </si>
  <si>
    <t>08132551</t>
  </si>
  <si>
    <t>州市人民印段份有限公司电话84356163</t>
  </si>
  <si>
    <t>2026-04-22</t>
  </si>
  <si>
    <t>26952000001632583651</t>
  </si>
  <si>
    <t>[⚠️ 금액 불일치 (이체 467.76 / 영수증 41,117.76)]</t>
  </si>
  <si>
    <t>26952000001673283841</t>
  </si>
  <si>
    <t>[⚠️ 금액 불일치 (이체 20,000.00 / 영수증 0.00)]</t>
  </si>
  <si>
    <t>26952000001729520896</t>
  </si>
  <si>
    <t>[⚠️ 금액 불일치 (이체 1,010.00 / 영수증 0.00)]</t>
  </si>
  <si>
    <t>08107525</t>
  </si>
  <si>
    <t>股份商股公司电话84356183</t>
  </si>
  <si>
    <t>[⚠️ 금액 불일치 (이체 39,640.00 / 영수증 0.00)]
파표 회사코드 불일치/누락</t>
  </si>
  <si>
    <t>2026-05-07</t>
  </si>
  <si>
    <t>26952000001846009801</t>
  </si>
  <si>
    <t>2026-05-09</t>
  </si>
  <si>
    <t>26952000001884635761</t>
  </si>
  <si>
    <t>26957000000012574294</t>
  </si>
  <si>
    <t>26952000001999736761</t>
  </si>
  <si>
    <t>26952000002014132306</t>
  </si>
  <si>
    <t>[⚠️ 금액 불일치 (이체 5,680.95 / 영수증 26,072.78)]</t>
  </si>
  <si>
    <t>03532131</t>
  </si>
  <si>
    <t>08120316</t>
  </si>
  <si>
    <t>[⚠️ 금액 불일치 (이체 42.00 / 영수증 313,544.15)]</t>
  </si>
  <si>
    <t>26442000005476733326</t>
  </si>
  <si>
    <t>숙박비</t>
  </si>
  <si>
    <t>Lin Wei Jian</t>
  </si>
  <si>
    <t>26442000005476782076</t>
  </si>
  <si>
    <t>26442000005476829266</t>
  </si>
  <si>
    <t>26442000005476838596</t>
  </si>
  <si>
    <t>[⚠️ 금액 불일치 (이체 2,513.00 / 영수증 31,316.00)]</t>
  </si>
  <si>
    <t>톨비/주차비</t>
  </si>
  <si>
    <t>파표 외 영수증</t>
  </si>
  <si>
    <t>26957000000133687853</t>
  </si>
  <si>
    <t>26447000001043120863</t>
  </si>
  <si>
    <t>26957000000126357089</t>
  </si>
  <si>
    <t>26957000000122329403</t>
  </si>
  <si>
    <t>[⚠️ 금액 불일치 (이체 1,010.00 / 영수증 0.00)]
✅ 통신비 - 파표 회사코드 X</t>
  </si>
  <si>
    <t>2026-05-22</t>
  </si>
  <si>
    <t>[⚠️ 금액 불일치 (이체 39,640.00 / 영수증 0.00)]
파표 외 영수증</t>
  </si>
  <si>
    <t>[⚠️ 금액 불일치 (이체 5,432.35 / 영수증 22,105.93)]
파표 외 영수증</t>
  </si>
  <si>
    <t>[⚠️ 금액 불일치 (이체 400.00 / 영수증 1,669.16)]</t>
  </si>
  <si>
    <t>08102095</t>
  </si>
  <si>
    <t>26957000000133562950</t>
  </si>
  <si>
    <t>26952000002041067926</t>
  </si>
  <si>
    <t>26952000002043946231</t>
  </si>
  <si>
    <t>26952000002053900981</t>
  </si>
  <si>
    <t>26952000002054</t>
  </si>
  <si>
    <t>26952000002053340401</t>
  </si>
  <si>
    <t>26952000002053339156</t>
  </si>
  <si>
    <t>269520002053338481</t>
  </si>
  <si>
    <t>[⚠️ 금액 불일치 (이체 4,410.89 / 영수증 3,496.56)]</t>
  </si>
  <si>
    <t>26952000002054045131</t>
  </si>
  <si>
    <t>08120848</t>
  </si>
  <si>
    <t>广N市人居印剧贸份有限公司电话：84366163</t>
  </si>
  <si>
    <t>01852093</t>
  </si>
  <si>
    <t>08081762</t>
  </si>
  <si>
    <t>广州南人民印别门段份询总公司电话84366163</t>
  </si>
  <si>
    <t>[⚠️ 금액 불일치 (이체 2,513.00 / 영수증 31,316.00)]
파표 회사코드 불일치/누락</t>
  </si>
  <si>
    <t>2026-05-71</t>
  </si>
  <si>
    <t>2026-01-23</t>
  </si>
  <si>
    <t>26312000002476547716</t>
  </si>
  <si>
    <t>2026-04-25</t>
  </si>
  <si>
    <t>26952000001696145161</t>
  </si>
  <si>
    <t>외주 운영비</t>
  </si>
  <si>
    <t>[⚠️ 금액 불일치 (이체 39,640.00 / 영수증 0.00)]</t>
  </si>
  <si>
    <t>26952000001781379766</t>
  </si>
  <si>
    <t>택배비/운송비</t>
  </si>
  <si>
    <t>2026-05-04</t>
  </si>
  <si>
    <t>26952000001814848021</t>
  </si>
  <si>
    <t>사무실 서비스 비용</t>
  </si>
  <si>
    <t>[⚠️ 금액 불일치 (이체 8,707.90 / 영수증 9,353.40)]</t>
  </si>
  <si>
    <t>26117000000654407318</t>
  </si>
  <si>
    <t>26952000001867172461</t>
  </si>
  <si>
    <t>26952000001960184476</t>
  </si>
  <si>
    <t>[⚠️ 금액 불일치 (이체 2,330.00 / 영수증 5,565.60)]</t>
  </si>
  <si>
    <t>26952000001978887781</t>
  </si>
  <si>
    <t>26957000000136899325</t>
  </si>
  <si>
    <t>26447000001061761034</t>
  </si>
  <si>
    <t>26507000000175420296</t>
  </si>
  <si>
    <t>26507000000171521627</t>
  </si>
  <si>
    <t>[⚠️ 금액 불일치 (이체 460.00 / 영수증 3,178.00)]</t>
  </si>
  <si>
    <t>2026-04-21</t>
  </si>
  <si>
    <t>26447200000014827283</t>
  </si>
  <si>
    <t>Xiong Feng</t>
  </si>
  <si>
    <t>26957000000108877455</t>
  </si>
  <si>
    <t>14701684</t>
  </si>
  <si>
    <t>26327000000754905927</t>
  </si>
  <si>
    <t>26317000001429751638</t>
  </si>
  <si>
    <t>26327000000757192518</t>
  </si>
  <si>
    <t>[⚠️ 금액 불일치 (이체 3,981.00 / 영수증 144,032,503,165.01)]</t>
  </si>
  <si>
    <t>26327000000732719150</t>
  </si>
  <si>
    <t>2026-04-27</t>
  </si>
  <si>
    <t>17861105</t>
  </si>
  <si>
    <t>深圳市西湖股份有限公司</t>
  </si>
  <si>
    <t>[⚠️ 금액 불일치 (이체 1,010.00 / 영수증 0.00)]
파표 회사코드 불일치/누락</t>
  </si>
  <si>
    <t>26447000000909839619</t>
  </si>
  <si>
    <t>26342000001323510781</t>
  </si>
  <si>
    <t>26317000001496736915</t>
  </si>
  <si>
    <t>26317000001510335864</t>
  </si>
  <si>
    <t>26317000001510384089</t>
  </si>
  <si>
    <t>항공권</t>
  </si>
  <si>
    <t>26317000001510335865</t>
  </si>
  <si>
    <t>26957000000122647918</t>
  </si>
  <si>
    <t>✅ 통신비 - 파표 회사코드 X</t>
  </si>
  <si>
    <t>26447000000976649460</t>
  </si>
  <si>
    <t>26952000001894616011</t>
  </si>
  <si>
    <t>11497508</t>
  </si>
  <si>
    <t>26952000001945358746</t>
  </si>
  <si>
    <t>[⚠️ 금액 불일치 (이체 6,525.46 / 영수증 6,126.83)]</t>
  </si>
  <si>
    <t>2021-03-30</t>
  </si>
  <si>
    <t>00033215</t>
  </si>
  <si>
    <t>2022-07-20</t>
  </si>
  <si>
    <t>00352075</t>
  </si>
  <si>
    <t>2026-04-04</t>
  </si>
  <si>
    <t>26442000003677468026</t>
  </si>
  <si>
    <t>2026-04-10</t>
  </si>
  <si>
    <t>26327000000676733241</t>
  </si>
  <si>
    <t>26327000000676733477</t>
  </si>
  <si>
    <t>26317000001317360092</t>
  </si>
  <si>
    <t>출장비(4월분)</t>
  </si>
  <si>
    <t>26327000000676733478</t>
  </si>
  <si>
    <t>26327000000676522901</t>
  </si>
  <si>
    <t>26317000001317359300</t>
  </si>
  <si>
    <t>26327000000676522902</t>
  </si>
  <si>
    <t>2026-04-11</t>
  </si>
  <si>
    <t>26342000001096424971</t>
  </si>
  <si>
    <t>[⚠️ 금액 불일치 (이체 8,707.90 / 영수증 9,353.40)]
파표 회사코드 불일치/누락</t>
  </si>
  <si>
    <t>26127000000201893757</t>
  </si>
  <si>
    <t>26342000001096559191</t>
  </si>
  <si>
    <t>[⚠️ 금액 불일치 (이체 255.00 / 영수증 7,854.69)]</t>
  </si>
  <si>
    <t>26342000001096276486</t>
  </si>
  <si>
    <t>2026-04-12</t>
  </si>
  <si>
    <t>26349266839000008851</t>
  </si>
  <si>
    <t>10.5公司</t>
  </si>
  <si>
    <t>2026-04-15</t>
  </si>
  <si>
    <t>15750442</t>
  </si>
  <si>
    <t>26349166839000126523</t>
  </si>
  <si>
    <t>26329116804003975267</t>
  </si>
  <si>
    <t>[⚠️ 금액 불일치 (이체 4,410.89 / 영수증 3,496.56)]
파표 회사코드 불일치/누락</t>
  </si>
  <si>
    <t>26117000000578641690</t>
  </si>
  <si>
    <t>[⚠️ 금액 불일치 (이체 6,525.46 / 영수증 706,959.05)]</t>
  </si>
  <si>
    <t>2026-04-20</t>
  </si>
  <si>
    <t>26342000001199975986</t>
  </si>
  <si>
    <t>26342000001200100906</t>
  </si>
  <si>
    <t>26342000001200791416</t>
  </si>
  <si>
    <t>26952000001852494586</t>
  </si>
  <si>
    <t>인도네시아 비자</t>
  </si>
  <si>
    <t>26447000001013940603</t>
  </si>
  <si>
    <t>26517000000379213875</t>
  </si>
  <si>
    <t>26127000000249901867</t>
  </si>
  <si>
    <t>26327000000907625234</t>
  </si>
  <si>
    <t>26957000000129309971</t>
  </si>
  <si>
    <t>[⚠️ 금액 불일치 (이체 350.00 / 영수증 7,133.87)]</t>
  </si>
  <si>
    <t>26217000000221255761</t>
  </si>
  <si>
    <t>26957000000132900553</t>
  </si>
  <si>
    <t>✅ 금액 일치
파표 외 영수증</t>
  </si>
  <si>
    <t>00822507</t>
  </si>
  <si>
    <t>03851759</t>
  </si>
  <si>
    <t>01506005</t>
  </si>
  <si>
    <t>30612026</t>
  </si>
  <si>
    <t>[⚠️ 금액 불일치 (이체 52.00 / 영수증 16,746.88)]</t>
  </si>
  <si>
    <t>2028-04-22</t>
  </si>
  <si>
    <t>2026-03-27</t>
  </si>
  <si>
    <t>26957000000088330132</t>
  </si>
  <si>
    <t>권유석</t>
  </si>
  <si>
    <t>26952000001248014821</t>
  </si>
  <si>
    <t>2026-04-02</t>
  </si>
  <si>
    <t>26957000000094084418</t>
  </si>
  <si>
    <t>2026-04-08</t>
  </si>
  <si>
    <t>26422000001230721426</t>
  </si>
  <si>
    <t>26317000001319072897</t>
  </si>
  <si>
    <t>26427000000337857430</t>
  </si>
  <si>
    <t>26429165800001927437</t>
  </si>
  <si>
    <t>26429265800000124118</t>
  </si>
  <si>
    <t>26512000001648428061</t>
  </si>
  <si>
    <t>26512000001656099736</t>
  </si>
  <si>
    <t>26512000001664159011</t>
  </si>
  <si>
    <t>26517000000319744335</t>
  </si>
  <si>
    <t>26317000001431759804</t>
  </si>
  <si>
    <t>26317000001431759795</t>
  </si>
  <si>
    <t>26427000000361776592</t>
  </si>
  <si>
    <t>26427000000361776593</t>
  </si>
  <si>
    <t>2026-05-05</t>
  </si>
  <si>
    <t>26957000000118125762</t>
  </si>
  <si>
    <t>[⚠️ 금액 불일치 (이체 19,434.91 / 영수증 21,742.74)]
✅ 통신비 - 파표 회사코드 X</t>
  </si>
  <si>
    <t>2026-04-01</t>
  </si>
  <si>
    <t>2026-04-05</t>
  </si>
  <si>
    <t>2026-04-19</t>
  </si>
  <si>
    <t>2026-03-23</t>
  </si>
  <si>
    <t>26117000000401034692</t>
  </si>
  <si>
    <t>[⚠️ 금액 불일치 (이체 300.00 / 영수증 67,931.97)]
파표 회사코드 불일치/누락</t>
  </si>
  <si>
    <t>26117000000401034691</t>
  </si>
  <si>
    <t>26317000001010657994</t>
  </si>
  <si>
    <t>2026-03-25</t>
  </si>
  <si>
    <t>26117000000401066728</t>
  </si>
  <si>
    <t>26427000000307243669</t>
  </si>
  <si>
    <t>26117000000401066746</t>
  </si>
  <si>
    <t>26502000000538619866</t>
  </si>
  <si>
    <t>2026-04-07</t>
  </si>
  <si>
    <t>26117000000470233221</t>
  </si>
  <si>
    <t>✅ 금액 일치
파표 회사코드 불일치/누락</t>
  </si>
  <si>
    <t>26427000000331669205</t>
  </si>
  <si>
    <t>26117000000470233192</t>
  </si>
  <si>
    <t>26422000001231437571</t>
  </si>
  <si>
    <t>26429165800001927396</t>
  </si>
  <si>
    <t>2026-04-13</t>
  </si>
  <si>
    <t>26117000000493962743</t>
  </si>
  <si>
    <t>26117000000493962705</t>
  </si>
  <si>
    <t>26317000001323481093</t>
  </si>
  <si>
    <t>2026-04-14</t>
  </si>
  <si>
    <t>26117000000493987781</t>
  </si>
  <si>
    <t>26117000000493987786</t>
  </si>
  <si>
    <t>2026-05-15</t>
  </si>
  <si>
    <t>26957000000127578580</t>
  </si>
  <si>
    <t>[⚠️ 금액 불일치 (이체 19,434.91 / 영수증 21,742.74)]</t>
  </si>
  <si>
    <t>2026-04-06</t>
  </si>
  <si>
    <t>26447000000752825388</t>
  </si>
  <si>
    <t>2642200001226295796</t>
  </si>
  <si>
    <t>26422000001246321831</t>
  </si>
  <si>
    <t>2026-04-09</t>
  </si>
  <si>
    <t>26422000001257246811</t>
  </si>
  <si>
    <t>2026-04-17</t>
  </si>
  <si>
    <t>2695200001570831321</t>
  </si>
  <si>
    <t>26117000000586132067</t>
  </si>
  <si>
    <t>26957000000110591134</t>
  </si>
  <si>
    <t>26957000000120164020</t>
  </si>
  <si>
    <t>26957000000120859438</t>
  </si>
  <si>
    <t>26957000000120859418</t>
  </si>
  <si>
    <t>26957000000132096059</t>
  </si>
  <si>
    <t>26117000000699770083</t>
  </si>
  <si>
    <t>26952000002022353491</t>
  </si>
  <si>
    <t>26957000000132751348</t>
  </si>
  <si>
    <t>26957000000132580133</t>
  </si>
  <si>
    <t>14485011</t>
  </si>
  <si>
    <t>2026-05-17</t>
  </si>
  <si>
    <t>▶ 업무추진비 사용 내역</t>
  </si>
  <si>
    <t>NO</t>
  </si>
  <si>
    <t>정산일자</t>
  </si>
  <si>
    <t>사용일자</t>
  </si>
  <si>
    <t>사용자</t>
  </si>
  <si>
    <t>사용처</t>
  </si>
  <si>
    <t>사용금액</t>
  </si>
  <si>
    <t>사용목적(상세 기재)</t>
  </si>
  <si>
    <t>고객명</t>
  </si>
  <si>
    <t>참석자</t>
  </si>
  <si>
    <t>KRW</t>
  </si>
  <si>
    <t>고객</t>
  </si>
  <si>
    <t>DBGC</t>
  </si>
  <si>
    <t>xiongfeng</t>
  </si>
  <si>
    <t>大师兄餐饮</t>
  </si>
  <si>
    <t>Have coffee with SDPC</t>
  </si>
  <si>
    <t>SDPC</t>
  </si>
  <si>
    <t>魏慧</t>
  </si>
  <si>
    <t>xiongfeng/金总</t>
  </si>
  <si>
    <t>星巴克</t>
  </si>
  <si>
    <t>Coffee with CSOT</t>
  </si>
  <si>
    <t>CSOT</t>
  </si>
  <si>
    <t>裴娟实</t>
  </si>
  <si>
    <t>星莹美食店</t>
  </si>
  <si>
    <t>Lunch with CSOT</t>
  </si>
  <si>
    <t>裴娟实/彩霞</t>
  </si>
  <si>
    <t>萍乡土菜</t>
  </si>
  <si>
    <t>Lunch with FITI</t>
  </si>
  <si>
    <t>牛佳兴</t>
  </si>
  <si>
    <t>晶东</t>
  </si>
  <si>
    <t>고객 업무 추진 및 CRM 유지</t>
  </si>
  <si>
    <t>Li Xiang Yu</t>
  </si>
  <si>
    <t>-</t>
  </si>
  <si>
    <t>郭老二</t>
  </si>
  <si>
    <t>TianMa</t>
  </si>
  <si>
    <t>Mason전문가, Eddie전문가</t>
  </si>
  <si>
    <t>고재홍 상무, 최상신 전문위원, 김기일 프로, 박상현 프로, 황대욱 프로, 변승찬 프로, 권유석 지사장, 김명관 프로, 신순연 프로</t>
  </si>
  <si>
    <t>韩庭</t>
  </si>
  <si>
    <t>고재홍 상무, 최상신 전문위원, 김기일 프로, 박상현 프로, 황대욱 프로, 변승찬 프로, 신순연 프로</t>
  </si>
  <si>
    <t>鱼头泡饭</t>
  </si>
  <si>
    <t>Pan Xiao Dong과장</t>
  </si>
  <si>
    <t>京华楼</t>
  </si>
  <si>
    <t>Nate전문가</t>
  </si>
  <si>
    <t>권유석 지사장, 이상태 프로, 박미령 프로, Xiong Feng프로, 신순연 프로</t>
  </si>
  <si>
    <t>河坝</t>
  </si>
  <si>
    <t>Liu Kai Yu, Jiang Song Lin(대리점)</t>
  </si>
  <si>
    <t>Zhang Liang, Lin Wei Jian, 신순연</t>
  </si>
  <si>
    <t>3월26일</t>
  </si>
  <si>
    <t>스.벅</t>
  </si>
  <si>
    <t>음료</t>
  </si>
  <si>
    <t>조달구매</t>
  </si>
  <si>
    <t>권유석/정겨운</t>
  </si>
  <si>
    <t>소풍</t>
  </si>
  <si>
    <t>석식</t>
  </si>
  <si>
    <t>3월31일</t>
  </si>
  <si>
    <t>홍콩반점</t>
  </si>
  <si>
    <t>SDC</t>
  </si>
  <si>
    <t>구매(신우철 부장)</t>
  </si>
  <si>
    <t>4월2일</t>
  </si>
  <si>
    <t>세븐일레븐</t>
  </si>
  <si>
    <t>영업/KA</t>
  </si>
  <si>
    <t>권유석/신순연</t>
  </si>
  <si>
    <t>4월3일</t>
  </si>
  <si>
    <t>BOE</t>
  </si>
  <si>
    <t>김문청 사장</t>
  </si>
  <si>
    <t>4월17일</t>
  </si>
  <si>
    <t>김청길 사장(MTK 대리점)</t>
  </si>
  <si>
    <t>4월21일</t>
  </si>
  <si>
    <t>전통 찻집</t>
  </si>
  <si>
    <t>ESWIN</t>
  </si>
  <si>
    <t>구매 책임자/담당자</t>
  </si>
  <si>
    <t>订餐卡</t>
  </si>
  <si>
    <t>중식</t>
  </si>
  <si>
    <t>스타벅스</t>
  </si>
  <si>
    <t>PIAO MEILING</t>
  </si>
  <si>
    <t>同盛餐饮</t>
  </si>
  <si>
    <t>CSOT 업무 추진</t>
  </si>
  <si>
    <t>Liu Wei, Yu Han</t>
  </si>
  <si>
    <t>爱人餐饮</t>
  </si>
  <si>
    <t>Fan Xiankun, Yu Han</t>
  </si>
  <si>
    <t>zhangliang</t>
  </si>
  <si>
    <t>SDPC便利店</t>
  </si>
  <si>
    <t>SDPC업무 추진</t>
  </si>
  <si>
    <t>孙志强</t>
  </si>
  <si>
    <t>印尼餐厅</t>
  </si>
  <si>
    <t>HKC업무 추진</t>
  </si>
  <si>
    <t>HKC</t>
  </si>
  <si>
    <t>DK Park、Eddie等</t>
  </si>
  <si>
    <t>zhangliang、shenshunyan</t>
  </si>
  <si>
    <t>H1水果店</t>
  </si>
  <si>
    <t>费如涵、陈杰</t>
  </si>
  <si>
    <t>chen guo liang</t>
  </si>
  <si>
    <t>chen feng jun</t>
  </si>
  <si>
    <t>일자</t>
  </si>
  <si>
    <t>내용</t>
  </si>
  <si>
    <t>인원</t>
  </si>
  <si>
    <t>시간</t>
  </si>
  <si>
    <t>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</si>
</sst>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₩&quot;#,##0;\-&quot;₩&quot;#,##0"/>
    <numFmt numFmtId="41" formatCode="_-* #,##0_-;\-* #,##0_-;_-* &quot;-&quot;_-;_-@_-"/>
    <numFmt numFmtId="43" formatCode="_-* #,##0.00_-;\-* #,##0.00_-;_-* &quot;-&quot;??_-;_-@_-"/>
    <numFmt numFmtId="25" formatCode="\$#,##0.00_);\(\$#,##0.00\)"/>
    <numFmt numFmtId="176" formatCode="0_);[Red]\(0\)"/>
    <numFmt numFmtId="177" formatCode="m&quot;/&quot;d;@"/>
    <numFmt numFmtId="178" formatCode="_-* #,##0.00_-;\-* #,##0.00_-;_-* &quot;-&quot;_-;_-@_-"/>
    <numFmt numFmtId="179" formatCode="[$¥-804]#,##0.00"/>
    <numFmt numFmtId="180" formatCode="#,##0.00_ "/>
    <numFmt numFmtId="181" formatCode="#,##0.0000_ "/>
    <numFmt numFmtId="182" formatCode="_-* #,##0.0000_-;\-* #,##0.0000_-;_-* &quot;-&quot;_-;_-@_-"/>
    <numFmt numFmtId="183" formatCode="yyyy&quot;-&quot;m&quot;-&quot;d;@"/>
    <numFmt numFmtId="184" formatCode="_-* #,##0.0_-;\-* #,##0.0_-;_-* &quot;-&quot;_-;_-@_-"/>
    <numFmt numFmtId="185" formatCode="0.00_ "/>
    <numFmt numFmtId="186" formatCode="#,##0.00_);[Red]\(#,##0.00\)"/>
    <numFmt numFmtId="187" formatCode="mm&quot;월&quot;\ dd&quot;일&quot;"/>
    <numFmt numFmtId="188" formatCode="_-* #,##0.000_-;\-* #,##0.000_-;_-* &quot;-&quot;_-;_-@_-"/>
    <numFmt numFmtId="189" formatCode="0.000000000"/>
    <numFmt numFmtId="190" formatCode="#,##0.00000_ "/>
    <numFmt numFmtId="191" formatCode="_ * #,##0.00_ ;_ * \-#,##0.00_ ;_ * &quot;-&quot;??_ ;_ @_ "/>
    <numFmt numFmtId="192" formatCode="_ * #,##0_ ;_ * \-#,##0_ ;_ * &quot;-&quot;_ ;_ @_ "/>
  </numFmts>
  <fonts count="6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name val="宋体"/>
      <family val="3"/>
      <charset val="134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rgb="FF0070C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3" tint="-0.249977111117893"/>
      <name val="맑은 고딕"/>
      <family val="3"/>
      <charset val="129"/>
      <scheme val="major"/>
    </font>
    <font>
      <sz val="10"/>
      <color indexed="8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sz val="9"/>
      <color theme="6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Malgun Gothic"/>
      <family val="2"/>
    </font>
    <font>
      <sz val="10"/>
      <color theme="1"/>
      <name val="Malgun Gothic"/>
      <family val="2"/>
    </font>
    <font>
      <sz val="9"/>
      <name val="Malgun Gothic"/>
      <family val="2"/>
    </font>
    <font>
      <sz val="10"/>
      <name val="Malgun Gothic"/>
      <family val="2"/>
    </font>
    <font>
      <sz val="9"/>
      <name val="맑은 고딕"/>
      <family val="3"/>
      <scheme val="major"/>
    </font>
    <font>
      <sz val="9"/>
      <color theme="0"/>
      <name val="맑은 고딕"/>
      <family val="3"/>
      <scheme val="major"/>
    </font>
    <font>
      <sz val="9"/>
      <color theme="1"/>
      <name val="맑은 고딕"/>
      <family val="3"/>
      <scheme val="major"/>
    </font>
    <font>
      <sz val="9"/>
      <color rgb="FFFF0000"/>
      <name val="맑은 고딕"/>
      <family val="3"/>
      <scheme val="major"/>
    </font>
    <font>
      <b/>
      <sz val="9"/>
      <color theme="1"/>
      <name val="맑은 고딕"/>
      <family val="3"/>
      <scheme val="major"/>
    </font>
    <font>
      <sz val="11"/>
      <color theme="1"/>
      <name val="맑은 고딕"/>
      <family val="3"/>
      <charset val="134"/>
      <scheme val="minor"/>
    </font>
    <font>
      <b/>
      <sz val="9"/>
      <color theme="0" tint="-4.9989318521683403E-2"/>
      <name val="맑은 고딕"/>
      <family val="3"/>
      <charset val="129"/>
      <scheme val="major"/>
    </font>
    <font>
      <sz val="9"/>
      <color theme="1"/>
      <name val="Malgun Gothic"/>
      <family val="2"/>
      <charset val="134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1"/>
      <color theme="1"/>
      <name val="Malgun Gothic"/>
      <family val="3"/>
      <charset val="129"/>
    </font>
    <font>
      <b/>
      <sz val="13"/>
      <color theme="1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b/>
      <sz val="10"/>
      <color theme="0"/>
      <name val="Malgun Gothic Semilight"/>
      <family val="2"/>
      <charset val="134"/>
    </font>
    <font>
      <sz val="10"/>
      <name val="Malgun Gothic Semilight"/>
      <family val="2"/>
      <charset val="134"/>
    </font>
    <font>
      <sz val="10"/>
      <color theme="1"/>
      <name val="Malgun Gothic"/>
      <family val="2"/>
      <charset val="129"/>
    </font>
    <font>
      <sz val="9"/>
      <name val="Malgun Gothic Semilight"/>
      <family val="2"/>
      <charset val="134"/>
    </font>
    <font>
      <sz val="9"/>
      <color theme="0"/>
      <name val="Malgun Gothic Semilight"/>
      <family val="2"/>
      <charset val="134"/>
    </font>
    <font>
      <sz val="9"/>
      <color theme="1"/>
      <name val="Malgun Gothic Semilight"/>
      <family val="2"/>
      <charset val="134"/>
    </font>
    <font>
      <sz val="9"/>
      <color rgb="FFFF0000"/>
      <name val="Malgun Gothic Semilight"/>
      <family val="2"/>
      <charset val="134"/>
    </font>
    <font>
      <b/>
      <sz val="9"/>
      <color theme="1"/>
      <name val="Malgun Gothic Semilight"/>
      <family val="2"/>
      <charset val="134"/>
    </font>
    <font>
      <b/>
      <sz val="9"/>
      <color theme="0"/>
      <name val="Malgun Gothic Semilight"/>
      <family val="2"/>
      <charset val="134"/>
    </font>
    <font>
      <b/>
      <sz val="9"/>
      <color rgb="FF0070C0"/>
      <name val="Malgun Gothic Semilight"/>
      <family val="2"/>
      <charset val="134"/>
    </font>
    <font>
      <b/>
      <sz val="9"/>
      <color theme="0" tint="-4.9989318521683403E-2"/>
      <name val="Malgun Gothic Semilight"/>
      <family val="2"/>
      <charset val="134"/>
    </font>
    <font>
      <sz val="9"/>
      <color theme="6"/>
      <name val="Malgun Gothic Semilight"/>
      <family val="2"/>
      <charset val="134"/>
    </font>
    <font>
      <b/>
      <sz val="9"/>
      <color theme="3" tint="-0.249977111117893"/>
      <name val="Malgun Gothic Semilight"/>
      <family val="2"/>
      <charset val="134"/>
    </font>
    <font>
      <b/>
      <sz val="9"/>
      <name val="Malgun Gothic Semilight"/>
      <family val="2"/>
      <charset val="134"/>
    </font>
    <font>
      <sz val="10"/>
      <color theme="1"/>
      <name val="宋体"/>
      <family val="2"/>
      <charset val="134"/>
    </font>
    <font>
      <sz val="10"/>
      <color theme="1"/>
      <name val="Malgun Gothic"/>
      <family val="2"/>
      <charset val="134"/>
    </font>
    <font>
      <sz val="11"/>
      <color theme="1"/>
      <name val="Malgun Gothic"/>
      <family val="2"/>
      <charset val="129"/>
    </font>
    <font>
      <b/>
      <sz val="9"/>
      <name val="Malgun Gothic Semilight"/>
      <family val="3"/>
      <charset val="129"/>
    </font>
    <font>
      <sz val="11"/>
      <color rgb="FFFF0000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rgb="FFFFCCCC"/>
        <bgColor rgb="FFFFCCCC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medium">
        <color auto="1"/>
      </left>
      <right style="thin">
        <color theme="0" tint="-0.1498764000366222"/>
      </right>
      <top style="thin">
        <color theme="0" tint="-0.1498764000366222"/>
      </top>
      <bottom style="medium">
        <color auto="1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medium">
        <color auto="1"/>
      </bottom>
      <diagonal/>
    </border>
    <border>
      <left style="thin">
        <color theme="0" tint="-0.1498764000366222"/>
      </left>
      <right style="medium">
        <color auto="1"/>
      </right>
      <top style="thin">
        <color theme="0" tint="-0.1498764000366222"/>
      </top>
      <bottom style="medium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565">
    <xf numFmtId="0" fontId="0" fillId="0" borderId="0">
      <alignment vertical="center"/>
    </xf>
    <xf numFmtId="41" fontId="2" fillId="0" borderId="0">
      <alignment vertical="center"/>
    </xf>
    <xf numFmtId="0" fontId="6" fillId="0" borderId="0"/>
    <xf numFmtId="0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3" fillId="0" borderId="0"/>
    <xf numFmtId="0" fontId="18" fillId="0" borderId="0">
      <alignment vertical="center"/>
    </xf>
    <xf numFmtId="41" fontId="2" fillId="0" borderId="0">
      <alignment vertical="center"/>
    </xf>
    <xf numFmtId="41" fontId="18" fillId="0" borderId="0">
      <alignment vertical="center"/>
    </xf>
    <xf numFmtId="0" fontId="18" fillId="0" borderId="0">
      <alignment vertical="center"/>
    </xf>
    <xf numFmtId="179" fontId="6" fillId="0" borderId="0"/>
    <xf numFmtId="179" fontId="18" fillId="0" borderId="0">
      <alignment vertical="center"/>
    </xf>
    <xf numFmtId="0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0" fontId="39" fillId="0" borderId="0">
      <alignment vertical="center"/>
    </xf>
    <xf numFmtId="41" fontId="18" fillId="0" borderId="0">
      <alignment vertical="center"/>
    </xf>
    <xf numFmtId="0" fontId="18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39" fillId="0" borderId="0">
      <alignment vertical="center"/>
    </xf>
    <xf numFmtId="191" fontId="13" fillId="0" borderId="0">
      <alignment vertical="center"/>
    </xf>
    <xf numFmtId="192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>
      <alignment vertical="center"/>
    </xf>
    <xf numFmtId="41" fontId="18" fillId="0" borderId="0">
      <alignment vertical="center"/>
    </xf>
  </cellStyleXfs>
  <cellXfs count="643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4" fontId="4" fillId="0" borderId="1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7" borderId="11" xfId="2" applyFont="1" applyFill="1" applyBorder="1" applyAlignment="1">
      <alignment horizontal="center" vertical="center"/>
    </xf>
    <xf numFmtId="0" fontId="8" fillId="0" borderId="0" xfId="3" applyFont="1" applyAlignment="1">
      <alignment vertical="center"/>
    </xf>
    <xf numFmtId="0" fontId="5" fillId="2" borderId="19" xfId="2" applyFont="1" applyFill="1" applyBorder="1" applyAlignment="1">
      <alignment horizontal="center" vertical="center"/>
    </xf>
    <xf numFmtId="14" fontId="7" fillId="7" borderId="18" xfId="2" applyNumberFormat="1" applyFont="1" applyFill="1" applyBorder="1" applyAlignment="1">
      <alignment horizontal="center" vertical="center"/>
    </xf>
    <xf numFmtId="0" fontId="17" fillId="0" borderId="0" xfId="137" applyNumberFormat="1" applyFont="1" applyAlignment="1">
      <alignment vertical="center"/>
    </xf>
    <xf numFmtId="0" fontId="19" fillId="0" borderId="0" xfId="137" applyNumberFormat="1" applyFont="1" applyAlignment="1">
      <alignment vertical="center"/>
    </xf>
    <xf numFmtId="0" fontId="22" fillId="0" borderId="0" xfId="137" applyNumberFormat="1" applyFont="1" applyAlignment="1">
      <alignment vertical="center"/>
    </xf>
    <xf numFmtId="0" fontId="19" fillId="0" borderId="0" xfId="138" applyNumberFormat="1" applyFont="1" applyAlignment="1">
      <alignment vertical="center"/>
    </xf>
    <xf numFmtId="0" fontId="20" fillId="0" borderId="0" xfId="138" applyNumberFormat="1" applyFont="1" applyAlignment="1">
      <alignment vertical="center"/>
    </xf>
    <xf numFmtId="0" fontId="20" fillId="0" borderId="26" xfId="138" applyNumberFormat="1" applyFont="1" applyBorder="1" applyAlignment="1">
      <alignment horizontal="center" vertical="center" wrapText="1" shrinkToFit="1"/>
    </xf>
    <xf numFmtId="0" fontId="29" fillId="0" borderId="0" xfId="3" applyFont="1" applyAlignment="1">
      <alignment vertical="center"/>
    </xf>
    <xf numFmtId="0" fontId="20" fillId="10" borderId="26" xfId="138" applyNumberFormat="1" applyFont="1" applyFill="1" applyBorder="1" applyAlignment="1">
      <alignment horizontal="center" vertical="center" wrapText="1" shrinkToFit="1"/>
    </xf>
    <xf numFmtId="0" fontId="17" fillId="0" borderId="0" xfId="137" applyNumberFormat="1" applyFont="1" applyAlignment="1">
      <alignment vertical="center" shrinkToFit="1"/>
    </xf>
    <xf numFmtId="0" fontId="17" fillId="11" borderId="26" xfId="0" applyFont="1" applyFill="1" applyBorder="1" applyAlignment="1">
      <alignment horizontal="center" vertical="center" wrapText="1"/>
    </xf>
    <xf numFmtId="0" fontId="20" fillId="0" borderId="26" xfId="0" applyFont="1" applyBorder="1" applyAlignment="1">
      <alignment horizontal="left" vertical="center"/>
    </xf>
    <xf numFmtId="0" fontId="17" fillId="0" borderId="26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/>
    </xf>
    <xf numFmtId="186" fontId="20" fillId="0" borderId="26" xfId="0" applyNumberFormat="1" applyFont="1" applyBorder="1" applyAlignment="1">
      <alignment horizontal="center" vertical="center"/>
    </xf>
    <xf numFmtId="186" fontId="20" fillId="0" borderId="1" xfId="4" applyNumberFormat="1" applyFont="1" applyBorder="1" applyAlignment="1">
      <alignment vertical="center"/>
    </xf>
    <xf numFmtId="0" fontId="20" fillId="10" borderId="26" xfId="0" applyFont="1" applyFill="1" applyBorder="1" applyAlignment="1">
      <alignment horizontal="left" vertical="center"/>
    </xf>
    <xf numFmtId="0" fontId="20" fillId="11" borderId="26" xfId="0" applyFont="1" applyFill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17" fillId="0" borderId="26" xfId="0" applyFont="1" applyBorder="1" applyAlignment="1">
      <alignment vertical="center"/>
    </xf>
    <xf numFmtId="186" fontId="32" fillId="0" borderId="26" xfId="0" applyNumberFormat="1" applyFont="1" applyBorder="1" applyAlignment="1">
      <alignment horizontal="center" vertical="center"/>
    </xf>
    <xf numFmtId="0" fontId="17" fillId="0" borderId="26" xfId="138" applyNumberFormat="1" applyFont="1" applyBorder="1" applyAlignment="1">
      <alignment horizontal="center" vertical="center" wrapText="1" shrinkToFit="1"/>
    </xf>
    <xf numFmtId="0" fontId="17" fillId="0" borderId="26" xfId="0" applyFont="1" applyBorder="1" applyAlignment="1">
      <alignment horizontal="left" vertical="center"/>
    </xf>
    <xf numFmtId="4" fontId="19" fillId="0" borderId="0" xfId="0" applyNumberFormat="1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86" fontId="17" fillId="0" borderId="26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/>
    </xf>
    <xf numFmtId="0" fontId="34" fillId="0" borderId="0" xfId="137" applyNumberFormat="1" applyFont="1" applyAlignment="1">
      <alignment vertical="center"/>
    </xf>
    <xf numFmtId="0" fontId="35" fillId="0" borderId="0" xfId="137" applyNumberFormat="1" applyFont="1" applyAlignment="1">
      <alignment vertical="center"/>
    </xf>
    <xf numFmtId="0" fontId="36" fillId="0" borderId="0" xfId="138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20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186" fontId="20" fillId="10" borderId="26" xfId="0" applyNumberFormat="1" applyFont="1" applyFill="1" applyBorder="1" applyAlignment="1">
      <alignment horizontal="center" vertical="center"/>
    </xf>
    <xf numFmtId="0" fontId="20" fillId="10" borderId="26" xfId="0" applyFont="1" applyFill="1" applyBorder="1" applyAlignment="1">
      <alignment horizontal="center" vertical="center"/>
    </xf>
    <xf numFmtId="0" fontId="20" fillId="8" borderId="26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20" fillId="8" borderId="26" xfId="138" applyNumberFormat="1" applyFont="1" applyFill="1" applyBorder="1" applyAlignment="1">
      <alignment horizontal="center" vertical="center" wrapText="1" shrinkToFit="1"/>
    </xf>
    <xf numFmtId="186" fontId="17" fillId="8" borderId="26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0" fillId="14" borderId="26" xfId="0" applyFont="1" applyFill="1" applyBorder="1" applyAlignment="1">
      <alignment horizontal="left" vertical="center"/>
    </xf>
    <xf numFmtId="0" fontId="17" fillId="14" borderId="26" xfId="0" applyFont="1" applyFill="1" applyBorder="1" applyAlignment="1">
      <alignment horizontal="center" vertical="center" wrapText="1"/>
    </xf>
    <xf numFmtId="0" fontId="20" fillId="14" borderId="26" xfId="138" applyNumberFormat="1" applyFont="1" applyFill="1" applyBorder="1" applyAlignment="1">
      <alignment horizontal="center" vertical="center" wrapText="1" shrinkToFit="1"/>
    </xf>
    <xf numFmtId="0" fontId="20" fillId="8" borderId="26" xfId="0" applyFont="1" applyFill="1" applyBorder="1" applyAlignment="1">
      <alignment horizontal="center" vertical="center"/>
    </xf>
    <xf numFmtId="0" fontId="17" fillId="8" borderId="26" xfId="0" applyFont="1" applyFill="1" applyBorder="1" applyAlignment="1">
      <alignment horizontal="center" vertical="center"/>
    </xf>
    <xf numFmtId="0" fontId="17" fillId="8" borderId="26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186" fontId="17" fillId="11" borderId="26" xfId="0" applyNumberFormat="1" applyFont="1" applyFill="1" applyBorder="1" applyAlignment="1">
      <alignment horizontal="center" vertical="center"/>
    </xf>
    <xf numFmtId="186" fontId="30" fillId="11" borderId="26" xfId="0" applyNumberFormat="1" applyFont="1" applyFill="1" applyBorder="1" applyAlignment="1">
      <alignment horizontal="center" vertical="center"/>
    </xf>
    <xf numFmtId="0" fontId="20" fillId="11" borderId="26" xfId="0" applyFont="1" applyFill="1" applyBorder="1" applyAlignment="1">
      <alignment horizontal="center" vertical="center"/>
    </xf>
    <xf numFmtId="0" fontId="41" fillId="0" borderId="26" xfId="0" applyFont="1" applyBorder="1" applyAlignment="1">
      <alignment horizontal="left" vertical="center"/>
    </xf>
    <xf numFmtId="0" fontId="30" fillId="11" borderId="26" xfId="0" applyFont="1" applyFill="1" applyBorder="1" applyAlignment="1">
      <alignment horizontal="left" vertical="center"/>
    </xf>
    <xf numFmtId="186" fontId="32" fillId="11" borderId="26" xfId="0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 wrapText="1"/>
    </xf>
    <xf numFmtId="0" fontId="20" fillId="11" borderId="0" xfId="138" applyNumberFormat="1" applyFont="1" applyFill="1" applyAlignment="1">
      <alignment vertical="center"/>
    </xf>
    <xf numFmtId="0" fontId="20" fillId="11" borderId="33" xfId="0" applyFont="1" applyFill="1" applyBorder="1" applyAlignment="1">
      <alignment horizontal="center" vertical="center"/>
    </xf>
    <xf numFmtId="0" fontId="17" fillId="11" borderId="33" xfId="0" applyFont="1" applyFill="1" applyBorder="1" applyAlignment="1">
      <alignment horizontal="center" vertical="center" wrapText="1"/>
    </xf>
    <xf numFmtId="186" fontId="17" fillId="11" borderId="33" xfId="0" applyNumberFormat="1" applyFont="1" applyFill="1" applyBorder="1" applyAlignment="1">
      <alignment horizontal="center" vertical="center"/>
    </xf>
    <xf numFmtId="186" fontId="32" fillId="11" borderId="33" xfId="0" applyNumberFormat="1" applyFont="1" applyFill="1" applyBorder="1" applyAlignment="1">
      <alignment horizontal="center" vertical="center"/>
    </xf>
    <xf numFmtId="0" fontId="30" fillId="9" borderId="33" xfId="0" applyFont="1" applyFill="1" applyBorder="1" applyAlignment="1">
      <alignment horizontal="left" vertical="center"/>
    </xf>
    <xf numFmtId="0" fontId="20" fillId="9" borderId="33" xfId="0" applyFont="1" applyFill="1" applyBorder="1" applyAlignment="1">
      <alignment horizontal="center" vertical="center"/>
    </xf>
    <xf numFmtId="186" fontId="17" fillId="9" borderId="33" xfId="0" applyNumberFormat="1" applyFont="1" applyFill="1" applyBorder="1" applyAlignment="1">
      <alignment horizontal="center" vertical="center"/>
    </xf>
    <xf numFmtId="0" fontId="31" fillId="9" borderId="33" xfId="0" applyFont="1" applyFill="1" applyBorder="1" applyAlignment="1">
      <alignment horizontal="left" vertical="center"/>
    </xf>
    <xf numFmtId="0" fontId="41" fillId="0" borderId="31" xfId="0" applyFont="1" applyBorder="1" applyAlignment="1">
      <alignment horizontal="left" vertical="center"/>
    </xf>
    <xf numFmtId="0" fontId="20" fillId="0" borderId="3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186" fontId="17" fillId="0" borderId="31" xfId="0" applyNumberFormat="1" applyFont="1" applyBorder="1" applyAlignment="1">
      <alignment horizontal="center" vertical="center"/>
    </xf>
    <xf numFmtId="186" fontId="32" fillId="0" borderId="31" xfId="0" applyNumberFormat="1" applyFont="1" applyBorder="1" applyAlignment="1">
      <alignment horizontal="center" vertical="center"/>
    </xf>
    <xf numFmtId="0" fontId="31" fillId="9" borderId="32" xfId="0" applyFont="1" applyFill="1" applyBorder="1" applyAlignment="1">
      <alignment horizontal="left" vertical="center"/>
    </xf>
    <xf numFmtId="0" fontId="31" fillId="0" borderId="32" xfId="0" applyFont="1" applyBorder="1" applyAlignment="1">
      <alignment horizontal="left" vertical="center"/>
    </xf>
    <xf numFmtId="0" fontId="31" fillId="0" borderId="32" xfId="0" applyFont="1" applyBorder="1" applyAlignment="1">
      <alignment vertical="center"/>
    </xf>
    <xf numFmtId="0" fontId="31" fillId="11" borderId="32" xfId="0" applyFont="1" applyFill="1" applyBorder="1" applyAlignment="1">
      <alignment vertical="center"/>
    </xf>
    <xf numFmtId="0" fontId="21" fillId="11" borderId="32" xfId="0" applyFont="1" applyFill="1" applyBorder="1" applyAlignment="1">
      <alignment horizontal="center" vertical="center"/>
    </xf>
    <xf numFmtId="0" fontId="42" fillId="11" borderId="32" xfId="0" applyFont="1" applyFill="1" applyBorder="1" applyAlignment="1">
      <alignment horizontal="center" vertical="center" wrapText="1"/>
    </xf>
    <xf numFmtId="186" fontId="42" fillId="11" borderId="32" xfId="0" applyNumberFormat="1" applyFont="1" applyFill="1" applyBorder="1" applyAlignment="1">
      <alignment horizontal="center" vertical="center"/>
    </xf>
    <xf numFmtId="186" fontId="33" fillId="11" borderId="32" xfId="0" applyNumberFormat="1" applyFont="1" applyFill="1" applyBorder="1" applyAlignment="1">
      <alignment horizontal="center" vertical="center"/>
    </xf>
    <xf numFmtId="0" fontId="31" fillId="9" borderId="32" xfId="0" applyFont="1" applyFill="1" applyBorder="1" applyAlignment="1">
      <alignment vertical="center"/>
    </xf>
    <xf numFmtId="0" fontId="21" fillId="9" borderId="32" xfId="0" applyFont="1" applyFill="1" applyBorder="1" applyAlignment="1">
      <alignment horizontal="center" vertical="center"/>
    </xf>
    <xf numFmtId="186" fontId="42" fillId="9" borderId="32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86" fontId="42" fillId="0" borderId="32" xfId="0" applyNumberFormat="1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21" fillId="0" borderId="32" xfId="138" applyNumberFormat="1" applyFont="1" applyBorder="1" applyAlignment="1">
      <alignment horizontal="center" vertical="center" wrapText="1" shrinkToFit="1"/>
    </xf>
    <xf numFmtId="0" fontId="21" fillId="0" borderId="32" xfId="0" applyFont="1" applyBorder="1" applyAlignment="1">
      <alignment vertical="center"/>
    </xf>
    <xf numFmtId="186" fontId="21" fillId="0" borderId="32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0" fillId="11" borderId="33" xfId="0" applyFont="1" applyFill="1" applyBorder="1" applyAlignment="1">
      <alignment horizontal="left" vertical="center"/>
    </xf>
    <xf numFmtId="0" fontId="20" fillId="4" borderId="26" xfId="0" applyFont="1" applyFill="1" applyBorder="1" applyAlignment="1">
      <alignment horizontal="center" vertical="center"/>
    </xf>
    <xf numFmtId="0" fontId="39" fillId="0" borderId="0" xfId="176" applyAlignment="1">
      <alignment vertical="center"/>
    </xf>
    <xf numFmtId="0" fontId="4" fillId="0" borderId="1" xfId="176" applyFont="1" applyBorder="1" applyAlignment="1">
      <alignment horizontal="center" vertical="center"/>
    </xf>
    <xf numFmtId="0" fontId="39" fillId="0" borderId="1" xfId="176" applyBorder="1" applyAlignment="1">
      <alignment vertical="center"/>
    </xf>
    <xf numFmtId="0" fontId="4" fillId="0" borderId="12" xfId="176" applyFont="1" applyBorder="1" applyAlignment="1">
      <alignment horizontal="center" vertical="center"/>
    </xf>
    <xf numFmtId="0" fontId="45" fillId="0" borderId="0" xfId="176" applyFont="1" applyAlignment="1">
      <alignment horizontal="left" vertical="center"/>
    </xf>
    <xf numFmtId="0" fontId="46" fillId="0" borderId="0" xfId="176" applyFont="1" applyAlignment="1">
      <alignment vertical="center"/>
    </xf>
    <xf numFmtId="0" fontId="46" fillId="0" borderId="0" xfId="176" applyFont="1" applyAlignment="1">
      <alignment horizontal="center" vertical="center"/>
    </xf>
    <xf numFmtId="0" fontId="49" fillId="0" borderId="12" xfId="176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51" fillId="0" borderId="0" xfId="137" applyNumberFormat="1" applyFont="1" applyAlignment="1">
      <alignment vertical="center"/>
    </xf>
    <xf numFmtId="0" fontId="52" fillId="0" borderId="0" xfId="0" applyFont="1" applyAlignment="1">
      <alignment horizontal="left" vertical="center"/>
    </xf>
    <xf numFmtId="0" fontId="52" fillId="0" borderId="0" xfId="138" applyNumberFormat="1" applyFont="1" applyAlignment="1">
      <alignment vertical="center"/>
    </xf>
    <xf numFmtId="0" fontId="57" fillId="0" borderId="0" xfId="137" applyNumberFormat="1" applyFont="1" applyAlignment="1">
      <alignment vertical="center"/>
    </xf>
    <xf numFmtId="4" fontId="52" fillId="0" borderId="0" xfId="0" applyNumberFormat="1" applyFont="1" applyAlignment="1">
      <alignment vertical="center"/>
    </xf>
    <xf numFmtId="186" fontId="53" fillId="0" borderId="1" xfId="4" applyNumberFormat="1" applyFont="1" applyBorder="1" applyAlignment="1">
      <alignment vertical="center"/>
    </xf>
    <xf numFmtId="0" fontId="51" fillId="0" borderId="0" xfId="137" applyNumberFormat="1" applyFont="1" applyAlignment="1">
      <alignment vertical="center" shrinkToFit="1"/>
    </xf>
    <xf numFmtId="0" fontId="31" fillId="0" borderId="2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44" fillId="0" borderId="0" xfId="176" applyFont="1" applyAlignment="1">
      <alignment vertical="center"/>
    </xf>
    <xf numFmtId="0" fontId="64" fillId="0" borderId="0" xfId="176" applyFont="1" applyAlignment="1">
      <alignment vertical="center"/>
    </xf>
    <xf numFmtId="0" fontId="53" fillId="0" borderId="0" xfId="138" applyNumberFormat="1" applyFont="1" applyAlignment="1">
      <alignment vertical="center"/>
    </xf>
    <xf numFmtId="186" fontId="5" fillId="2" borderId="11" xfId="563" applyNumberFormat="1" applyFont="1" applyFill="1" applyBorder="1" applyAlignment="1">
      <alignment horizontal="center" vertical="center"/>
    </xf>
    <xf numFmtId="186" fontId="7" fillId="7" borderId="11" xfId="564" applyNumberFormat="1" applyFont="1" applyFill="1" applyBorder="1" applyAlignment="1">
      <alignment vertical="center"/>
    </xf>
    <xf numFmtId="14" fontId="7" fillId="7" borderId="22" xfId="2" applyNumberFormat="1" applyFont="1" applyFill="1" applyBorder="1" applyAlignment="1">
      <alignment horizontal="center" vertical="center"/>
    </xf>
    <xf numFmtId="0" fontId="7" fillId="7" borderId="23" xfId="2" applyFont="1" applyFill="1" applyBorder="1" applyAlignment="1">
      <alignment horizontal="center" vertical="center"/>
    </xf>
    <xf numFmtId="186" fontId="7" fillId="7" borderId="23" xfId="564" applyNumberFormat="1" applyFont="1" applyFill="1" applyBorder="1" applyAlignment="1">
      <alignment vertical="center"/>
    </xf>
    <xf numFmtId="186" fontId="51" fillId="0" borderId="0" xfId="0" applyNumberFormat="1" applyFont="1" applyAlignment="1">
      <alignment horizontal="center" vertical="center"/>
    </xf>
    <xf numFmtId="186" fontId="51" fillId="0" borderId="11" xfId="0" applyNumberFormat="1" applyFont="1" applyBorder="1" applyAlignment="1">
      <alignment horizontal="center" vertical="center"/>
    </xf>
    <xf numFmtId="14" fontId="7" fillId="7" borderId="20" xfId="2" applyNumberFormat="1" applyFont="1" applyFill="1" applyBorder="1" applyAlignment="1">
      <alignment horizontal="center" vertical="center"/>
    </xf>
    <xf numFmtId="0" fontId="7" fillId="7" borderId="13" xfId="2" applyFont="1" applyFill="1" applyBorder="1" applyAlignment="1">
      <alignment horizontal="center" vertical="center"/>
    </xf>
    <xf numFmtId="186" fontId="7" fillId="7" borderId="13" xfId="564" applyNumberFormat="1" applyFont="1" applyFill="1" applyBorder="1" applyAlignment="1">
      <alignment vertical="center"/>
    </xf>
    <xf numFmtId="4" fontId="4" fillId="0" borderId="36" xfId="0" applyNumberFormat="1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4" fontId="4" fillId="0" borderId="37" xfId="0" applyNumberFormat="1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2" fontId="4" fillId="0" borderId="37" xfId="0" applyNumberFormat="1" applyFont="1" applyBorder="1" applyAlignment="1">
      <alignment vertical="center"/>
    </xf>
    <xf numFmtId="0" fontId="4" fillId="7" borderId="38" xfId="0" applyFont="1" applyFill="1" applyBorder="1" applyAlignment="1">
      <alignment vertical="center"/>
    </xf>
    <xf numFmtId="0" fontId="4" fillId="7" borderId="39" xfId="0" applyFont="1" applyFill="1" applyBorder="1" applyAlignment="1">
      <alignment vertical="center"/>
    </xf>
    <xf numFmtId="0" fontId="5" fillId="0" borderId="0" xfId="138" applyNumberFormat="1" applyFont="1" applyAlignment="1">
      <alignment vertical="center"/>
    </xf>
    <xf numFmtId="0" fontId="51" fillId="0" borderId="0" xfId="137" applyNumberFormat="1" applyFont="1" applyAlignment="1">
      <alignment horizontal="center" vertical="center"/>
    </xf>
    <xf numFmtId="0" fontId="52" fillId="0" borderId="0" xfId="138" applyNumberFormat="1" applyFon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6" xfId="138" applyNumberFormat="1" applyFont="1" applyBorder="1" applyAlignment="1">
      <alignment horizontal="center" vertical="center" wrapText="1" shrinkToFit="1"/>
    </xf>
    <xf numFmtId="0" fontId="7" fillId="0" borderId="26" xfId="0" applyFont="1" applyBorder="1" applyAlignment="1">
      <alignment horizontal="center" vertical="center"/>
    </xf>
    <xf numFmtId="186" fontId="7" fillId="0" borderId="26" xfId="0" applyNumberFormat="1" applyFont="1" applyBorder="1" applyAlignment="1">
      <alignment horizontal="right" vertical="center"/>
    </xf>
    <xf numFmtId="0" fontId="4" fillId="15" borderId="26" xfId="0" applyFont="1" applyFill="1" applyBorder="1" applyAlignment="1">
      <alignment horizontal="left" vertical="center"/>
    </xf>
    <xf numFmtId="0" fontId="4" fillId="15" borderId="26" xfId="0" applyFont="1" applyFill="1" applyBorder="1" applyAlignment="1">
      <alignment horizontal="center" vertical="center"/>
    </xf>
    <xf numFmtId="0" fontId="4" fillId="15" borderId="26" xfId="138" applyNumberFormat="1" applyFont="1" applyFill="1" applyBorder="1" applyAlignment="1">
      <alignment horizontal="center" vertical="center" wrapText="1" shrinkToFit="1"/>
    </xf>
    <xf numFmtId="0" fontId="7" fillId="15" borderId="26" xfId="0" applyFont="1" applyFill="1" applyBorder="1" applyAlignment="1">
      <alignment horizontal="center" vertical="center"/>
    </xf>
    <xf numFmtId="186" fontId="7" fillId="15" borderId="26" xfId="0" applyNumberFormat="1" applyFont="1" applyFill="1" applyBorder="1" applyAlignment="1">
      <alignment horizontal="right" vertical="center"/>
    </xf>
    <xf numFmtId="0" fontId="52" fillId="0" borderId="0" xfId="137" applyNumberFormat="1" applyFont="1" applyAlignment="1">
      <alignment horizontal="center" vertical="center"/>
    </xf>
    <xf numFmtId="0" fontId="48" fillId="2" borderId="1" xfId="176" applyFont="1" applyFill="1" applyBorder="1" applyAlignment="1">
      <alignment horizontal="center" vertical="center"/>
    </xf>
    <xf numFmtId="178" fontId="11" fillId="2" borderId="11" xfId="563" applyNumberFormat="1" applyFont="1" applyFill="1" applyBorder="1" applyAlignment="1">
      <alignment horizontal="center" vertical="center" wrapText="1"/>
    </xf>
    <xf numFmtId="178" fontId="11" fillId="2" borderId="11" xfId="563" applyNumberFormat="1" applyFont="1" applyFill="1" applyBorder="1" applyAlignment="1">
      <alignment horizontal="center" vertical="center"/>
    </xf>
    <xf numFmtId="43" fontId="5" fillId="2" borderId="11" xfId="563" applyNumberFormat="1" applyFont="1" applyFill="1" applyBorder="1" applyAlignment="1">
      <alignment horizontal="center" vertical="center"/>
    </xf>
    <xf numFmtId="176" fontId="5" fillId="2" borderId="11" xfId="2" applyNumberFormat="1" applyFont="1" applyFill="1" applyBorder="1" applyAlignment="1">
      <alignment horizontal="center" vertical="center"/>
    </xf>
    <xf numFmtId="177" fontId="4" fillId="0" borderId="18" xfId="0" applyNumberFormat="1" applyFont="1" applyBorder="1" applyAlignment="1">
      <alignment horizontal="center" vertical="center"/>
    </xf>
    <xf numFmtId="178" fontId="4" fillId="0" borderId="11" xfId="563" applyNumberFormat="1" applyFont="1" applyBorder="1" applyAlignment="1">
      <alignment vertical="center"/>
    </xf>
    <xf numFmtId="178" fontId="4" fillId="0" borderId="19" xfId="563" applyNumberFormat="1" applyFont="1" applyBorder="1" applyAlignment="1">
      <alignment vertical="center"/>
    </xf>
    <xf numFmtId="182" fontId="7" fillId="3" borderId="11" xfId="563" applyNumberFormat="1" applyFont="1" applyFill="1" applyBorder="1" applyAlignment="1">
      <alignment horizontal="center" vertical="center"/>
    </xf>
    <xf numFmtId="43" fontId="7" fillId="7" borderId="11" xfId="564" applyNumberFormat="1" applyFont="1" applyFill="1" applyBorder="1" applyAlignment="1">
      <alignment vertical="center"/>
    </xf>
    <xf numFmtId="178" fontId="12" fillId="7" borderId="11" xfId="564" applyNumberFormat="1" applyFont="1" applyFill="1" applyBorder="1" applyAlignment="1">
      <alignment vertical="center"/>
    </xf>
    <xf numFmtId="176" fontId="7" fillId="7" borderId="11" xfId="2" applyNumberFormat="1" applyFont="1" applyFill="1" applyBorder="1" applyAlignment="1">
      <alignment vertical="center"/>
    </xf>
    <xf numFmtId="178" fontId="12" fillId="7" borderId="19" xfId="2" applyNumberFormat="1" applyFont="1" applyFill="1" applyBorder="1" applyAlignment="1">
      <alignment vertical="center"/>
    </xf>
    <xf numFmtId="178" fontId="4" fillId="11" borderId="11" xfId="563" applyNumberFormat="1" applyFont="1" applyFill="1" applyBorder="1" applyAlignment="1">
      <alignment vertical="center"/>
    </xf>
    <xf numFmtId="43" fontId="7" fillId="7" borderId="23" xfId="564" applyNumberFormat="1" applyFont="1" applyFill="1" applyBorder="1" applyAlignment="1">
      <alignment vertical="center"/>
    </xf>
    <xf numFmtId="178" fontId="12" fillId="7" borderId="23" xfId="564" applyNumberFormat="1" applyFont="1" applyFill="1" applyBorder="1" applyAlignment="1">
      <alignment vertical="center"/>
    </xf>
    <xf numFmtId="176" fontId="7" fillId="7" borderId="23" xfId="2" applyNumberFormat="1" applyFont="1" applyFill="1" applyBorder="1" applyAlignment="1">
      <alignment vertical="center"/>
    </xf>
    <xf numFmtId="178" fontId="12" fillId="7" borderId="24" xfId="2" applyNumberFormat="1" applyFont="1" applyFill="1" applyBorder="1" applyAlignment="1">
      <alignment vertical="center"/>
    </xf>
    <xf numFmtId="178" fontId="4" fillId="4" borderId="11" xfId="563" applyNumberFormat="1" applyFont="1" applyFill="1" applyBorder="1" applyAlignment="1">
      <alignment vertical="center"/>
    </xf>
    <xf numFmtId="43" fontId="7" fillId="7" borderId="13" xfId="564" applyNumberFormat="1" applyFont="1" applyFill="1" applyBorder="1" applyAlignment="1">
      <alignment vertical="center"/>
    </xf>
    <xf numFmtId="178" fontId="12" fillId="7" borderId="13" xfId="564" applyNumberFormat="1" applyFont="1" applyFill="1" applyBorder="1" applyAlignment="1">
      <alignment vertical="center"/>
    </xf>
    <xf numFmtId="176" fontId="7" fillId="7" borderId="13" xfId="2" applyNumberFormat="1" applyFont="1" applyFill="1" applyBorder="1" applyAlignment="1">
      <alignment vertical="center"/>
    </xf>
    <xf numFmtId="178" fontId="12" fillId="7" borderId="21" xfId="2" applyNumberFormat="1" applyFont="1" applyFill="1" applyBorder="1" applyAlignment="1">
      <alignment vertical="center"/>
    </xf>
    <xf numFmtId="177" fontId="4" fillId="0" borderId="25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vertical="center"/>
    </xf>
    <xf numFmtId="189" fontId="4" fillId="0" borderId="11" xfId="0" applyNumberFormat="1" applyFont="1" applyBorder="1" applyAlignment="1">
      <alignment vertical="center"/>
    </xf>
    <xf numFmtId="178" fontId="4" fillId="0" borderId="37" xfId="563" applyNumberFormat="1" applyFont="1" applyBorder="1" applyAlignment="1">
      <alignment vertical="center"/>
    </xf>
    <xf numFmtId="178" fontId="4" fillId="0" borderId="37" xfId="0" applyNumberFormat="1" applyFont="1" applyBorder="1" applyAlignment="1">
      <alignment vertical="center"/>
    </xf>
    <xf numFmtId="178" fontId="4" fillId="4" borderId="37" xfId="0" applyNumberFormat="1" applyFont="1" applyFill="1" applyBorder="1" applyAlignment="1">
      <alignment vertical="center"/>
    </xf>
    <xf numFmtId="178" fontId="14" fillId="7" borderId="40" xfId="0" applyNumberFormat="1" applyFont="1" applyFill="1" applyBorder="1" applyAlignment="1">
      <alignment vertical="center"/>
    </xf>
    <xf numFmtId="177" fontId="20" fillId="0" borderId="0" xfId="138" applyNumberFormat="1" applyFont="1" applyAlignment="1">
      <alignment horizontal="center" vertical="center"/>
    </xf>
    <xf numFmtId="179" fontId="36" fillId="0" borderId="0" xfId="138" applyFont="1" applyAlignment="1">
      <alignment vertical="center"/>
    </xf>
    <xf numFmtId="179" fontId="20" fillId="0" borderId="0" xfId="138" applyFont="1" applyAlignment="1">
      <alignment vertical="center" shrinkToFit="1"/>
    </xf>
    <xf numFmtId="179" fontId="37" fillId="0" borderId="0" xfId="138" applyFont="1" applyAlignment="1">
      <alignment vertical="center"/>
    </xf>
    <xf numFmtId="177" fontId="34" fillId="0" borderId="0" xfId="137" applyNumberFormat="1" applyFont="1" applyAlignment="1">
      <alignment horizontal="center" vertical="center"/>
    </xf>
    <xf numFmtId="179" fontId="34" fillId="0" borderId="0" xfId="137" applyFont="1" applyAlignment="1">
      <alignment horizontal="center" vertical="center"/>
    </xf>
    <xf numFmtId="180" fontId="34" fillId="0" borderId="0" xfId="4" applyNumberFormat="1" applyFont="1" applyAlignment="1">
      <alignment vertical="center"/>
    </xf>
    <xf numFmtId="181" fontId="34" fillId="0" borderId="0" xfId="4" applyNumberFormat="1" applyFont="1" applyAlignment="1">
      <alignment vertical="center" shrinkToFit="1"/>
    </xf>
    <xf numFmtId="180" fontId="34" fillId="0" borderId="0" xfId="4" applyNumberFormat="1" applyFont="1" applyAlignment="1">
      <alignment vertical="center" shrinkToFit="1"/>
    </xf>
    <xf numFmtId="180" fontId="34" fillId="0" borderId="0" xfId="137" applyNumberFormat="1" applyFont="1" applyAlignment="1">
      <alignment vertical="center"/>
    </xf>
    <xf numFmtId="179" fontId="34" fillId="0" borderId="0" xfId="137" applyFont="1" applyAlignment="1">
      <alignment vertical="center"/>
    </xf>
    <xf numFmtId="179" fontId="34" fillId="0" borderId="0" xfId="137" applyFont="1" applyAlignment="1">
      <alignment vertical="center" shrinkToFit="1"/>
    </xf>
    <xf numFmtId="179" fontId="20" fillId="0" borderId="0" xfId="138" applyFont="1" applyAlignment="1">
      <alignment vertical="center"/>
    </xf>
    <xf numFmtId="177" fontId="38" fillId="0" borderId="0" xfId="138" applyNumberFormat="1" applyFont="1" applyAlignment="1">
      <alignment horizontal="left" vertical="center"/>
    </xf>
    <xf numFmtId="179" fontId="20" fillId="0" borderId="0" xfId="138" applyFont="1" applyAlignment="1">
      <alignment horizontal="left" vertical="center"/>
    </xf>
    <xf numFmtId="43" fontId="20" fillId="0" borderId="0" xfId="138" applyNumberFormat="1" applyFont="1" applyAlignment="1">
      <alignment horizontal="left" vertical="center"/>
    </xf>
    <xf numFmtId="178" fontId="20" fillId="0" borderId="0" xfId="4" applyNumberFormat="1" applyFont="1" applyAlignment="1">
      <alignment vertical="center"/>
    </xf>
    <xf numFmtId="178" fontId="20" fillId="0" borderId="0" xfId="4" applyNumberFormat="1" applyFont="1" applyAlignment="1">
      <alignment vertical="center" shrinkToFit="1"/>
    </xf>
    <xf numFmtId="180" fontId="15" fillId="0" borderId="0" xfId="4" quotePrefix="1" applyNumberFormat="1" applyFont="1" applyAlignment="1">
      <alignment horizontal="left" vertical="center"/>
    </xf>
    <xf numFmtId="179" fontId="20" fillId="0" borderId="0" xfId="138" applyFont="1" applyAlignment="1">
      <alignment horizontal="center" vertical="center"/>
    </xf>
    <xf numFmtId="179" fontId="22" fillId="0" borderId="0" xfId="138" applyFont="1" applyAlignment="1">
      <alignment vertical="center"/>
    </xf>
    <xf numFmtId="180" fontId="22" fillId="0" borderId="0" xfId="4" quotePrefix="1" applyNumberFormat="1" applyFont="1" applyAlignment="1">
      <alignment horizontal="left" vertical="center"/>
    </xf>
    <xf numFmtId="180" fontId="22" fillId="0" borderId="0" xfId="4" applyNumberFormat="1" applyFont="1" applyAlignment="1">
      <alignment horizontal="left" vertical="center"/>
    </xf>
    <xf numFmtId="180" fontId="22" fillId="0" borderId="0" xfId="137" applyNumberFormat="1" applyFont="1" applyAlignment="1">
      <alignment horizontal="left" vertical="center" shrinkToFit="1"/>
    </xf>
    <xf numFmtId="180" fontId="22" fillId="0" borderId="0" xfId="4" applyNumberFormat="1" applyFont="1" applyAlignment="1">
      <alignment horizontal="left" vertical="center" shrinkToFit="1"/>
    </xf>
    <xf numFmtId="180" fontId="15" fillId="0" borderId="0" xfId="4" applyNumberFormat="1" applyFont="1" applyAlignment="1">
      <alignment horizontal="left" vertical="center"/>
    </xf>
    <xf numFmtId="177" fontId="15" fillId="2" borderId="1" xfId="4" applyNumberFormat="1" applyFont="1" applyFill="1" applyBorder="1" applyAlignment="1">
      <alignment horizontal="center" vertical="center"/>
    </xf>
    <xf numFmtId="180" fontId="15" fillId="2" borderId="1" xfId="4" applyNumberFormat="1" applyFont="1" applyFill="1" applyBorder="1" applyAlignment="1">
      <alignment horizontal="center" vertical="center"/>
    </xf>
    <xf numFmtId="178" fontId="15" fillId="2" borderId="1" xfId="4" applyNumberFormat="1" applyFont="1" applyFill="1" applyBorder="1" applyAlignment="1">
      <alignment horizontal="center" vertical="center" wrapText="1"/>
    </xf>
    <xf numFmtId="180" fontId="15" fillId="2" borderId="1" xfId="4" applyNumberFormat="1" applyFont="1" applyFill="1" applyBorder="1" applyAlignment="1">
      <alignment horizontal="center" vertical="center" wrapText="1"/>
    </xf>
    <xf numFmtId="180" fontId="15" fillId="2" borderId="1" xfId="4" applyNumberFormat="1" applyFont="1" applyFill="1" applyBorder="1" applyAlignment="1">
      <alignment horizontal="center" vertical="center" shrinkToFit="1"/>
    </xf>
    <xf numFmtId="178" fontId="15" fillId="2" borderId="1" xfId="4" applyNumberFormat="1" applyFont="1" applyFill="1" applyBorder="1" applyAlignment="1">
      <alignment horizontal="center" vertical="center" shrinkToFit="1"/>
    </xf>
    <xf numFmtId="179" fontId="19" fillId="0" borderId="0" xfId="138" applyFont="1" applyAlignment="1">
      <alignment vertical="center"/>
    </xf>
    <xf numFmtId="177" fontId="20" fillId="0" borderId="1" xfId="138" applyNumberFormat="1" applyFont="1" applyBorder="1" applyAlignment="1">
      <alignment horizontal="left" vertical="center"/>
    </xf>
    <xf numFmtId="179" fontId="20" fillId="0" borderId="1" xfId="138" applyFont="1" applyBorder="1" applyAlignment="1">
      <alignment horizontal="left" vertical="center"/>
    </xf>
    <xf numFmtId="178" fontId="20" fillId="0" borderId="1" xfId="4" applyNumberFormat="1" applyFont="1" applyBorder="1" applyAlignment="1">
      <alignment vertical="center"/>
    </xf>
    <xf numFmtId="178" fontId="20" fillId="0" borderId="2" xfId="4" applyNumberFormat="1" applyFont="1" applyBorder="1" applyAlignment="1">
      <alignment vertical="center"/>
    </xf>
    <xf numFmtId="41" fontId="20" fillId="0" borderId="1" xfId="4" applyFont="1" applyBorder="1" applyAlignment="1">
      <alignment vertical="center" shrinkToFit="1"/>
    </xf>
    <xf numFmtId="179" fontId="17" fillId="0" borderId="0" xfId="4" applyNumberFormat="1" applyFont="1" applyAlignment="1">
      <alignment vertical="center" shrinkToFit="1"/>
    </xf>
    <xf numFmtId="179" fontId="20" fillId="0" borderId="1" xfId="138" applyFont="1" applyBorder="1" applyAlignment="1">
      <alignment vertical="center"/>
    </xf>
    <xf numFmtId="178" fontId="17" fillId="0" borderId="1" xfId="4" applyNumberFormat="1" applyFont="1" applyBorder="1" applyAlignment="1">
      <alignment vertical="center"/>
    </xf>
    <xf numFmtId="41" fontId="19" fillId="0" borderId="0" xfId="1" applyFont="1" applyAlignment="1">
      <alignment vertical="center"/>
    </xf>
    <xf numFmtId="41" fontId="19" fillId="0" borderId="0" xfId="138" applyNumberFormat="1" applyFont="1" applyAlignment="1">
      <alignment vertical="center"/>
    </xf>
    <xf numFmtId="179" fontId="20" fillId="0" borderId="0" xfId="4" applyNumberFormat="1" applyFont="1" applyAlignment="1">
      <alignment vertical="center" shrinkToFit="1"/>
    </xf>
    <xf numFmtId="179" fontId="23" fillId="0" borderId="0" xfId="4" applyNumberFormat="1" applyFont="1" applyAlignment="1">
      <alignment vertical="center" shrinkToFit="1"/>
    </xf>
    <xf numFmtId="179" fontId="19" fillId="0" borderId="0" xfId="4" applyNumberFormat="1" applyFont="1" applyAlignment="1">
      <alignment vertical="center" shrinkToFit="1"/>
    </xf>
    <xf numFmtId="43" fontId="19" fillId="0" borderId="0" xfId="138" applyNumberFormat="1" applyFont="1" applyAlignment="1">
      <alignment vertical="center" shrinkToFit="1"/>
    </xf>
    <xf numFmtId="179" fontId="20" fillId="3" borderId="1" xfId="138" applyFont="1" applyFill="1" applyBorder="1" applyAlignment="1">
      <alignment vertical="center"/>
    </xf>
    <xf numFmtId="178" fontId="20" fillId="3" borderId="1" xfId="4" applyNumberFormat="1" applyFont="1" applyFill="1" applyBorder="1" applyAlignment="1">
      <alignment vertical="center" shrinkToFit="1"/>
    </xf>
    <xf numFmtId="41" fontId="20" fillId="3" borderId="1" xfId="4" applyFont="1" applyFill="1" applyBorder="1" applyAlignment="1">
      <alignment vertical="center" shrinkToFit="1"/>
    </xf>
    <xf numFmtId="43" fontId="19" fillId="0" borderId="0" xfId="138" applyNumberFormat="1" applyFont="1" applyAlignment="1">
      <alignment horizontal="right" vertical="center" shrinkToFit="1"/>
    </xf>
    <xf numFmtId="178" fontId="20" fillId="3" borderId="1" xfId="4" applyNumberFormat="1" applyFont="1" applyFill="1" applyBorder="1" applyAlignment="1">
      <alignment vertical="center"/>
    </xf>
    <xf numFmtId="178" fontId="23" fillId="3" borderId="1" xfId="4" applyNumberFormat="1" applyFont="1" applyFill="1" applyBorder="1" applyAlignment="1">
      <alignment vertical="center"/>
    </xf>
    <xf numFmtId="41" fontId="23" fillId="3" borderId="1" xfId="4" applyFont="1" applyFill="1" applyBorder="1" applyAlignment="1">
      <alignment vertical="center" shrinkToFit="1"/>
    </xf>
    <xf numFmtId="25" fontId="19" fillId="0" borderId="0" xfId="138" applyNumberFormat="1" applyFont="1" applyAlignment="1">
      <alignment horizontal="right" vertical="center" shrinkToFit="1"/>
    </xf>
    <xf numFmtId="178" fontId="20" fillId="0" borderId="1" xfId="4" applyNumberFormat="1" applyFont="1" applyBorder="1" applyAlignment="1">
      <alignment vertical="center" shrinkToFit="1"/>
    </xf>
    <xf numFmtId="177" fontId="15" fillId="2" borderId="3" xfId="138" applyNumberFormat="1" applyFont="1" applyFill="1" applyBorder="1" applyAlignment="1">
      <alignment horizontal="center" vertical="center" shrinkToFit="1"/>
    </xf>
    <xf numFmtId="179" fontId="15" fillId="2" borderId="4" xfId="138" applyFont="1" applyFill="1" applyBorder="1" applyAlignment="1">
      <alignment horizontal="center" vertical="center" shrinkToFit="1"/>
    </xf>
    <xf numFmtId="178" fontId="15" fillId="2" borderId="1" xfId="4" applyNumberFormat="1" applyFont="1" applyFill="1" applyBorder="1" applyAlignment="1">
      <alignment vertical="center" shrinkToFit="1"/>
    </xf>
    <xf numFmtId="41" fontId="15" fillId="2" borderId="1" xfId="4" applyFont="1" applyFill="1" applyBorder="1" applyAlignment="1">
      <alignment vertical="center" shrinkToFit="1"/>
    </xf>
    <xf numFmtId="5" fontId="19" fillId="0" borderId="0" xfId="138" applyNumberFormat="1" applyFont="1" applyAlignment="1">
      <alignment horizontal="right" vertical="center" shrinkToFit="1"/>
    </xf>
    <xf numFmtId="179" fontId="23" fillId="0" borderId="0" xfId="138" applyFont="1" applyAlignment="1">
      <alignment vertical="center" shrinkToFit="1"/>
    </xf>
    <xf numFmtId="178" fontId="19" fillId="0" borderId="0" xfId="4" applyNumberFormat="1" applyFont="1" applyAlignment="1">
      <alignment vertical="center" shrinkToFit="1"/>
    </xf>
    <xf numFmtId="184" fontId="17" fillId="0" borderId="0" xfId="1" applyNumberFormat="1" applyFont="1" applyAlignment="1">
      <alignment vertical="center" shrinkToFit="1"/>
    </xf>
    <xf numFmtId="179" fontId="20" fillId="0" borderId="0" xfId="138" applyFont="1" applyAlignment="1">
      <alignment horizontal="center" vertical="center" shrinkToFit="1"/>
    </xf>
    <xf numFmtId="41" fontId="19" fillId="0" borderId="0" xfId="4" applyFont="1" applyAlignment="1">
      <alignment horizontal="left" vertical="center"/>
    </xf>
    <xf numFmtId="179" fontId="23" fillId="0" borderId="0" xfId="138" applyFont="1" applyAlignment="1">
      <alignment horizontal="right" vertical="center" shrinkToFit="1"/>
    </xf>
    <xf numFmtId="178" fontId="20" fillId="0" borderId="0" xfId="1" applyNumberFormat="1" applyFont="1" applyAlignment="1">
      <alignment vertical="center" shrinkToFit="1"/>
    </xf>
    <xf numFmtId="41" fontId="20" fillId="0" borderId="0" xfId="1" applyFont="1" applyAlignment="1">
      <alignment vertical="center" shrinkToFit="1"/>
    </xf>
    <xf numFmtId="179" fontId="19" fillId="0" borderId="0" xfId="138" applyFont="1" applyAlignment="1">
      <alignment vertical="center" shrinkToFit="1"/>
    </xf>
    <xf numFmtId="41" fontId="19" fillId="0" borderId="0" xfId="1" applyFont="1" applyAlignment="1">
      <alignment vertical="center" shrinkToFit="1"/>
    </xf>
    <xf numFmtId="41" fontId="20" fillId="0" borderId="0" xfId="4" applyFont="1" applyAlignment="1">
      <alignment horizontal="left" vertical="center"/>
    </xf>
    <xf numFmtId="178" fontId="28" fillId="0" borderId="0" xfId="1" applyNumberFormat="1" applyFont="1" applyAlignment="1">
      <alignment horizontal="right" vertical="center"/>
    </xf>
    <xf numFmtId="178" fontId="20" fillId="0" borderId="0" xfId="1" applyNumberFormat="1" applyFont="1" applyAlignment="1">
      <alignment horizontal="right" vertical="center"/>
    </xf>
    <xf numFmtId="177" fontId="25" fillId="2" borderId="6" xfId="4" applyNumberFormat="1" applyFont="1" applyFill="1" applyBorder="1" applyAlignment="1">
      <alignment horizontal="center" vertical="center"/>
    </xf>
    <xf numFmtId="180" fontId="25" fillId="2" borderId="5" xfId="4" applyNumberFormat="1" applyFont="1" applyFill="1" applyBorder="1" applyAlignment="1">
      <alignment horizontal="center" vertical="center"/>
    </xf>
    <xf numFmtId="179" fontId="25" fillId="2" borderId="8" xfId="4" applyNumberFormat="1" applyFont="1" applyFill="1" applyBorder="1" applyAlignment="1">
      <alignment horizontal="center" vertical="center"/>
    </xf>
    <xf numFmtId="180" fontId="25" fillId="2" borderId="8" xfId="4" applyNumberFormat="1" applyFont="1" applyFill="1" applyBorder="1" applyAlignment="1">
      <alignment horizontal="center" vertical="center"/>
    </xf>
    <xf numFmtId="180" fontId="25" fillId="2" borderId="8" xfId="4" applyNumberFormat="1" applyFont="1" applyFill="1" applyBorder="1" applyAlignment="1">
      <alignment horizontal="center" vertical="center" shrinkToFit="1"/>
    </xf>
    <xf numFmtId="180" fontId="25" fillId="2" borderId="1" xfId="4" applyNumberFormat="1" applyFont="1" applyFill="1" applyBorder="1" applyAlignment="1">
      <alignment horizontal="center" vertical="center" shrinkToFit="1"/>
    </xf>
    <xf numFmtId="177" fontId="15" fillId="2" borderId="10" xfId="4" applyNumberFormat="1" applyFont="1" applyFill="1" applyBorder="1" applyAlignment="1">
      <alignment horizontal="center" vertical="center"/>
    </xf>
    <xf numFmtId="180" fontId="15" fillId="2" borderId="9" xfId="4" applyNumberFormat="1" applyFont="1" applyFill="1" applyBorder="1" applyAlignment="1">
      <alignment horizontal="center" vertical="center"/>
    </xf>
    <xf numFmtId="179" fontId="15" fillId="2" borderId="12" xfId="4" applyNumberFormat="1" applyFont="1" applyFill="1" applyBorder="1" applyAlignment="1">
      <alignment horizontal="center" vertical="center"/>
    </xf>
    <xf numFmtId="180" fontId="15" fillId="2" borderId="12" xfId="4" applyNumberFormat="1" applyFont="1" applyFill="1" applyBorder="1" applyAlignment="1">
      <alignment horizontal="center" vertical="center"/>
    </xf>
    <xf numFmtId="180" fontId="15" fillId="2" borderId="12" xfId="4" applyNumberFormat="1" applyFont="1" applyFill="1" applyBorder="1" applyAlignment="1">
      <alignment horizontal="center" vertical="center" shrinkToFit="1"/>
    </xf>
    <xf numFmtId="178" fontId="15" fillId="2" borderId="8" xfId="4" applyNumberFormat="1" applyFont="1" applyFill="1" applyBorder="1" applyAlignment="1">
      <alignment horizontal="center" vertical="center"/>
    </xf>
    <xf numFmtId="178" fontId="15" fillId="2" borderId="8" xfId="4" applyNumberFormat="1" applyFont="1" applyFill="1" applyBorder="1" applyAlignment="1">
      <alignment horizontal="center" vertical="center" shrinkToFit="1"/>
    </xf>
    <xf numFmtId="178" fontId="15" fillId="2" borderId="5" xfId="4" applyNumberFormat="1" applyFont="1" applyFill="1" applyBorder="1" applyAlignment="1">
      <alignment horizontal="center" vertical="center"/>
    </xf>
    <xf numFmtId="180" fontId="15" fillId="2" borderId="29" xfId="138" applyNumberFormat="1" applyFont="1" applyFill="1" applyBorder="1" applyAlignment="1">
      <alignment horizontal="center" vertical="center"/>
    </xf>
    <xf numFmtId="180" fontId="15" fillId="2" borderId="30" xfId="138" applyNumberFormat="1" applyFont="1" applyFill="1" applyBorder="1" applyAlignment="1">
      <alignment horizontal="center" vertical="center"/>
    </xf>
    <xf numFmtId="180" fontId="15" fillId="2" borderId="8" xfId="4" applyNumberFormat="1" applyFont="1" applyFill="1" applyBorder="1" applyAlignment="1">
      <alignment horizontal="center" vertical="center" shrinkToFit="1"/>
    </xf>
    <xf numFmtId="183" fontId="16" fillId="13" borderId="33" xfId="138" applyNumberFormat="1" applyFont="1" applyFill="1" applyBorder="1" applyAlignment="1">
      <alignment horizontal="center" vertical="center"/>
    </xf>
    <xf numFmtId="179" fontId="16" fillId="13" borderId="33" xfId="138" applyFont="1" applyFill="1" applyBorder="1" applyAlignment="1">
      <alignment vertical="center"/>
    </xf>
    <xf numFmtId="179" fontId="16" fillId="13" borderId="33" xfId="138" applyFont="1" applyFill="1" applyBorder="1" applyAlignment="1">
      <alignment horizontal="left" vertical="center"/>
    </xf>
    <xf numFmtId="179" fontId="16" fillId="13" borderId="33" xfId="138" applyFont="1" applyFill="1" applyBorder="1" applyAlignment="1">
      <alignment horizontal="center" vertical="center"/>
    </xf>
    <xf numFmtId="179" fontId="16" fillId="13" borderId="33" xfId="138" applyFont="1" applyFill="1" applyBorder="1" applyAlignment="1">
      <alignment vertical="center" shrinkToFit="1"/>
    </xf>
    <xf numFmtId="178" fontId="16" fillId="13" borderId="33" xfId="138" applyNumberFormat="1" applyFont="1" applyFill="1" applyBorder="1" applyAlignment="1">
      <alignment vertical="center"/>
    </xf>
    <xf numFmtId="178" fontId="16" fillId="13" borderId="33" xfId="4" applyNumberFormat="1" applyFont="1" applyFill="1" applyBorder="1" applyAlignment="1">
      <alignment vertical="center"/>
    </xf>
    <xf numFmtId="178" fontId="16" fillId="13" borderId="33" xfId="1" applyNumberFormat="1" applyFont="1" applyFill="1" applyBorder="1" applyAlignment="1">
      <alignment vertical="center"/>
    </xf>
    <xf numFmtId="178" fontId="27" fillId="13" borderId="33" xfId="1" applyNumberFormat="1" applyFont="1" applyFill="1" applyBorder="1" applyAlignment="1">
      <alignment vertical="center"/>
    </xf>
    <xf numFmtId="178" fontId="24" fillId="13" borderId="33" xfId="1" applyNumberFormat="1" applyFont="1" applyFill="1" applyBorder="1" applyAlignment="1">
      <alignment vertical="center"/>
    </xf>
    <xf numFmtId="185" fontId="24" fillId="13" borderId="33" xfId="138" applyNumberFormat="1" applyFont="1" applyFill="1" applyBorder="1" applyAlignment="1">
      <alignment horizontal="left" vertical="center"/>
    </xf>
    <xf numFmtId="179" fontId="20" fillId="13" borderId="33" xfId="138" applyFont="1" applyFill="1" applyBorder="1" applyAlignment="1">
      <alignment vertical="center" shrinkToFit="1"/>
    </xf>
    <xf numFmtId="178" fontId="23" fillId="0" borderId="0" xfId="1" applyNumberFormat="1" applyFont="1" applyAlignment="1">
      <alignment vertical="center"/>
    </xf>
    <xf numFmtId="177" fontId="20" fillId="0" borderId="26" xfId="138" applyNumberFormat="1" applyFont="1" applyBorder="1" applyAlignment="1">
      <alignment horizontal="center" vertical="center" wrapText="1" shrinkToFit="1"/>
    </xf>
    <xf numFmtId="179" fontId="23" fillId="0" borderId="26" xfId="138" applyFont="1" applyBorder="1" applyAlignment="1">
      <alignment vertical="center"/>
    </xf>
    <xf numFmtId="178" fontId="20" fillId="0" borderId="26" xfId="1" applyNumberFormat="1" applyFont="1" applyBorder="1" applyAlignment="1">
      <alignment horizontal="center" vertical="center"/>
    </xf>
    <xf numFmtId="182" fontId="17" fillId="0" borderId="26" xfId="4" applyNumberFormat="1" applyFont="1" applyBorder="1" applyAlignment="1">
      <alignment horizontal="right" vertical="center" shrinkToFit="1"/>
    </xf>
    <xf numFmtId="178" fontId="20" fillId="4" borderId="26" xfId="4" applyNumberFormat="1" applyFont="1" applyFill="1" applyBorder="1" applyAlignment="1">
      <alignment vertical="center" shrinkToFit="1"/>
    </xf>
    <xf numFmtId="178" fontId="20" fillId="0" borderId="26" xfId="4" applyNumberFormat="1" applyFont="1" applyBorder="1" applyAlignment="1">
      <alignment vertical="center" shrinkToFit="1"/>
    </xf>
    <xf numFmtId="179" fontId="20" fillId="0" borderId="26" xfId="138" applyFont="1" applyBorder="1" applyAlignment="1">
      <alignment horizontal="left" vertical="center" shrinkToFit="1"/>
    </xf>
    <xf numFmtId="179" fontId="20" fillId="0" borderId="26" xfId="138" quotePrefix="1" applyFont="1" applyBorder="1" applyAlignment="1">
      <alignment vertical="center" shrinkToFit="1"/>
    </xf>
    <xf numFmtId="178" fontId="20" fillId="0" borderId="0" xfId="1" applyNumberFormat="1" applyFont="1" applyAlignment="1">
      <alignment vertical="center"/>
    </xf>
    <xf numFmtId="177" fontId="20" fillId="8" borderId="26" xfId="138" applyNumberFormat="1" applyFont="1" applyFill="1" applyBorder="1" applyAlignment="1">
      <alignment horizontal="center" vertical="center" wrapText="1" shrinkToFit="1"/>
    </xf>
    <xf numFmtId="179" fontId="23" fillId="8" borderId="26" xfId="138" applyFont="1" applyFill="1" applyBorder="1" applyAlignment="1">
      <alignment vertical="center"/>
    </xf>
    <xf numFmtId="178" fontId="20" fillId="8" borderId="26" xfId="1" applyNumberFormat="1" applyFont="1" applyFill="1" applyBorder="1" applyAlignment="1">
      <alignment horizontal="center" vertical="center"/>
    </xf>
    <xf numFmtId="182" fontId="17" fillId="8" borderId="26" xfId="4" applyNumberFormat="1" applyFont="1" applyFill="1" applyBorder="1" applyAlignment="1">
      <alignment horizontal="right" vertical="center" shrinkToFit="1"/>
    </xf>
    <xf numFmtId="178" fontId="20" fillId="8" borderId="26" xfId="4" applyNumberFormat="1" applyFont="1" applyFill="1" applyBorder="1" applyAlignment="1">
      <alignment vertical="center" shrinkToFit="1"/>
    </xf>
    <xf numFmtId="179" fontId="20" fillId="8" borderId="26" xfId="138" applyFont="1" applyFill="1" applyBorder="1" applyAlignment="1">
      <alignment horizontal="left" vertical="center" shrinkToFit="1"/>
    </xf>
    <xf numFmtId="179" fontId="20" fillId="8" borderId="26" xfId="138" quotePrefix="1" applyFont="1" applyFill="1" applyBorder="1" applyAlignment="1">
      <alignment vertical="center" shrinkToFit="1"/>
    </xf>
    <xf numFmtId="177" fontId="20" fillId="10" borderId="26" xfId="138" applyNumberFormat="1" applyFont="1" applyFill="1" applyBorder="1" applyAlignment="1">
      <alignment horizontal="center" vertical="center" wrapText="1" shrinkToFit="1"/>
    </xf>
    <xf numFmtId="178" fontId="20" fillId="10" borderId="26" xfId="1" applyNumberFormat="1" applyFont="1" applyFill="1" applyBorder="1" applyAlignment="1">
      <alignment horizontal="center" vertical="center"/>
    </xf>
    <xf numFmtId="182" fontId="17" fillId="10" borderId="26" xfId="4" applyNumberFormat="1" applyFont="1" applyFill="1" applyBorder="1" applyAlignment="1">
      <alignment horizontal="right" vertical="center" shrinkToFit="1"/>
    </xf>
    <xf numFmtId="178" fontId="20" fillId="10" borderId="26" xfId="4" applyNumberFormat="1" applyFont="1" applyFill="1" applyBorder="1" applyAlignment="1">
      <alignment vertical="center" shrinkToFit="1"/>
    </xf>
    <xf numFmtId="179" fontId="20" fillId="10" borderId="26" xfId="138" applyFont="1" applyFill="1" applyBorder="1" applyAlignment="1">
      <alignment horizontal="left" vertical="center" shrinkToFit="1"/>
    </xf>
    <xf numFmtId="179" fontId="20" fillId="10" borderId="26" xfId="138" quotePrefix="1" applyFont="1" applyFill="1" applyBorder="1" applyAlignment="1">
      <alignment vertical="center" shrinkToFit="1"/>
    </xf>
    <xf numFmtId="177" fontId="17" fillId="0" borderId="26" xfId="0" applyNumberFormat="1" applyFont="1" applyBorder="1" applyAlignment="1">
      <alignment horizontal="left" vertical="center"/>
    </xf>
    <xf numFmtId="178" fontId="20" fillId="0" borderId="26" xfId="1" applyNumberFormat="1" applyFont="1" applyBorder="1" applyAlignment="1">
      <alignment horizontal="center" vertical="center" wrapText="1" shrinkToFit="1"/>
    </xf>
    <xf numFmtId="179" fontId="20" fillId="0" borderId="26" xfId="138" applyFont="1" applyBorder="1" applyAlignment="1">
      <alignment vertical="center" shrinkToFit="1"/>
    </xf>
    <xf numFmtId="177" fontId="20" fillId="14" borderId="26" xfId="138" applyNumberFormat="1" applyFont="1" applyFill="1" applyBorder="1" applyAlignment="1">
      <alignment horizontal="center" vertical="center" wrapText="1" shrinkToFit="1"/>
    </xf>
    <xf numFmtId="177" fontId="17" fillId="14" borderId="26" xfId="0" applyNumberFormat="1" applyFont="1" applyFill="1" applyBorder="1" applyAlignment="1">
      <alignment horizontal="left" vertical="center"/>
    </xf>
    <xf numFmtId="41" fontId="20" fillId="14" borderId="26" xfId="1" applyFont="1" applyFill="1" applyBorder="1" applyAlignment="1">
      <alignment horizontal="center" vertical="center" wrapText="1" shrinkToFit="1"/>
    </xf>
    <xf numFmtId="178" fontId="20" fillId="14" borderId="26" xfId="1" applyNumberFormat="1" applyFont="1" applyFill="1" applyBorder="1" applyAlignment="1">
      <alignment horizontal="center" vertical="center"/>
    </xf>
    <xf numFmtId="182" fontId="17" fillId="14" borderId="26" xfId="4" applyNumberFormat="1" applyFont="1" applyFill="1" applyBorder="1" applyAlignment="1">
      <alignment horizontal="right" vertical="center" shrinkToFit="1"/>
    </xf>
    <xf numFmtId="178" fontId="20" fillId="14" borderId="26" xfId="4" applyNumberFormat="1" applyFont="1" applyFill="1" applyBorder="1" applyAlignment="1">
      <alignment vertical="center" shrinkToFit="1"/>
    </xf>
    <xf numFmtId="179" fontId="20" fillId="14" borderId="26" xfId="138" applyFont="1" applyFill="1" applyBorder="1" applyAlignment="1">
      <alignment horizontal="left" vertical="center" shrinkToFit="1"/>
    </xf>
    <xf numFmtId="179" fontId="20" fillId="14" borderId="26" xfId="138" quotePrefix="1" applyFont="1" applyFill="1" applyBorder="1" applyAlignment="1">
      <alignment vertical="center" shrinkToFit="1"/>
    </xf>
    <xf numFmtId="179" fontId="23" fillId="0" borderId="0" xfId="138" applyFont="1" applyAlignment="1">
      <alignment vertical="center"/>
    </xf>
    <xf numFmtId="177" fontId="17" fillId="0" borderId="0" xfId="137" applyNumberFormat="1" applyFont="1" applyAlignment="1">
      <alignment horizontal="center" vertical="center"/>
    </xf>
    <xf numFmtId="179" fontId="17" fillId="0" borderId="0" xfId="137" applyFont="1" applyAlignment="1">
      <alignment horizontal="center" vertical="center"/>
    </xf>
    <xf numFmtId="180" fontId="17" fillId="0" borderId="0" xfId="4" applyNumberFormat="1" applyFont="1" applyAlignment="1">
      <alignment vertical="center"/>
    </xf>
    <xf numFmtId="181" fontId="17" fillId="0" borderId="0" xfId="4" applyNumberFormat="1" applyFont="1" applyAlignment="1">
      <alignment vertical="center" shrinkToFit="1"/>
    </xf>
    <xf numFmtId="180" fontId="17" fillId="0" borderId="0" xfId="4" applyNumberFormat="1" applyFont="1" applyAlignment="1">
      <alignment vertical="center" shrinkToFit="1"/>
    </xf>
    <xf numFmtId="180" fontId="17" fillId="0" borderId="0" xfId="137" applyNumberFormat="1" applyFont="1" applyAlignment="1">
      <alignment vertical="center"/>
    </xf>
    <xf numFmtId="179" fontId="17" fillId="0" borderId="0" xfId="137" applyFont="1" applyAlignment="1">
      <alignment vertical="center"/>
    </xf>
    <xf numFmtId="179" fontId="17" fillId="0" borderId="0" xfId="137" applyFont="1" applyAlignment="1">
      <alignment vertical="center" shrinkToFit="1"/>
    </xf>
    <xf numFmtId="177" fontId="16" fillId="0" borderId="0" xfId="138" applyNumberFormat="1" applyFont="1" applyAlignment="1">
      <alignment horizontal="left" vertical="center"/>
    </xf>
    <xf numFmtId="179" fontId="17" fillId="0" borderId="1" xfId="138" applyFont="1" applyBorder="1" applyAlignment="1">
      <alignment horizontal="left" vertical="center"/>
    </xf>
    <xf numFmtId="41" fontId="17" fillId="0" borderId="1" xfId="4" applyFont="1" applyBorder="1" applyAlignment="1">
      <alignment vertical="center" shrinkToFit="1"/>
    </xf>
    <xf numFmtId="179" fontId="17" fillId="0" borderId="1" xfId="138" applyFont="1" applyBorder="1" applyAlignment="1">
      <alignment vertical="center"/>
    </xf>
    <xf numFmtId="179" fontId="17" fillId="3" borderId="1" xfId="138" applyFont="1" applyFill="1" applyBorder="1" applyAlignment="1">
      <alignment vertical="center"/>
    </xf>
    <xf numFmtId="178" fontId="17" fillId="3" borderId="1" xfId="4" applyNumberFormat="1" applyFont="1" applyFill="1" applyBorder="1" applyAlignment="1">
      <alignment vertical="center"/>
    </xf>
    <xf numFmtId="41" fontId="17" fillId="3" borderId="1" xfId="4" applyFont="1" applyFill="1" applyBorder="1" applyAlignment="1">
      <alignment vertical="center" shrinkToFit="1"/>
    </xf>
    <xf numFmtId="178" fontId="17" fillId="0" borderId="1" xfId="4" applyNumberFormat="1" applyFont="1" applyBorder="1" applyAlignment="1">
      <alignment vertical="center" shrinkToFit="1"/>
    </xf>
    <xf numFmtId="177" fontId="25" fillId="2" borderId="26" xfId="4" applyNumberFormat="1" applyFont="1" applyFill="1" applyBorder="1" applyAlignment="1">
      <alignment horizontal="center" vertical="center"/>
    </xf>
    <xf numFmtId="180" fontId="25" fillId="2" borderId="26" xfId="4" applyNumberFormat="1" applyFont="1" applyFill="1" applyBorder="1" applyAlignment="1">
      <alignment horizontal="center" vertical="center"/>
    </xf>
    <xf numFmtId="179" fontId="25" fillId="2" borderId="26" xfId="4" applyNumberFormat="1" applyFont="1" applyFill="1" applyBorder="1" applyAlignment="1">
      <alignment horizontal="center" vertical="center"/>
    </xf>
    <xf numFmtId="180" fontId="25" fillId="2" borderId="26" xfId="4" applyNumberFormat="1" applyFont="1" applyFill="1" applyBorder="1" applyAlignment="1">
      <alignment horizontal="center" vertical="center" shrinkToFit="1"/>
    </xf>
    <xf numFmtId="180" fontId="15" fillId="2" borderId="26" xfId="138" applyNumberFormat="1" applyFont="1" applyFill="1" applyBorder="1" applyAlignment="1">
      <alignment horizontal="center" vertical="center"/>
    </xf>
    <xf numFmtId="177" fontId="15" fillId="2" borderId="26" xfId="4" applyNumberFormat="1" applyFont="1" applyFill="1" applyBorder="1" applyAlignment="1">
      <alignment horizontal="center" vertical="center"/>
    </xf>
    <xf numFmtId="180" fontId="15" fillId="2" borderId="26" xfId="4" applyNumberFormat="1" applyFont="1" applyFill="1" applyBorder="1" applyAlignment="1">
      <alignment horizontal="center" vertical="center"/>
    </xf>
    <xf numFmtId="179" fontId="15" fillId="2" borderId="26" xfId="4" applyNumberFormat="1" applyFont="1" applyFill="1" applyBorder="1" applyAlignment="1">
      <alignment horizontal="center" vertical="center"/>
    </xf>
    <xf numFmtId="180" fontId="15" fillId="2" borderId="26" xfId="4" applyNumberFormat="1" applyFont="1" applyFill="1" applyBorder="1" applyAlignment="1">
      <alignment horizontal="center" vertical="center" shrinkToFit="1"/>
    </xf>
    <xf numFmtId="178" fontId="15" fillId="2" borderId="26" xfId="4" applyNumberFormat="1" applyFont="1" applyFill="1" applyBorder="1" applyAlignment="1">
      <alignment horizontal="center" vertical="center"/>
    </xf>
    <xf numFmtId="178" fontId="15" fillId="2" borderId="26" xfId="4" applyNumberFormat="1" applyFont="1" applyFill="1" applyBorder="1" applyAlignment="1">
      <alignment horizontal="center" vertical="center" shrinkToFit="1"/>
    </xf>
    <xf numFmtId="183" fontId="16" fillId="13" borderId="26" xfId="138" applyNumberFormat="1" applyFont="1" applyFill="1" applyBorder="1" applyAlignment="1">
      <alignment horizontal="center" vertical="center"/>
    </xf>
    <xf numFmtId="179" fontId="16" fillId="13" borderId="26" xfId="138" applyFont="1" applyFill="1" applyBorder="1" applyAlignment="1">
      <alignment vertical="center"/>
    </xf>
    <xf numFmtId="179" fontId="16" fillId="13" borderId="26" xfId="138" applyFont="1" applyFill="1" applyBorder="1" applyAlignment="1">
      <alignment horizontal="left" vertical="center"/>
    </xf>
    <xf numFmtId="179" fontId="16" fillId="13" borderId="26" xfId="138" applyFont="1" applyFill="1" applyBorder="1" applyAlignment="1">
      <alignment horizontal="center" vertical="center"/>
    </xf>
    <xf numFmtId="179" fontId="16" fillId="13" borderId="26" xfId="138" applyFont="1" applyFill="1" applyBorder="1" applyAlignment="1">
      <alignment vertical="center" shrinkToFit="1"/>
    </xf>
    <xf numFmtId="178" fontId="16" fillId="13" borderId="26" xfId="138" applyNumberFormat="1" applyFont="1" applyFill="1" applyBorder="1" applyAlignment="1">
      <alignment vertical="center"/>
    </xf>
    <xf numFmtId="178" fontId="16" fillId="13" borderId="26" xfId="4" applyNumberFormat="1" applyFont="1" applyFill="1" applyBorder="1" applyAlignment="1">
      <alignment vertical="center"/>
    </xf>
    <xf numFmtId="178" fontId="16" fillId="13" borderId="26" xfId="1" applyNumberFormat="1" applyFont="1" applyFill="1" applyBorder="1" applyAlignment="1">
      <alignment vertical="center"/>
    </xf>
    <xf numFmtId="178" fontId="27" fillId="13" borderId="26" xfId="1" applyNumberFormat="1" applyFont="1" applyFill="1" applyBorder="1" applyAlignment="1">
      <alignment vertical="center"/>
    </xf>
    <xf numFmtId="178" fontId="24" fillId="13" borderId="26" xfId="1" applyNumberFormat="1" applyFont="1" applyFill="1" applyBorder="1" applyAlignment="1">
      <alignment vertical="center"/>
    </xf>
    <xf numFmtId="185" fontId="24" fillId="13" borderId="26" xfId="138" applyNumberFormat="1" applyFont="1" applyFill="1" applyBorder="1" applyAlignment="1">
      <alignment horizontal="left" vertical="center"/>
    </xf>
    <xf numFmtId="179" fontId="20" fillId="13" borderId="26" xfId="138" applyFont="1" applyFill="1" applyBorder="1" applyAlignment="1">
      <alignment vertical="center" shrinkToFit="1"/>
    </xf>
    <xf numFmtId="177" fontId="20" fillId="8" borderId="26" xfId="0" applyNumberFormat="1" applyFont="1" applyFill="1" applyBorder="1" applyAlignment="1">
      <alignment horizontal="center" vertical="center"/>
    </xf>
    <xf numFmtId="178" fontId="20" fillId="16" borderId="26" xfId="4" applyNumberFormat="1" applyFont="1" applyFill="1" applyBorder="1" applyAlignment="1">
      <alignment vertical="center" shrinkToFit="1"/>
    </xf>
    <xf numFmtId="177" fontId="20" fillId="0" borderId="26" xfId="0" applyNumberFormat="1" applyFont="1" applyBorder="1" applyAlignment="1">
      <alignment horizontal="center" vertical="center"/>
    </xf>
    <xf numFmtId="178" fontId="20" fillId="11" borderId="26" xfId="4" applyNumberFormat="1" applyFont="1" applyFill="1" applyBorder="1" applyAlignment="1">
      <alignment vertical="center" shrinkToFit="1"/>
    </xf>
    <xf numFmtId="187" fontId="20" fillId="0" borderId="26" xfId="0" applyNumberFormat="1" applyFont="1" applyBorder="1" applyAlignment="1">
      <alignment horizontal="center" vertical="center"/>
    </xf>
    <xf numFmtId="178" fontId="17" fillId="0" borderId="26" xfId="1" applyNumberFormat="1" applyFont="1" applyBorder="1" applyAlignment="1">
      <alignment horizontal="center" vertical="center" wrapText="1"/>
    </xf>
    <xf numFmtId="178" fontId="20" fillId="5" borderId="26" xfId="4" applyNumberFormat="1" applyFont="1" applyFill="1" applyBorder="1" applyAlignment="1">
      <alignment vertical="center" shrinkToFit="1"/>
    </xf>
    <xf numFmtId="178" fontId="17" fillId="0" borderId="26" xfId="1" applyNumberFormat="1" applyFont="1" applyBorder="1" applyAlignment="1">
      <alignment horizontal="center" vertical="center" wrapText="1" shrinkToFit="1"/>
    </xf>
    <xf numFmtId="178" fontId="20" fillId="0" borderId="26" xfId="1" applyNumberFormat="1" applyFont="1" applyBorder="1" applyAlignment="1">
      <alignment vertical="center" shrinkToFit="1"/>
    </xf>
    <xf numFmtId="179" fontId="17" fillId="0" borderId="0" xfId="137" applyFont="1" applyAlignment="1">
      <alignment horizontal="left" vertical="center"/>
    </xf>
    <xf numFmtId="180" fontId="17" fillId="0" borderId="0" xfId="4" applyNumberFormat="1" applyFont="1" applyAlignment="1">
      <alignment horizontal="center" vertical="center" shrinkToFit="1"/>
    </xf>
    <xf numFmtId="178" fontId="20" fillId="0" borderId="0" xfId="4" applyNumberFormat="1" applyFont="1" applyAlignment="1">
      <alignment horizontal="center" vertical="center" shrinkToFit="1"/>
    </xf>
    <xf numFmtId="180" fontId="22" fillId="0" borderId="0" xfId="4" applyNumberFormat="1" applyFont="1" applyAlignment="1">
      <alignment horizontal="center" vertical="center" shrinkToFit="1"/>
    </xf>
    <xf numFmtId="180" fontId="15" fillId="2" borderId="1" xfId="4" applyNumberFormat="1" applyFont="1" applyFill="1" applyBorder="1" applyAlignment="1">
      <alignment horizontal="left" vertical="center"/>
    </xf>
    <xf numFmtId="178" fontId="17" fillId="0" borderId="1" xfId="4" applyNumberFormat="1" applyFont="1" applyBorder="1" applyAlignment="1">
      <alignment horizontal="center" vertical="center"/>
    </xf>
    <xf numFmtId="179" fontId="20" fillId="3" borderId="1" xfId="138" applyFont="1" applyFill="1" applyBorder="1" applyAlignment="1">
      <alignment horizontal="left" vertical="center"/>
    </xf>
    <xf numFmtId="178" fontId="23" fillId="3" borderId="1" xfId="4" applyNumberFormat="1" applyFont="1" applyFill="1" applyBorder="1" applyAlignment="1">
      <alignment horizontal="center" vertical="center"/>
    </xf>
    <xf numFmtId="178" fontId="20" fillId="0" borderId="1" xfId="4" applyNumberFormat="1" applyFont="1" applyBorder="1" applyAlignment="1">
      <alignment horizontal="center" vertical="center"/>
    </xf>
    <xf numFmtId="179" fontId="15" fillId="2" borderId="4" xfId="138" applyFont="1" applyFill="1" applyBorder="1" applyAlignment="1">
      <alignment horizontal="left" vertical="center" shrinkToFit="1"/>
    </xf>
    <xf numFmtId="178" fontId="40" fillId="2" borderId="1" xfId="4" applyNumberFormat="1" applyFont="1" applyFill="1" applyBorder="1" applyAlignment="1">
      <alignment vertical="center" shrinkToFit="1"/>
    </xf>
    <xf numFmtId="178" fontId="17" fillId="0" borderId="0" xfId="4" applyNumberFormat="1" applyFont="1" applyAlignment="1">
      <alignment horizontal="left" vertical="center"/>
    </xf>
    <xf numFmtId="41" fontId="17" fillId="0" borderId="0" xfId="1" applyFont="1" applyAlignment="1">
      <alignment horizontal="left" vertical="center"/>
    </xf>
    <xf numFmtId="178" fontId="20" fillId="0" borderId="0" xfId="1" applyNumberFormat="1" applyFont="1" applyAlignment="1">
      <alignment horizontal="center" vertical="center" shrinkToFit="1"/>
    </xf>
    <xf numFmtId="178" fontId="28" fillId="0" borderId="0" xfId="1" applyNumberFormat="1" applyFont="1" applyAlignment="1">
      <alignment horizontal="center" vertical="center"/>
    </xf>
    <xf numFmtId="180" fontId="25" fillId="2" borderId="26" xfId="4" applyNumberFormat="1" applyFont="1" applyFill="1" applyBorder="1" applyAlignment="1">
      <alignment horizontal="left" vertical="center"/>
    </xf>
    <xf numFmtId="180" fontId="15" fillId="2" borderId="26" xfId="4" applyNumberFormat="1" applyFont="1" applyFill="1" applyBorder="1" applyAlignment="1">
      <alignment horizontal="left" vertical="center"/>
    </xf>
    <xf numFmtId="178" fontId="15" fillId="2" borderId="26" xfId="1" applyNumberFormat="1" applyFont="1" applyFill="1" applyBorder="1" applyAlignment="1">
      <alignment horizontal="center" vertical="center"/>
    </xf>
    <xf numFmtId="178" fontId="16" fillId="13" borderId="26" xfId="4" applyNumberFormat="1" applyFont="1" applyFill="1" applyBorder="1" applyAlignment="1">
      <alignment horizontal="center" vertical="center"/>
    </xf>
    <xf numFmtId="184" fontId="20" fillId="11" borderId="26" xfId="4" applyNumberFormat="1" applyFont="1" applyFill="1" applyBorder="1" applyAlignment="1">
      <alignment vertical="center" shrinkToFit="1"/>
    </xf>
    <xf numFmtId="178" fontId="20" fillId="9" borderId="26" xfId="1" applyNumberFormat="1" applyFont="1" applyFill="1" applyBorder="1" applyAlignment="1">
      <alignment vertical="center" shrinkToFit="1"/>
    </xf>
    <xf numFmtId="178" fontId="30" fillId="0" borderId="26" xfId="1" applyNumberFormat="1" applyFont="1" applyBorder="1" applyAlignment="1">
      <alignment horizontal="center" vertical="center"/>
    </xf>
    <xf numFmtId="178" fontId="20" fillId="11" borderId="26" xfId="1" applyNumberFormat="1" applyFont="1" applyFill="1" applyBorder="1" applyAlignment="1">
      <alignment vertical="center" shrinkToFit="1"/>
    </xf>
    <xf numFmtId="178" fontId="17" fillId="11" borderId="26" xfId="1" applyNumberFormat="1" applyFont="1" applyFill="1" applyBorder="1" applyAlignment="1">
      <alignment vertical="center" shrinkToFit="1"/>
    </xf>
    <xf numFmtId="182" fontId="17" fillId="11" borderId="26" xfId="4" applyNumberFormat="1" applyFont="1" applyFill="1" applyBorder="1" applyAlignment="1">
      <alignment horizontal="right" vertical="center" shrinkToFit="1"/>
    </xf>
    <xf numFmtId="178" fontId="17" fillId="9" borderId="26" xfId="4" applyNumberFormat="1" applyFont="1" applyFill="1" applyBorder="1" applyAlignment="1">
      <alignment vertical="center" shrinkToFit="1"/>
    </xf>
    <xf numFmtId="178" fontId="20" fillId="4" borderId="0" xfId="1" applyNumberFormat="1" applyFont="1" applyFill="1" applyAlignment="1">
      <alignment vertical="center"/>
    </xf>
    <xf numFmtId="179" fontId="17" fillId="0" borderId="0" xfId="138" applyFont="1" applyAlignment="1">
      <alignment vertical="center"/>
    </xf>
    <xf numFmtId="41" fontId="17" fillId="0" borderId="0" xfId="1" applyFont="1" applyAlignment="1">
      <alignment vertical="center"/>
    </xf>
    <xf numFmtId="178" fontId="16" fillId="13" borderId="26" xfId="1" applyNumberFormat="1" applyFont="1" applyFill="1" applyBorder="1" applyAlignment="1">
      <alignment horizontal="center" vertical="center"/>
    </xf>
    <xf numFmtId="178" fontId="32" fillId="0" borderId="26" xfId="1" applyNumberFormat="1" applyFont="1" applyBorder="1" applyAlignment="1">
      <alignment horizontal="center" vertical="center"/>
    </xf>
    <xf numFmtId="177" fontId="20" fillId="11" borderId="26" xfId="0" applyNumberFormat="1" applyFont="1" applyFill="1" applyBorder="1" applyAlignment="1">
      <alignment horizontal="center" vertical="center"/>
    </xf>
    <xf numFmtId="179" fontId="23" fillId="11" borderId="26" xfId="138" applyFont="1" applyFill="1" applyBorder="1" applyAlignment="1">
      <alignment vertical="center"/>
    </xf>
    <xf numFmtId="178" fontId="17" fillId="11" borderId="26" xfId="1" applyNumberFormat="1" applyFont="1" applyFill="1" applyBorder="1" applyAlignment="1">
      <alignment horizontal="center" vertical="center"/>
    </xf>
    <xf numFmtId="178" fontId="17" fillId="11" borderId="26" xfId="4" applyNumberFormat="1" applyFont="1" applyFill="1" applyBorder="1" applyAlignment="1">
      <alignment vertical="center" shrinkToFit="1"/>
    </xf>
    <xf numFmtId="179" fontId="20" fillId="11" borderId="26" xfId="138" applyFont="1" applyFill="1" applyBorder="1" applyAlignment="1">
      <alignment horizontal="left" vertical="center" shrinkToFit="1"/>
    </xf>
    <xf numFmtId="179" fontId="20" fillId="11" borderId="26" xfId="138" quotePrefix="1" applyFont="1" applyFill="1" applyBorder="1" applyAlignment="1">
      <alignment vertical="center" shrinkToFit="1"/>
    </xf>
    <xf numFmtId="178" fontId="17" fillId="4" borderId="26" xfId="4" applyNumberFormat="1" applyFont="1" applyFill="1" applyBorder="1" applyAlignment="1">
      <alignment vertical="center" shrinkToFit="1"/>
    </xf>
    <xf numFmtId="179" fontId="20" fillId="0" borderId="26" xfId="138" quotePrefix="1" applyFont="1" applyBorder="1" applyAlignment="1">
      <alignment horizontal="left" vertical="center" shrinkToFit="1"/>
    </xf>
    <xf numFmtId="178" fontId="17" fillId="0" borderId="26" xfId="1" applyNumberFormat="1" applyFont="1" applyBorder="1" applyAlignment="1">
      <alignment horizontal="center" vertical="center"/>
    </xf>
    <xf numFmtId="178" fontId="4" fillId="0" borderId="26" xfId="1" applyNumberFormat="1" applyFont="1" applyBorder="1" applyAlignment="1">
      <alignment horizontal="center" vertical="center"/>
    </xf>
    <xf numFmtId="178" fontId="4" fillId="0" borderId="26" xfId="1" applyNumberFormat="1" applyFont="1" applyBorder="1" applyAlignment="1">
      <alignment vertical="center"/>
    </xf>
    <xf numFmtId="178" fontId="7" fillId="0" borderId="26" xfId="1" applyNumberFormat="1" applyFont="1" applyBorder="1" applyAlignment="1">
      <alignment horizontal="center" vertical="center"/>
    </xf>
    <xf numFmtId="179" fontId="23" fillId="11" borderId="0" xfId="138" applyFont="1" applyFill="1" applyAlignment="1">
      <alignment vertical="center"/>
    </xf>
    <xf numFmtId="177" fontId="20" fillId="11" borderId="33" xfId="0" applyNumberFormat="1" applyFont="1" applyFill="1" applyBorder="1" applyAlignment="1">
      <alignment horizontal="center" vertical="center"/>
    </xf>
    <xf numFmtId="178" fontId="32" fillId="11" borderId="33" xfId="1" applyNumberFormat="1" applyFont="1" applyFill="1" applyBorder="1" applyAlignment="1">
      <alignment horizontal="center" vertical="center"/>
    </xf>
    <xf numFmtId="182" fontId="17" fillId="11" borderId="33" xfId="4" applyNumberFormat="1" applyFont="1" applyFill="1" applyBorder="1" applyAlignment="1">
      <alignment horizontal="right" vertical="center" shrinkToFit="1"/>
    </xf>
    <xf numFmtId="178" fontId="17" fillId="11" borderId="33" xfId="4" applyNumberFormat="1" applyFont="1" applyFill="1" applyBorder="1" applyAlignment="1">
      <alignment vertical="center" shrinkToFit="1"/>
    </xf>
    <xf numFmtId="178" fontId="20" fillId="11" borderId="33" xfId="4" applyNumberFormat="1" applyFont="1" applyFill="1" applyBorder="1" applyAlignment="1">
      <alignment vertical="center" shrinkToFit="1"/>
    </xf>
    <xf numFmtId="179" fontId="20" fillId="11" borderId="33" xfId="138" applyFont="1" applyFill="1" applyBorder="1" applyAlignment="1">
      <alignment horizontal="left" vertical="center" shrinkToFit="1"/>
    </xf>
    <xf numFmtId="179" fontId="20" fillId="11" borderId="33" xfId="138" quotePrefix="1" applyFont="1" applyFill="1" applyBorder="1" applyAlignment="1">
      <alignment vertical="center" shrinkToFit="1"/>
    </xf>
    <xf numFmtId="178" fontId="20" fillId="11" borderId="0" xfId="1" applyNumberFormat="1" applyFont="1" applyFill="1" applyAlignment="1">
      <alignment vertical="center"/>
    </xf>
    <xf numFmtId="179" fontId="20" fillId="11" borderId="0" xfId="138" applyFont="1" applyFill="1" applyAlignment="1">
      <alignment vertical="center"/>
    </xf>
    <xf numFmtId="177" fontId="21" fillId="11" borderId="32" xfId="0" applyNumberFormat="1" applyFont="1" applyFill="1" applyBorder="1" applyAlignment="1">
      <alignment horizontal="center" vertical="center"/>
    </xf>
    <xf numFmtId="178" fontId="33" fillId="11" borderId="32" xfId="1" applyNumberFormat="1" applyFont="1" applyFill="1" applyBorder="1" applyAlignment="1">
      <alignment horizontal="center" vertical="center"/>
    </xf>
    <xf numFmtId="182" fontId="42" fillId="11" borderId="32" xfId="4" applyNumberFormat="1" applyFont="1" applyFill="1" applyBorder="1" applyAlignment="1">
      <alignment horizontal="right" vertical="center" shrinkToFit="1"/>
    </xf>
    <xf numFmtId="178" fontId="42" fillId="5" borderId="32" xfId="4" applyNumberFormat="1" applyFont="1" applyFill="1" applyBorder="1" applyAlignment="1">
      <alignment vertical="center" shrinkToFit="1"/>
    </xf>
    <xf numFmtId="178" fontId="21" fillId="11" borderId="32" xfId="4" applyNumberFormat="1" applyFont="1" applyFill="1" applyBorder="1" applyAlignment="1">
      <alignment vertical="center" shrinkToFit="1"/>
    </xf>
    <xf numFmtId="179" fontId="21" fillId="11" borderId="32" xfId="138" applyFont="1" applyFill="1" applyBorder="1" applyAlignment="1">
      <alignment horizontal="left" vertical="center" shrinkToFit="1"/>
    </xf>
    <xf numFmtId="179" fontId="21" fillId="11" borderId="32" xfId="138" quotePrefix="1" applyFont="1" applyFill="1" applyBorder="1" applyAlignment="1">
      <alignment vertical="center" shrinkToFit="1"/>
    </xf>
    <xf numFmtId="177" fontId="20" fillId="0" borderId="31" xfId="0" applyNumberFormat="1" applyFont="1" applyBorder="1" applyAlignment="1">
      <alignment horizontal="center" vertical="center"/>
    </xf>
    <xf numFmtId="178" fontId="32" fillId="0" borderId="31" xfId="1" applyNumberFormat="1" applyFont="1" applyBorder="1" applyAlignment="1">
      <alignment horizontal="center" vertical="center"/>
    </xf>
    <xf numFmtId="182" fontId="17" fillId="0" borderId="31" xfId="4" applyNumberFormat="1" applyFont="1" applyBorder="1" applyAlignment="1">
      <alignment horizontal="right" vertical="center" shrinkToFit="1"/>
    </xf>
    <xf numFmtId="178" fontId="17" fillId="4" borderId="31" xfId="4" applyNumberFormat="1" applyFont="1" applyFill="1" applyBorder="1" applyAlignment="1">
      <alignment vertical="center" shrinkToFit="1"/>
    </xf>
    <xf numFmtId="178" fontId="20" fillId="0" borderId="31" xfId="4" applyNumberFormat="1" applyFont="1" applyBorder="1" applyAlignment="1">
      <alignment vertical="center" shrinkToFit="1"/>
    </xf>
    <xf numFmtId="179" fontId="20" fillId="0" borderId="31" xfId="138" applyFont="1" applyBorder="1" applyAlignment="1">
      <alignment horizontal="left" vertical="center" shrinkToFit="1"/>
    </xf>
    <xf numFmtId="179" fontId="20" fillId="0" borderId="31" xfId="138" quotePrefix="1" applyFont="1" applyBorder="1" applyAlignment="1">
      <alignment vertical="center" shrinkToFit="1"/>
    </xf>
    <xf numFmtId="178" fontId="30" fillId="0" borderId="26" xfId="1" applyNumberFormat="1" applyFont="1" applyBorder="1" applyAlignment="1">
      <alignment horizontal="center" vertical="center" wrapText="1"/>
    </xf>
    <xf numFmtId="177" fontId="20" fillId="9" borderId="33" xfId="0" applyNumberFormat="1" applyFont="1" applyFill="1" applyBorder="1" applyAlignment="1">
      <alignment horizontal="center" vertical="center"/>
    </xf>
    <xf numFmtId="179" fontId="20" fillId="9" borderId="33" xfId="138" applyFont="1" applyFill="1" applyBorder="1" applyAlignment="1">
      <alignment vertical="center" shrinkToFit="1"/>
    </xf>
    <xf numFmtId="178" fontId="20" fillId="9" borderId="33" xfId="1" applyNumberFormat="1" applyFont="1" applyFill="1" applyBorder="1" applyAlignment="1">
      <alignment horizontal="center" vertical="center"/>
    </xf>
    <xf numFmtId="182" fontId="17" fillId="9" borderId="33" xfId="4" applyNumberFormat="1" applyFont="1" applyFill="1" applyBorder="1" applyAlignment="1">
      <alignment horizontal="right" vertical="center" shrinkToFit="1"/>
    </xf>
    <xf numFmtId="178" fontId="17" fillId="4" borderId="33" xfId="4" applyNumberFormat="1" applyFont="1" applyFill="1" applyBorder="1" applyAlignment="1">
      <alignment vertical="center" shrinkToFit="1"/>
    </xf>
    <xf numFmtId="178" fontId="20" fillId="9" borderId="33" xfId="4" applyNumberFormat="1" applyFont="1" applyFill="1" applyBorder="1" applyAlignment="1">
      <alignment vertical="center" shrinkToFit="1"/>
    </xf>
    <xf numFmtId="179" fontId="20" fillId="9" borderId="33" xfId="138" applyFont="1" applyFill="1" applyBorder="1" applyAlignment="1">
      <alignment horizontal="left" vertical="center" shrinkToFit="1"/>
    </xf>
    <xf numFmtId="179" fontId="20" fillId="9" borderId="33" xfId="138" quotePrefix="1" applyFont="1" applyFill="1" applyBorder="1" applyAlignment="1">
      <alignment vertical="center" shrinkToFit="1"/>
    </xf>
    <xf numFmtId="177" fontId="21" fillId="9" borderId="32" xfId="0" applyNumberFormat="1" applyFont="1" applyFill="1" applyBorder="1" applyAlignment="1">
      <alignment horizontal="center" vertical="center"/>
    </xf>
    <xf numFmtId="179" fontId="21" fillId="9" borderId="32" xfId="138" applyFont="1" applyFill="1" applyBorder="1" applyAlignment="1">
      <alignment vertical="center" shrinkToFit="1"/>
    </xf>
    <xf numFmtId="178" fontId="21" fillId="9" borderId="32" xfId="1" applyNumberFormat="1" applyFont="1" applyFill="1" applyBorder="1" applyAlignment="1">
      <alignment horizontal="center" vertical="center"/>
    </xf>
    <xf numFmtId="182" fontId="42" fillId="9" borderId="32" xfId="4" applyNumberFormat="1" applyFont="1" applyFill="1" applyBorder="1" applyAlignment="1">
      <alignment horizontal="right" vertical="center" shrinkToFit="1"/>
    </xf>
    <xf numFmtId="178" fontId="21" fillId="9" borderId="32" xfId="4" applyNumberFormat="1" applyFont="1" applyFill="1" applyBorder="1" applyAlignment="1">
      <alignment vertical="center" shrinkToFit="1"/>
    </xf>
    <xf numFmtId="179" fontId="21" fillId="9" borderId="32" xfId="138" applyFont="1" applyFill="1" applyBorder="1" applyAlignment="1">
      <alignment horizontal="left" vertical="center" shrinkToFit="1"/>
    </xf>
    <xf numFmtId="179" fontId="21" fillId="9" borderId="32" xfId="138" quotePrefix="1" applyFont="1" applyFill="1" applyBorder="1" applyAlignment="1">
      <alignment vertical="center" shrinkToFit="1"/>
    </xf>
    <xf numFmtId="177" fontId="21" fillId="0" borderId="32" xfId="0" applyNumberFormat="1" applyFont="1" applyBorder="1" applyAlignment="1">
      <alignment horizontal="center" vertical="center"/>
    </xf>
    <xf numFmtId="179" fontId="21" fillId="0" borderId="32" xfId="138" applyFont="1" applyBorder="1" applyAlignment="1">
      <alignment vertical="center" shrinkToFit="1"/>
    </xf>
    <xf numFmtId="178" fontId="21" fillId="0" borderId="32" xfId="1" applyNumberFormat="1" applyFont="1" applyBorder="1" applyAlignment="1">
      <alignment horizontal="center" vertical="center"/>
    </xf>
    <xf numFmtId="182" fontId="42" fillId="0" borderId="32" xfId="4" applyNumberFormat="1" applyFont="1" applyBorder="1" applyAlignment="1">
      <alignment horizontal="right" vertical="center" shrinkToFit="1"/>
    </xf>
    <xf numFmtId="178" fontId="21" fillId="0" borderId="32" xfId="4" applyNumberFormat="1" applyFont="1" applyBorder="1" applyAlignment="1">
      <alignment vertical="center" shrinkToFit="1"/>
    </xf>
    <xf numFmtId="179" fontId="21" fillId="0" borderId="32" xfId="138" applyFont="1" applyBorder="1" applyAlignment="1">
      <alignment horizontal="left" vertical="center" shrinkToFit="1"/>
    </xf>
    <xf numFmtId="179" fontId="21" fillId="0" borderId="32" xfId="138" quotePrefix="1" applyFont="1" applyBorder="1" applyAlignment="1">
      <alignment vertical="center" shrinkToFit="1"/>
    </xf>
    <xf numFmtId="179" fontId="43" fillId="0" borderId="32" xfId="138" applyFont="1" applyBorder="1" applyAlignment="1">
      <alignment vertical="center"/>
    </xf>
    <xf numFmtId="178" fontId="31" fillId="0" borderId="32" xfId="1" applyNumberFormat="1" applyFont="1" applyBorder="1" applyAlignment="1">
      <alignment horizontal="center" vertical="center"/>
    </xf>
    <xf numFmtId="178" fontId="42" fillId="0" borderId="32" xfId="1" applyNumberFormat="1" applyFont="1" applyBorder="1" applyAlignment="1">
      <alignment horizontal="center" vertical="center"/>
    </xf>
    <xf numFmtId="178" fontId="42" fillId="0" borderId="32" xfId="1" applyNumberFormat="1" applyFont="1" applyBorder="1" applyAlignment="1">
      <alignment horizontal="center" vertical="center" wrapText="1"/>
    </xf>
    <xf numFmtId="178" fontId="4" fillId="0" borderId="32" xfId="1" applyNumberFormat="1" applyFont="1" applyBorder="1" applyAlignment="1">
      <alignment horizontal="center" vertical="center"/>
    </xf>
    <xf numFmtId="178" fontId="4" fillId="0" borderId="32" xfId="1" applyNumberFormat="1" applyFont="1" applyBorder="1" applyAlignment="1">
      <alignment vertical="center"/>
    </xf>
    <xf numFmtId="178" fontId="7" fillId="0" borderId="32" xfId="1" applyNumberFormat="1" applyFont="1" applyBorder="1" applyAlignment="1">
      <alignment horizontal="center" vertical="center"/>
    </xf>
    <xf numFmtId="41" fontId="4" fillId="0" borderId="32" xfId="1" applyFont="1" applyBorder="1" applyAlignment="1">
      <alignment vertical="center"/>
    </xf>
    <xf numFmtId="41" fontId="42" fillId="0" borderId="32" xfId="1" applyFont="1" applyBorder="1" applyAlignment="1">
      <alignment horizontal="center" vertical="center" wrapText="1"/>
    </xf>
    <xf numFmtId="41" fontId="31" fillId="0" borderId="32" xfId="1" applyFont="1" applyBorder="1" applyAlignment="1">
      <alignment horizontal="center" vertical="center" wrapText="1"/>
    </xf>
    <xf numFmtId="188" fontId="42" fillId="5" borderId="32" xfId="4" applyNumberFormat="1" applyFont="1" applyFill="1" applyBorder="1" applyAlignment="1">
      <alignment vertical="center" shrinkToFit="1"/>
    </xf>
    <xf numFmtId="178" fontId="43" fillId="0" borderId="32" xfId="4" applyNumberFormat="1" applyFont="1" applyBorder="1" applyAlignment="1">
      <alignment vertical="center" shrinkToFit="1"/>
    </xf>
    <xf numFmtId="177" fontId="53" fillId="0" borderId="0" xfId="138" applyNumberFormat="1" applyFont="1" applyAlignment="1">
      <alignment horizontal="center" vertical="center"/>
    </xf>
    <xf numFmtId="179" fontId="53" fillId="0" borderId="0" xfId="138" applyFont="1" applyAlignment="1">
      <alignment horizontal="left" vertical="center"/>
    </xf>
    <xf numFmtId="179" fontId="53" fillId="0" borderId="0" xfId="138" applyFont="1" applyAlignment="1">
      <alignment vertical="center"/>
    </xf>
    <xf numFmtId="179" fontId="53" fillId="0" borderId="0" xfId="138" applyFont="1" applyAlignment="1">
      <alignment vertical="center" shrinkToFit="1"/>
    </xf>
    <xf numFmtId="179" fontId="53" fillId="0" borderId="0" xfId="138" applyFont="1" applyAlignment="1">
      <alignment horizontal="center" vertical="center" shrinkToFit="1"/>
    </xf>
    <xf numFmtId="177" fontId="51" fillId="0" borderId="0" xfId="137" applyNumberFormat="1" applyFont="1" applyAlignment="1">
      <alignment horizontal="center" vertical="center"/>
    </xf>
    <xf numFmtId="179" fontId="51" fillId="0" borderId="0" xfId="137" applyFont="1" applyAlignment="1">
      <alignment horizontal="left" vertical="center"/>
    </xf>
    <xf numFmtId="179" fontId="51" fillId="0" borderId="0" xfId="137" applyFont="1" applyAlignment="1">
      <alignment horizontal="center" vertical="center"/>
    </xf>
    <xf numFmtId="180" fontId="51" fillId="0" borderId="0" xfId="4" applyNumberFormat="1" applyFont="1" applyAlignment="1">
      <alignment vertical="center"/>
    </xf>
    <xf numFmtId="181" fontId="51" fillId="0" borderId="0" xfId="4" applyNumberFormat="1" applyFont="1" applyAlignment="1">
      <alignment vertical="center" shrinkToFit="1"/>
    </xf>
    <xf numFmtId="180" fontId="51" fillId="0" borderId="0" xfId="4" applyNumberFormat="1" applyFont="1" applyAlignment="1">
      <alignment vertical="center" shrinkToFit="1"/>
    </xf>
    <xf numFmtId="180" fontId="51" fillId="0" borderId="0" xfId="4" applyNumberFormat="1" applyFont="1" applyAlignment="1">
      <alignment horizontal="center" vertical="center" shrinkToFit="1"/>
    </xf>
    <xf numFmtId="180" fontId="51" fillId="0" borderId="0" xfId="137" applyNumberFormat="1" applyFont="1" applyAlignment="1">
      <alignment vertical="center"/>
    </xf>
    <xf numFmtId="179" fontId="51" fillId="0" borderId="0" xfId="137" applyFont="1" applyAlignment="1">
      <alignment vertical="center"/>
    </xf>
    <xf numFmtId="179" fontId="51" fillId="0" borderId="0" xfId="137" applyFont="1" applyAlignment="1">
      <alignment vertical="center" shrinkToFit="1"/>
    </xf>
    <xf numFmtId="177" fontId="55" fillId="0" borderId="0" xfId="138" applyNumberFormat="1" applyFont="1" applyAlignment="1">
      <alignment horizontal="left" vertical="center"/>
    </xf>
    <xf numFmtId="43" fontId="53" fillId="0" borderId="0" xfId="138" applyNumberFormat="1" applyFont="1" applyAlignment="1">
      <alignment horizontal="left" vertical="center"/>
    </xf>
    <xf numFmtId="178" fontId="53" fillId="0" borderId="0" xfId="4" applyNumberFormat="1" applyFont="1" applyAlignment="1">
      <alignment vertical="center"/>
    </xf>
    <xf numFmtId="178" fontId="53" fillId="0" borderId="0" xfId="4" applyNumberFormat="1" applyFont="1" applyAlignment="1">
      <alignment horizontal="center" vertical="center" shrinkToFit="1"/>
    </xf>
    <xf numFmtId="180" fontId="56" fillId="0" borderId="0" xfId="4" quotePrefix="1" applyNumberFormat="1" applyFont="1" applyAlignment="1">
      <alignment horizontal="left" vertical="center"/>
    </xf>
    <xf numFmtId="179" fontId="53" fillId="0" borderId="0" xfId="138" applyFont="1" applyAlignment="1">
      <alignment horizontal="center" vertical="center"/>
    </xf>
    <xf numFmtId="179" fontId="57" fillId="0" borderId="0" xfId="138" applyFont="1" applyAlignment="1">
      <alignment vertical="center"/>
    </xf>
    <xf numFmtId="180" fontId="57" fillId="0" borderId="0" xfId="4" quotePrefix="1" applyNumberFormat="1" applyFont="1" applyAlignment="1">
      <alignment horizontal="left" vertical="center"/>
    </xf>
    <xf numFmtId="180" fontId="57" fillId="0" borderId="0" xfId="4" applyNumberFormat="1" applyFont="1" applyAlignment="1">
      <alignment horizontal="left" vertical="center"/>
    </xf>
    <xf numFmtId="180" fontId="57" fillId="0" borderId="0" xfId="4" applyNumberFormat="1" applyFont="1" applyAlignment="1">
      <alignment vertical="center"/>
    </xf>
    <xf numFmtId="180" fontId="57" fillId="0" borderId="0" xfId="137" applyNumberFormat="1" applyFont="1" applyAlignment="1">
      <alignment horizontal="left" vertical="center" shrinkToFit="1"/>
    </xf>
    <xf numFmtId="180" fontId="57" fillId="0" borderId="0" xfId="4" applyNumberFormat="1" applyFont="1" applyAlignment="1">
      <alignment horizontal="center" vertical="center" shrinkToFit="1"/>
    </xf>
    <xf numFmtId="179" fontId="57" fillId="0" borderId="0" xfId="138" applyFont="1" applyAlignment="1">
      <alignment horizontal="center" vertical="center"/>
    </xf>
    <xf numFmtId="177" fontId="56" fillId="2" borderId="1" xfId="4" applyNumberFormat="1" applyFont="1" applyFill="1" applyBorder="1" applyAlignment="1">
      <alignment horizontal="center" vertical="center"/>
    </xf>
    <xf numFmtId="180" fontId="56" fillId="2" borderId="1" xfId="4" applyNumberFormat="1" applyFont="1" applyFill="1" applyBorder="1" applyAlignment="1">
      <alignment horizontal="left" vertical="center"/>
    </xf>
    <xf numFmtId="180" fontId="56" fillId="2" borderId="1" xfId="4" applyNumberFormat="1" applyFont="1" applyFill="1" applyBorder="1" applyAlignment="1">
      <alignment horizontal="center" vertical="center"/>
    </xf>
    <xf numFmtId="178" fontId="56" fillId="2" borderId="1" xfId="4" applyNumberFormat="1" applyFont="1" applyFill="1" applyBorder="1" applyAlignment="1">
      <alignment vertical="center" wrapText="1"/>
    </xf>
    <xf numFmtId="180" fontId="56" fillId="2" borderId="1" xfId="4" applyNumberFormat="1" applyFont="1" applyFill="1" applyBorder="1" applyAlignment="1">
      <alignment horizontal="center" vertical="center" wrapText="1"/>
    </xf>
    <xf numFmtId="180" fontId="56" fillId="2" borderId="1" xfId="4" applyNumberFormat="1" applyFont="1" applyFill="1" applyBorder="1" applyAlignment="1">
      <alignment horizontal="center" vertical="center" shrinkToFit="1"/>
    </xf>
    <xf numFmtId="178" fontId="56" fillId="2" borderId="1" xfId="4" applyNumberFormat="1" applyFont="1" applyFill="1" applyBorder="1" applyAlignment="1">
      <alignment horizontal="center" vertical="center" shrinkToFit="1"/>
    </xf>
    <xf numFmtId="177" fontId="53" fillId="0" borderId="1" xfId="138" applyNumberFormat="1" applyFont="1" applyBorder="1" applyAlignment="1">
      <alignment horizontal="left" vertical="center"/>
    </xf>
    <xf numFmtId="179" fontId="53" fillId="0" borderId="1" xfId="138" applyFont="1" applyBorder="1" applyAlignment="1">
      <alignment horizontal="left" vertical="center"/>
    </xf>
    <xf numFmtId="178" fontId="53" fillId="0" borderId="1" xfId="4" applyNumberFormat="1" applyFont="1" applyBorder="1" applyAlignment="1">
      <alignment vertical="center"/>
    </xf>
    <xf numFmtId="178" fontId="53" fillId="0" borderId="2" xfId="4" applyNumberFormat="1" applyFont="1" applyBorder="1" applyAlignment="1">
      <alignment vertical="center"/>
    </xf>
    <xf numFmtId="41" fontId="53" fillId="0" borderId="1" xfId="4" applyFont="1" applyBorder="1" applyAlignment="1">
      <alignment vertical="center" shrinkToFit="1"/>
    </xf>
    <xf numFmtId="179" fontId="51" fillId="0" borderId="0" xfId="4" applyNumberFormat="1" applyFont="1" applyAlignment="1">
      <alignment vertical="center" shrinkToFit="1"/>
    </xf>
    <xf numFmtId="179" fontId="53" fillId="0" borderId="1" xfId="138" applyFont="1" applyBorder="1" applyAlignment="1">
      <alignment vertical="center"/>
    </xf>
    <xf numFmtId="178" fontId="51" fillId="0" borderId="1" xfId="4" applyNumberFormat="1" applyFont="1" applyBorder="1" applyAlignment="1">
      <alignment vertical="center"/>
    </xf>
    <xf numFmtId="178" fontId="51" fillId="0" borderId="1" xfId="4" applyNumberFormat="1" applyFont="1" applyBorder="1" applyAlignment="1">
      <alignment horizontal="center" vertical="center"/>
    </xf>
    <xf numFmtId="41" fontId="52" fillId="0" borderId="0" xfId="138" applyNumberFormat="1" applyFont="1" applyAlignment="1">
      <alignment horizontal="center" vertical="center"/>
    </xf>
    <xf numFmtId="179" fontId="53" fillId="0" borderId="0" xfId="4" applyNumberFormat="1" applyFont="1" applyAlignment="1">
      <alignment vertical="center" shrinkToFit="1"/>
    </xf>
    <xf numFmtId="179" fontId="54" fillId="0" borderId="0" xfId="4" applyNumberFormat="1" applyFont="1" applyAlignment="1">
      <alignment vertical="center" shrinkToFit="1"/>
    </xf>
    <xf numFmtId="179" fontId="52" fillId="0" borderId="0" xfId="4" applyNumberFormat="1" applyFont="1" applyAlignment="1">
      <alignment vertical="center" shrinkToFit="1"/>
    </xf>
    <xf numFmtId="43" fontId="52" fillId="0" borderId="0" xfId="138" applyNumberFormat="1" applyFont="1" applyAlignment="1">
      <alignment vertical="center" shrinkToFit="1"/>
    </xf>
    <xf numFmtId="179" fontId="4" fillId="0" borderId="0" xfId="138" applyFont="1" applyAlignment="1">
      <alignment vertical="center"/>
    </xf>
    <xf numFmtId="179" fontId="7" fillId="0" borderId="1" xfId="138" applyFont="1" applyBorder="1" applyAlignment="1">
      <alignment vertical="center"/>
    </xf>
    <xf numFmtId="178" fontId="7" fillId="0" borderId="1" xfId="564" applyNumberFormat="1" applyFont="1" applyBorder="1" applyAlignment="1">
      <alignment vertical="center"/>
    </xf>
    <xf numFmtId="178" fontId="7" fillId="0" borderId="1" xfId="564" applyNumberFormat="1" applyFont="1" applyBorder="1" applyAlignment="1">
      <alignment horizontal="center" vertical="center"/>
    </xf>
    <xf numFmtId="41" fontId="7" fillId="0" borderId="1" xfId="563" applyFont="1" applyBorder="1" applyAlignment="1">
      <alignment vertical="center" shrinkToFit="1"/>
    </xf>
    <xf numFmtId="179" fontId="4" fillId="0" borderId="0" xfId="138" applyFont="1" applyAlignment="1">
      <alignment horizontal="center" vertical="center"/>
    </xf>
    <xf numFmtId="179" fontId="53" fillId="3" borderId="1" xfId="138" applyFont="1" applyFill="1" applyBorder="1" applyAlignment="1">
      <alignment vertical="center"/>
    </xf>
    <xf numFmtId="179" fontId="53" fillId="3" borderId="1" xfId="138" applyFont="1" applyFill="1" applyBorder="1" applyAlignment="1">
      <alignment horizontal="left" vertical="center"/>
    </xf>
    <xf numFmtId="41" fontId="53" fillId="3" borderId="1" xfId="4" applyFont="1" applyFill="1" applyBorder="1" applyAlignment="1">
      <alignment vertical="center" shrinkToFit="1"/>
    </xf>
    <xf numFmtId="43" fontId="52" fillId="0" borderId="0" xfId="138" applyNumberFormat="1" applyFont="1" applyAlignment="1">
      <alignment horizontal="right" vertical="center" shrinkToFit="1"/>
    </xf>
    <xf numFmtId="178" fontId="53" fillId="3" borderId="1" xfId="4" applyNumberFormat="1" applyFont="1" applyFill="1" applyBorder="1" applyAlignment="1">
      <alignment vertical="center"/>
    </xf>
    <xf numFmtId="178" fontId="54" fillId="3" borderId="1" xfId="4" applyNumberFormat="1" applyFont="1" applyFill="1" applyBorder="1" applyAlignment="1">
      <alignment horizontal="center" vertical="center"/>
    </xf>
    <xf numFmtId="41" fontId="54" fillId="3" borderId="1" xfId="4" applyFont="1" applyFill="1" applyBorder="1" applyAlignment="1">
      <alignment vertical="center" shrinkToFit="1"/>
    </xf>
    <xf numFmtId="178" fontId="52" fillId="0" borderId="0" xfId="4" applyNumberFormat="1" applyFont="1" applyAlignment="1">
      <alignment vertical="center" shrinkToFit="1"/>
    </xf>
    <xf numFmtId="25" fontId="52" fillId="0" borderId="0" xfId="138" applyNumberFormat="1" applyFont="1" applyAlignment="1">
      <alignment horizontal="right" vertical="center" shrinkToFit="1"/>
    </xf>
    <xf numFmtId="178" fontId="53" fillId="0" borderId="1" xfId="4" applyNumberFormat="1" applyFont="1" applyBorder="1" applyAlignment="1">
      <alignment vertical="center" shrinkToFit="1"/>
    </xf>
    <xf numFmtId="178" fontId="53" fillId="0" borderId="1" xfId="4" applyNumberFormat="1" applyFont="1" applyBorder="1" applyAlignment="1">
      <alignment horizontal="center" vertical="center"/>
    </xf>
    <xf numFmtId="177" fontId="56" fillId="2" borderId="3" xfId="138" applyNumberFormat="1" applyFont="1" applyFill="1" applyBorder="1" applyAlignment="1">
      <alignment horizontal="center" vertical="center" shrinkToFit="1"/>
    </xf>
    <xf numFmtId="179" fontId="56" fillId="2" borderId="4" xfId="138" applyFont="1" applyFill="1" applyBorder="1" applyAlignment="1">
      <alignment horizontal="left" vertical="center" shrinkToFit="1"/>
    </xf>
    <xf numFmtId="178" fontId="56" fillId="2" borderId="1" xfId="4" applyNumberFormat="1" applyFont="1" applyFill="1" applyBorder="1" applyAlignment="1">
      <alignment vertical="center" shrinkToFit="1"/>
    </xf>
    <xf numFmtId="178" fontId="58" fillId="2" borderId="1" xfId="4" applyNumberFormat="1" applyFont="1" applyFill="1" applyBorder="1" applyAlignment="1">
      <alignment vertical="center" shrinkToFit="1"/>
    </xf>
    <xf numFmtId="41" fontId="56" fillId="2" borderId="1" xfId="4" applyFont="1" applyFill="1" applyBorder="1" applyAlignment="1">
      <alignment vertical="center" shrinkToFit="1"/>
    </xf>
    <xf numFmtId="5" fontId="52" fillId="0" borderId="0" xfId="138" applyNumberFormat="1" applyFont="1" applyAlignment="1">
      <alignment horizontal="right" vertical="center" shrinkToFit="1"/>
    </xf>
    <xf numFmtId="179" fontId="56" fillId="2" borderId="4" xfId="138" applyFont="1" applyFill="1" applyBorder="1" applyAlignment="1">
      <alignment horizontal="center" vertical="center" shrinkToFit="1"/>
    </xf>
    <xf numFmtId="178" fontId="53" fillId="0" borderId="0" xfId="4" applyNumberFormat="1" applyFont="1" applyAlignment="1">
      <alignment vertical="center" shrinkToFit="1"/>
    </xf>
    <xf numFmtId="178" fontId="51" fillId="0" borderId="0" xfId="4" applyNumberFormat="1" applyFont="1" applyAlignment="1">
      <alignment horizontal="left" vertical="center"/>
    </xf>
    <xf numFmtId="178" fontId="51" fillId="0" borderId="0" xfId="4" applyNumberFormat="1" applyFont="1" applyAlignment="1">
      <alignment vertical="center"/>
    </xf>
    <xf numFmtId="41" fontId="51" fillId="0" borderId="0" xfId="1" applyFont="1" applyAlignment="1">
      <alignment horizontal="left" vertical="center"/>
    </xf>
    <xf numFmtId="179" fontId="54" fillId="0" borderId="0" xfId="138" applyFont="1" applyAlignment="1">
      <alignment horizontal="right" vertical="center" shrinkToFit="1"/>
    </xf>
    <xf numFmtId="178" fontId="4" fillId="0" borderId="0" xfId="563" applyNumberFormat="1" applyFont="1" applyAlignment="1">
      <alignment vertical="center" shrinkToFit="1"/>
    </xf>
    <xf numFmtId="179" fontId="52" fillId="0" borderId="0" xfId="138" applyFont="1" applyAlignment="1">
      <alignment vertical="center" shrinkToFit="1"/>
    </xf>
    <xf numFmtId="179" fontId="54" fillId="0" borderId="0" xfId="138" applyFont="1" applyAlignment="1">
      <alignment vertical="center" shrinkToFit="1"/>
    </xf>
    <xf numFmtId="41" fontId="52" fillId="0" borderId="0" xfId="1" applyFont="1" applyAlignment="1">
      <alignment vertical="center" shrinkToFit="1"/>
    </xf>
    <xf numFmtId="41" fontId="53" fillId="0" borderId="0" xfId="4" applyFont="1" applyAlignment="1">
      <alignment vertical="center"/>
    </xf>
    <xf numFmtId="41" fontId="53" fillId="0" borderId="0" xfId="4" applyFont="1" applyAlignment="1">
      <alignment horizontal="left" vertical="center"/>
    </xf>
    <xf numFmtId="178" fontId="7" fillId="0" borderId="0" xfId="563" applyNumberFormat="1" applyFont="1" applyAlignment="1">
      <alignment horizontal="center" vertical="center"/>
    </xf>
    <xf numFmtId="178" fontId="59" fillId="0" borderId="0" xfId="1" applyNumberFormat="1" applyFont="1" applyAlignment="1">
      <alignment horizontal="center" vertical="center"/>
    </xf>
    <xf numFmtId="177" fontId="60" fillId="2" borderId="26" xfId="4" applyNumberFormat="1" applyFont="1" applyFill="1" applyBorder="1" applyAlignment="1">
      <alignment horizontal="center" vertical="center"/>
    </xf>
    <xf numFmtId="180" fontId="60" fillId="2" borderId="26" xfId="4" applyNumberFormat="1" applyFont="1" applyFill="1" applyBorder="1" applyAlignment="1">
      <alignment horizontal="left" vertical="center"/>
    </xf>
    <xf numFmtId="180" fontId="60" fillId="2" borderId="26" xfId="4" applyNumberFormat="1" applyFont="1" applyFill="1" applyBorder="1" applyAlignment="1">
      <alignment horizontal="center" vertical="center"/>
    </xf>
    <xf numFmtId="179" fontId="60" fillId="2" borderId="26" xfId="4" applyNumberFormat="1" applyFont="1" applyFill="1" applyBorder="1" applyAlignment="1">
      <alignment vertical="center"/>
    </xf>
    <xf numFmtId="180" fontId="60" fillId="2" borderId="26" xfId="4" applyNumberFormat="1" applyFont="1" applyFill="1" applyBorder="1" applyAlignment="1">
      <alignment horizontal="center" vertical="center" shrinkToFit="1"/>
    </xf>
    <xf numFmtId="180" fontId="56" fillId="2" borderId="26" xfId="138" applyNumberFormat="1" applyFont="1" applyFill="1" applyBorder="1" applyAlignment="1">
      <alignment horizontal="center" vertical="center"/>
    </xf>
    <xf numFmtId="180" fontId="56" fillId="2" borderId="41" xfId="4" applyNumberFormat="1" applyFont="1" applyFill="1" applyBorder="1" applyAlignment="1">
      <alignment horizontal="center" vertical="center"/>
    </xf>
    <xf numFmtId="180" fontId="56" fillId="2" borderId="42" xfId="4" applyNumberFormat="1" applyFont="1" applyFill="1" applyBorder="1" applyAlignment="1">
      <alignment horizontal="center" vertical="center"/>
    </xf>
    <xf numFmtId="177" fontId="12" fillId="12" borderId="26" xfId="564" applyNumberFormat="1" applyFont="1" applyFill="1" applyBorder="1" applyAlignment="1">
      <alignment horizontal="center" vertical="center"/>
    </xf>
    <xf numFmtId="180" fontId="56" fillId="2" borderId="26" xfId="4" applyNumberFormat="1" applyFont="1" applyFill="1" applyBorder="1" applyAlignment="1">
      <alignment horizontal="center" vertical="center"/>
    </xf>
    <xf numFmtId="179" fontId="56" fillId="2" borderId="26" xfId="4" applyNumberFormat="1" applyFont="1" applyFill="1" applyBorder="1" applyAlignment="1">
      <alignment horizontal="center" vertical="center"/>
    </xf>
    <xf numFmtId="180" fontId="61" fillId="4" borderId="26" xfId="4" applyNumberFormat="1" applyFont="1" applyFill="1" applyBorder="1" applyAlignment="1">
      <alignment horizontal="center" vertical="center"/>
    </xf>
    <xf numFmtId="180" fontId="65" fillId="4" borderId="26" xfId="4" applyNumberFormat="1" applyFont="1" applyFill="1" applyBorder="1" applyAlignment="1">
      <alignment horizontal="center" vertical="center" shrinkToFit="1"/>
    </xf>
    <xf numFmtId="178" fontId="56" fillId="2" borderId="26" xfId="4" applyNumberFormat="1" applyFont="1" applyFill="1" applyBorder="1" applyAlignment="1">
      <alignment horizontal="center" vertical="center"/>
    </xf>
    <xf numFmtId="178" fontId="56" fillId="2" borderId="26" xfId="4" applyNumberFormat="1" applyFont="1" applyFill="1" applyBorder="1" applyAlignment="1">
      <alignment horizontal="center" vertical="center" shrinkToFit="1"/>
    </xf>
    <xf numFmtId="178" fontId="56" fillId="2" borderId="26" xfId="1" applyNumberFormat="1" applyFont="1" applyFill="1" applyBorder="1" applyAlignment="1">
      <alignment horizontal="center" vertical="center"/>
    </xf>
    <xf numFmtId="179" fontId="54" fillId="0" borderId="0" xfId="138" applyFont="1" applyAlignment="1">
      <alignment vertical="center"/>
    </xf>
    <xf numFmtId="177" fontId="4" fillId="15" borderId="26" xfId="0" applyNumberFormat="1" applyFont="1" applyFill="1" applyBorder="1" applyAlignment="1">
      <alignment horizontal="center" vertical="center"/>
    </xf>
    <xf numFmtId="178" fontId="7" fillId="15" borderId="26" xfId="563" applyNumberFormat="1" applyFont="1" applyFill="1" applyBorder="1" applyAlignment="1">
      <alignment horizontal="center" vertical="center"/>
    </xf>
    <xf numFmtId="182" fontId="7" fillId="15" borderId="26" xfId="564" applyNumberFormat="1" applyFont="1" applyFill="1" applyBorder="1" applyAlignment="1">
      <alignment horizontal="right" vertical="center" shrinkToFit="1"/>
    </xf>
    <xf numFmtId="178" fontId="7" fillId="15" borderId="26" xfId="564" applyNumberFormat="1" applyFont="1" applyFill="1" applyBorder="1" applyAlignment="1">
      <alignment vertical="center" shrinkToFit="1"/>
    </xf>
    <xf numFmtId="178" fontId="4" fillId="15" borderId="26" xfId="564" applyNumberFormat="1" applyFont="1" applyFill="1" applyBorder="1" applyAlignment="1">
      <alignment vertical="center" shrinkToFit="1"/>
    </xf>
    <xf numFmtId="179" fontId="4" fillId="15" borderId="26" xfId="138" quotePrefix="1" applyFont="1" applyFill="1" applyBorder="1" applyAlignment="1">
      <alignment vertical="center" shrinkToFit="1"/>
    </xf>
    <xf numFmtId="179" fontId="4" fillId="15" borderId="26" xfId="138" quotePrefix="1" applyFont="1" applyFill="1" applyBorder="1" applyAlignment="1">
      <alignment horizontal="center" vertical="center" shrinkToFit="1"/>
    </xf>
    <xf numFmtId="178" fontId="53" fillId="0" borderId="0" xfId="1" applyNumberFormat="1" applyFont="1" applyAlignment="1">
      <alignment vertical="center"/>
    </xf>
    <xf numFmtId="177" fontId="4" fillId="0" borderId="26" xfId="0" applyNumberFormat="1" applyFont="1" applyBorder="1" applyAlignment="1">
      <alignment horizontal="center" vertical="center"/>
    </xf>
    <xf numFmtId="178" fontId="7" fillId="0" borderId="26" xfId="563" applyNumberFormat="1" applyFont="1" applyBorder="1" applyAlignment="1">
      <alignment horizontal="center" vertical="center"/>
    </xf>
    <xf numFmtId="182" fontId="7" fillId="0" borderId="26" xfId="564" applyNumberFormat="1" applyFont="1" applyBorder="1" applyAlignment="1">
      <alignment horizontal="right" vertical="center" shrinkToFit="1"/>
    </xf>
    <xf numFmtId="178" fontId="7" fillId="0" borderId="26" xfId="564" applyNumberFormat="1" applyFont="1" applyBorder="1" applyAlignment="1">
      <alignment vertical="center" shrinkToFit="1"/>
    </xf>
    <xf numFmtId="178" fontId="4" fillId="0" borderId="26" xfId="564" applyNumberFormat="1" applyFont="1" applyBorder="1" applyAlignment="1">
      <alignment vertical="center" shrinkToFit="1"/>
    </xf>
    <xf numFmtId="179" fontId="4" fillId="0" borderId="26" xfId="138" quotePrefix="1" applyFont="1" applyBorder="1" applyAlignment="1">
      <alignment vertical="center" shrinkToFit="1"/>
    </xf>
    <xf numFmtId="179" fontId="4" fillId="0" borderId="26" xfId="138" quotePrefix="1" applyFont="1" applyBorder="1" applyAlignment="1">
      <alignment wrapText="1"/>
    </xf>
    <xf numFmtId="179" fontId="66" fillId="0" borderId="26" xfId="138" quotePrefix="1" applyFont="1" applyBorder="1" applyAlignment="1">
      <alignment wrapText="1"/>
    </xf>
    <xf numFmtId="179" fontId="4" fillId="0" borderId="26" xfId="138" quotePrefix="1" applyFont="1" applyBorder="1" applyAlignment="1">
      <alignment horizontal="center" vertical="center" shrinkToFit="1"/>
    </xf>
    <xf numFmtId="0" fontId="4" fillId="17" borderId="26" xfId="0" applyFont="1" applyFill="1" applyBorder="1" applyAlignment="1">
      <alignment horizontal="left" vertical="center"/>
    </xf>
    <xf numFmtId="0" fontId="7" fillId="17" borderId="26" xfId="0" applyFont="1" applyFill="1" applyBorder="1" applyAlignment="1">
      <alignment horizontal="center" vertical="center"/>
    </xf>
    <xf numFmtId="0" fontId="4" fillId="17" borderId="26" xfId="138" applyNumberFormat="1" applyFont="1" applyFill="1" applyBorder="1" applyAlignment="1">
      <alignment horizontal="center" vertical="center" wrapText="1" shrinkToFit="1"/>
    </xf>
    <xf numFmtId="178" fontId="46" fillId="0" borderId="0" xfId="177" applyNumberFormat="1" applyFont="1" applyAlignment="1">
      <alignment vertical="center"/>
    </xf>
    <xf numFmtId="178" fontId="48" fillId="2" borderId="1" xfId="4" applyNumberFormat="1" applyFont="1" applyFill="1" applyBorder="1" applyAlignment="1">
      <alignment horizontal="center" vertical="center" wrapText="1"/>
    </xf>
    <xf numFmtId="187" fontId="46" fillId="0" borderId="14" xfId="176" applyNumberFormat="1" applyFont="1" applyBorder="1" applyAlignment="1">
      <alignment vertical="center"/>
    </xf>
    <xf numFmtId="187" fontId="50" fillId="0" borderId="14" xfId="0" applyNumberFormat="1" applyFont="1" applyBorder="1" applyAlignment="1">
      <alignment horizontal="center" vertical="center"/>
    </xf>
    <xf numFmtId="187" fontId="50" fillId="6" borderId="14" xfId="0" applyNumberFormat="1" applyFont="1" applyFill="1" applyBorder="1" applyAlignment="1">
      <alignment horizontal="center" vertical="center"/>
    </xf>
    <xf numFmtId="178" fontId="31" fillId="6" borderId="15" xfId="0" applyNumberFormat="1" applyFont="1" applyFill="1" applyBorder="1" applyAlignment="1">
      <alignment horizontal="center" vertical="center"/>
    </xf>
    <xf numFmtId="41" fontId="31" fillId="0" borderId="14" xfId="4" applyFont="1" applyBorder="1" applyAlignment="1">
      <alignment horizontal="center" vertical="center"/>
    </xf>
    <xf numFmtId="187" fontId="63" fillId="0" borderId="14" xfId="0" applyNumberFormat="1" applyFont="1" applyBorder="1" applyAlignment="1">
      <alignment horizontal="center" vertical="center"/>
    </xf>
    <xf numFmtId="178" fontId="31" fillId="0" borderId="15" xfId="0" applyNumberFormat="1" applyFont="1" applyBorder="1" applyAlignment="1">
      <alignment horizontal="center" vertical="center"/>
    </xf>
    <xf numFmtId="178" fontId="46" fillId="12" borderId="0" xfId="176" applyNumberFormat="1" applyFont="1" applyFill="1" applyAlignment="1">
      <alignment vertical="center"/>
    </xf>
    <xf numFmtId="178" fontId="46" fillId="0" borderId="0" xfId="4" applyNumberFormat="1" applyFont="1" applyAlignment="1">
      <alignment vertical="center"/>
    </xf>
    <xf numFmtId="187" fontId="4" fillId="0" borderId="1" xfId="176" applyNumberFormat="1" applyFont="1" applyBorder="1" applyAlignment="1">
      <alignment horizontal="center" vertical="center"/>
    </xf>
    <xf numFmtId="187" fontId="39" fillId="0" borderId="1" xfId="176" applyNumberFormat="1" applyBorder="1" applyAlignment="1">
      <alignment vertical="center"/>
    </xf>
    <xf numFmtId="178" fontId="10" fillId="2" borderId="17" xfId="563" applyNumberFormat="1" applyFont="1" applyFill="1" applyBorder="1" applyAlignment="1">
      <alignment horizontal="center" vertical="center"/>
    </xf>
    <xf numFmtId="0" fontId="0" fillId="0" borderId="34" xfId="0" applyBorder="1" applyAlignment="1"/>
    <xf numFmtId="0" fontId="0" fillId="0" borderId="35" xfId="0" applyBorder="1" applyAlignment="1"/>
    <xf numFmtId="0" fontId="11" fillId="2" borderId="17" xfId="2" applyFont="1" applyFill="1" applyBorder="1" applyAlignment="1">
      <alignment horizontal="center" vertical="center"/>
    </xf>
    <xf numFmtId="178" fontId="10" fillId="2" borderId="16" xfId="563" applyNumberFormat="1" applyFont="1" applyFill="1" applyBorder="1" applyAlignment="1">
      <alignment horizontal="center" vertical="center"/>
    </xf>
    <xf numFmtId="0" fontId="0" fillId="0" borderId="25" xfId="0" applyBorder="1" applyAlignment="1"/>
    <xf numFmtId="190" fontId="15" fillId="2" borderId="43" xfId="138" applyNumberFormat="1" applyFont="1" applyFill="1" applyBorder="1" applyAlignment="1">
      <alignment horizontal="center" vertical="center"/>
    </xf>
    <xf numFmtId="0" fontId="0" fillId="0" borderId="28" xfId="0" applyBorder="1" applyAlignment="1"/>
    <xf numFmtId="180" fontId="15" fillId="2" borderId="0" xfId="4" applyNumberFormat="1" applyFont="1" applyFill="1" applyAlignment="1">
      <alignment horizontal="center" vertical="center"/>
    </xf>
    <xf numFmtId="179" fontId="36" fillId="0" borderId="0" xfId="138" applyFont="1" applyAlignment="1">
      <alignment vertical="center"/>
    </xf>
    <xf numFmtId="180" fontId="25" fillId="2" borderId="27" xfId="4" applyNumberFormat="1" applyFont="1" applyFill="1" applyBorder="1" applyAlignment="1">
      <alignment horizontal="center" vertical="center"/>
    </xf>
    <xf numFmtId="0" fontId="0" fillId="0" borderId="27" xfId="0" applyBorder="1" applyAlignment="1"/>
    <xf numFmtId="180" fontId="15" fillId="2" borderId="3" xfId="138" applyNumberFormat="1" applyFont="1" applyFill="1" applyBorder="1" applyAlignment="1">
      <alignment horizontal="center" vertical="center"/>
    </xf>
    <xf numFmtId="0" fontId="0" fillId="0" borderId="7" xfId="0" applyBorder="1" applyAlignment="1"/>
    <xf numFmtId="190" fontId="15" fillId="2" borderId="26" xfId="138" applyNumberFormat="1" applyFont="1" applyFill="1" applyBorder="1" applyAlignment="1">
      <alignment horizontal="center" vertical="center"/>
    </xf>
    <xf numFmtId="0" fontId="0" fillId="0" borderId="42" xfId="0" applyBorder="1" applyAlignment="1"/>
    <xf numFmtId="180" fontId="15" fillId="2" borderId="26" xfId="4" applyNumberFormat="1" applyFont="1" applyFill="1" applyBorder="1" applyAlignment="1">
      <alignment horizontal="center" vertical="center"/>
    </xf>
    <xf numFmtId="180" fontId="25" fillId="2" borderId="26" xfId="4" applyNumberFormat="1" applyFont="1" applyFill="1" applyBorder="1" applyAlignment="1">
      <alignment horizontal="center" vertical="center"/>
    </xf>
    <xf numFmtId="180" fontId="15" fillId="2" borderId="26" xfId="138" applyNumberFormat="1" applyFont="1" applyFill="1" applyBorder="1" applyAlignment="1">
      <alignment horizontal="center" vertical="center"/>
    </xf>
    <xf numFmtId="0" fontId="0" fillId="0" borderId="44" xfId="0" applyBorder="1" applyAlignment="1"/>
    <xf numFmtId="0" fontId="4" fillId="0" borderId="32" xfId="0" applyFont="1" applyBorder="1" applyAlignment="1">
      <alignment vertical="center" wrapText="1"/>
    </xf>
    <xf numFmtId="0" fontId="0" fillId="0" borderId="45" xfId="0" applyBorder="1" applyAlignment="1"/>
    <xf numFmtId="0" fontId="0" fillId="0" borderId="46" xfId="0" applyBorder="1" applyAlignment="1"/>
    <xf numFmtId="0" fontId="26" fillId="0" borderId="32" xfId="0" applyFont="1" applyBorder="1" applyAlignment="1">
      <alignment vertical="center" wrapText="1"/>
    </xf>
    <xf numFmtId="180" fontId="56" fillId="2" borderId="26" xfId="138" applyNumberFormat="1" applyFont="1" applyFill="1" applyBorder="1" applyAlignment="1">
      <alignment horizontal="center" vertical="center"/>
    </xf>
    <xf numFmtId="190" fontId="56" fillId="2" borderId="26" xfId="138" applyNumberFormat="1" applyFont="1" applyFill="1" applyBorder="1" applyAlignment="1">
      <alignment horizontal="center" vertical="center"/>
    </xf>
    <xf numFmtId="0" fontId="48" fillId="2" borderId="1" xfId="176" applyFont="1" applyFill="1" applyBorder="1" applyAlignment="1">
      <alignment horizontal="center" vertical="center"/>
    </xf>
    <xf numFmtId="0" fontId="0" fillId="0" borderId="4" xfId="0" applyBorder="1" applyAlignment="1"/>
    <xf numFmtId="178" fontId="47" fillId="0" borderId="0" xfId="177" applyNumberFormat="1" applyFont="1" applyAlignment="1">
      <alignment horizontal="center" vertical="center"/>
    </xf>
    <xf numFmtId="0" fontId="46" fillId="0" borderId="0" xfId="176" applyFont="1" applyAlignment="1">
      <alignment vertical="center"/>
    </xf>
    <xf numFmtId="0" fontId="0" fillId="0" borderId="47" xfId="0" applyBorder="1" applyAlignment="1"/>
    <xf numFmtId="0" fontId="48" fillId="2" borderId="48" xfId="176" applyFont="1" applyFill="1" applyBorder="1" applyAlignment="1">
      <alignment horizontal="center" vertical="center"/>
    </xf>
    <xf numFmtId="0" fontId="0" fillId="0" borderId="49" xfId="0" applyBorder="1" applyAlignment="1"/>
  </cellXfs>
  <cellStyles count="565">
    <cellStyle name="常规 2" xfId="176" xr:uid="{00000000-0005-0000-0000-0000B0000000}"/>
    <cellStyle name="常规 3" xfId="132" xr:uid="{00000000-0005-0000-0000-000084000000}"/>
    <cellStyle name="常规 4" xfId="185" xr:uid="{00000000-0005-0000-0000-0000B9000000}"/>
    <cellStyle name="常规 5" xfId="188" xr:uid="{00000000-0005-0000-0000-0000BC000000}"/>
    <cellStyle name="常规 5 2" xfId="200" xr:uid="{00000000-0005-0000-0000-0000C8000000}"/>
    <cellStyle name="常规 5 2 2" xfId="224" xr:uid="{00000000-0005-0000-0000-0000E0000000}"/>
    <cellStyle name="常规 5 2 2 2" xfId="272" xr:uid="{00000000-0005-0000-0000-000010010000}"/>
    <cellStyle name="常规 5 2 2 2 2" xfId="368" xr:uid="{00000000-0005-0000-0000-000070010000}"/>
    <cellStyle name="常规 5 2 2 2 2 2" xfId="560" xr:uid="{00000000-0005-0000-0000-000030020000}"/>
    <cellStyle name="常规 5 2 2 2 3" xfId="464" xr:uid="{00000000-0005-0000-0000-0000D0010000}"/>
    <cellStyle name="常规 5 2 2 3" xfId="320" xr:uid="{00000000-0005-0000-0000-000040010000}"/>
    <cellStyle name="常规 5 2 2 3 2" xfId="512" xr:uid="{00000000-0005-0000-0000-000000020000}"/>
    <cellStyle name="常规 5 2 2 4" xfId="416" xr:uid="{00000000-0005-0000-0000-0000A0010000}"/>
    <cellStyle name="常规 5 2 3" xfId="248" xr:uid="{00000000-0005-0000-0000-0000F8000000}"/>
    <cellStyle name="常规 5 2 3 2" xfId="344" xr:uid="{00000000-0005-0000-0000-000058010000}"/>
    <cellStyle name="常规 5 2 3 2 2" xfId="536" xr:uid="{00000000-0005-0000-0000-000018020000}"/>
    <cellStyle name="常规 5 2 3 3" xfId="440" xr:uid="{00000000-0005-0000-0000-0000B8010000}"/>
    <cellStyle name="常规 5 2 4" xfId="296" xr:uid="{00000000-0005-0000-0000-000028010000}"/>
    <cellStyle name="常规 5 2 4 2" xfId="488" xr:uid="{00000000-0005-0000-0000-0000E8010000}"/>
    <cellStyle name="常规 5 2 5" xfId="392" xr:uid="{00000000-0005-0000-0000-000088010000}"/>
    <cellStyle name="常规 5 3" xfId="212" xr:uid="{00000000-0005-0000-0000-0000D4000000}"/>
    <cellStyle name="常规 5 3 2" xfId="260" xr:uid="{00000000-0005-0000-0000-000004010000}"/>
    <cellStyle name="常规 5 3 2 2" xfId="356" xr:uid="{00000000-0005-0000-0000-000064010000}"/>
    <cellStyle name="常规 5 3 2 2 2" xfId="548" xr:uid="{00000000-0005-0000-0000-000024020000}"/>
    <cellStyle name="常规 5 3 2 3" xfId="452" xr:uid="{00000000-0005-0000-0000-0000C4010000}"/>
    <cellStyle name="常规 5 3 3" xfId="308" xr:uid="{00000000-0005-0000-0000-000034010000}"/>
    <cellStyle name="常规 5 3 3 2" xfId="500" xr:uid="{00000000-0005-0000-0000-0000F4010000}"/>
    <cellStyle name="常规 5 3 4" xfId="404" xr:uid="{00000000-0005-0000-0000-000094010000}"/>
    <cellStyle name="常规 5 4" xfId="236" xr:uid="{00000000-0005-0000-0000-0000EC000000}"/>
    <cellStyle name="常规 5 4 2" xfId="332" xr:uid="{00000000-0005-0000-0000-00004C010000}"/>
    <cellStyle name="常规 5 4 2 2" xfId="524" xr:uid="{00000000-0005-0000-0000-00000C020000}"/>
    <cellStyle name="常规 5 4 3" xfId="428" xr:uid="{00000000-0005-0000-0000-0000AC010000}"/>
    <cellStyle name="常规 5 5" xfId="284" xr:uid="{00000000-0005-0000-0000-00001C010000}"/>
    <cellStyle name="常规 5 5 2" xfId="476" xr:uid="{00000000-0005-0000-0000-0000DC010000}"/>
    <cellStyle name="常规 5 6" xfId="380" xr:uid="{00000000-0005-0000-0000-00007C010000}"/>
    <cellStyle name="常规 6" xfId="189" xr:uid="{00000000-0005-0000-0000-0000BD000000}"/>
    <cellStyle name="常规 6 2" xfId="201" xr:uid="{00000000-0005-0000-0000-0000C9000000}"/>
    <cellStyle name="常规 6 2 2" xfId="225" xr:uid="{00000000-0005-0000-0000-0000E1000000}"/>
    <cellStyle name="常规 6 2 2 2" xfId="273" xr:uid="{00000000-0005-0000-0000-000011010000}"/>
    <cellStyle name="常规 6 2 2 2 2" xfId="369" xr:uid="{00000000-0005-0000-0000-000071010000}"/>
    <cellStyle name="常规 6 2 2 2 2 2" xfId="561" xr:uid="{00000000-0005-0000-0000-000031020000}"/>
    <cellStyle name="常规 6 2 2 2 3" xfId="465" xr:uid="{00000000-0005-0000-0000-0000D1010000}"/>
    <cellStyle name="常规 6 2 2 3" xfId="321" xr:uid="{00000000-0005-0000-0000-000041010000}"/>
    <cellStyle name="常规 6 2 2 3 2" xfId="513" xr:uid="{00000000-0005-0000-0000-000001020000}"/>
    <cellStyle name="常规 6 2 2 4" xfId="417" xr:uid="{00000000-0005-0000-0000-0000A1010000}"/>
    <cellStyle name="常规 6 2 3" xfId="249" xr:uid="{00000000-0005-0000-0000-0000F9000000}"/>
    <cellStyle name="常规 6 2 3 2" xfId="345" xr:uid="{00000000-0005-0000-0000-000059010000}"/>
    <cellStyle name="常规 6 2 3 2 2" xfId="537" xr:uid="{00000000-0005-0000-0000-000019020000}"/>
    <cellStyle name="常规 6 2 3 3" xfId="441" xr:uid="{00000000-0005-0000-0000-0000B9010000}"/>
    <cellStyle name="常规 6 2 4" xfId="297" xr:uid="{00000000-0005-0000-0000-000029010000}"/>
    <cellStyle name="常规 6 2 4 2" xfId="489" xr:uid="{00000000-0005-0000-0000-0000E9010000}"/>
    <cellStyle name="常规 6 2 5" xfId="393" xr:uid="{00000000-0005-0000-0000-000089010000}"/>
    <cellStyle name="常规 6 3" xfId="213" xr:uid="{00000000-0005-0000-0000-0000D5000000}"/>
    <cellStyle name="常规 6 3 2" xfId="261" xr:uid="{00000000-0005-0000-0000-000005010000}"/>
    <cellStyle name="常规 6 3 2 2" xfId="357" xr:uid="{00000000-0005-0000-0000-000065010000}"/>
    <cellStyle name="常规 6 3 2 2 2" xfId="549" xr:uid="{00000000-0005-0000-0000-000025020000}"/>
    <cellStyle name="常规 6 3 2 3" xfId="453" xr:uid="{00000000-0005-0000-0000-0000C5010000}"/>
    <cellStyle name="常规 6 3 3" xfId="309" xr:uid="{00000000-0005-0000-0000-000035010000}"/>
    <cellStyle name="常规 6 3 3 2" xfId="501" xr:uid="{00000000-0005-0000-0000-0000F5010000}"/>
    <cellStyle name="常规 6 3 4" xfId="405" xr:uid="{00000000-0005-0000-0000-000095010000}"/>
    <cellStyle name="常规 6 4" xfId="237" xr:uid="{00000000-0005-0000-0000-0000ED000000}"/>
    <cellStyle name="常规 6 4 2" xfId="333" xr:uid="{00000000-0005-0000-0000-00004D010000}"/>
    <cellStyle name="常规 6 4 2 2" xfId="525" xr:uid="{00000000-0005-0000-0000-00000D020000}"/>
    <cellStyle name="常规 6 4 3" xfId="429" xr:uid="{00000000-0005-0000-0000-0000AD010000}"/>
    <cellStyle name="常规 6 5" xfId="285" xr:uid="{00000000-0005-0000-0000-00001D010000}"/>
    <cellStyle name="常规 6 5 2" xfId="477" xr:uid="{00000000-0005-0000-0000-0000DD010000}"/>
    <cellStyle name="常规 6 6" xfId="381" xr:uid="{00000000-0005-0000-0000-00007D010000}"/>
    <cellStyle name="常规 7" xfId="562" xr:uid="{00000000-0005-0000-0000-000032020000}"/>
    <cellStyle name="쉼표 [0]" xfId="1" builtinId="6"/>
    <cellStyle name="쉼표 [0] 2" xfId="4" xr:uid="{00000000-0005-0000-0000-000004000000}"/>
    <cellStyle name="쉼표 [0] 2 2" xfId="5" xr:uid="{00000000-0005-0000-0000-000005000000}"/>
    <cellStyle name="쉼표 [0] 2 2 2" xfId="6" xr:uid="{00000000-0005-0000-0000-000006000000}"/>
    <cellStyle name="쉼표 [0] 2 2 2 2" xfId="7" xr:uid="{00000000-0005-0000-0000-000007000000}"/>
    <cellStyle name="쉼표 [0] 2 2 2 2 2" xfId="8" xr:uid="{00000000-0005-0000-0000-000008000000}"/>
    <cellStyle name="쉼표 [0] 2 2 2 2 2 2" xfId="9" xr:uid="{00000000-0005-0000-0000-000009000000}"/>
    <cellStyle name="쉼표 [0] 2 2 2 2 2 2 2" xfId="145" xr:uid="{00000000-0005-0000-0000-000091000000}"/>
    <cellStyle name="쉼표 [0] 2 2 2 2 2 3" xfId="144" xr:uid="{00000000-0005-0000-0000-000090000000}"/>
    <cellStyle name="쉼표 [0] 2 2 2 2 3" xfId="10" xr:uid="{00000000-0005-0000-0000-00000A000000}"/>
    <cellStyle name="쉼표 [0] 2 2 2 2 3 2" xfId="153" xr:uid="{00000000-0005-0000-0000-000099000000}"/>
    <cellStyle name="쉼표 [0] 2 2 2 2 4" xfId="143" xr:uid="{00000000-0005-0000-0000-00008F000000}"/>
    <cellStyle name="쉼표 [0] 2 2 2 3" xfId="11" xr:uid="{00000000-0005-0000-0000-00000B000000}"/>
    <cellStyle name="쉼표 [0] 2 2 2 3 2" xfId="12" xr:uid="{00000000-0005-0000-0000-00000C000000}"/>
    <cellStyle name="쉼표 [0] 2 2 2 3 2 2" xfId="155" xr:uid="{00000000-0005-0000-0000-00009B000000}"/>
    <cellStyle name="쉼표 [0] 2 2 2 3 3" xfId="154" xr:uid="{00000000-0005-0000-0000-00009A000000}"/>
    <cellStyle name="쉼표 [0] 2 2 2 4" xfId="13" xr:uid="{00000000-0005-0000-0000-00000D000000}"/>
    <cellStyle name="쉼표 [0] 2 2 2 4 2" xfId="148" xr:uid="{00000000-0005-0000-0000-000094000000}"/>
    <cellStyle name="쉼표 [0] 2 2 2 5" xfId="147" xr:uid="{00000000-0005-0000-0000-000093000000}"/>
    <cellStyle name="쉼표 [0] 2 2 3" xfId="14" xr:uid="{00000000-0005-0000-0000-00000E000000}"/>
    <cellStyle name="쉼표 [0] 2 2 3 2" xfId="15" xr:uid="{00000000-0005-0000-0000-00000F000000}"/>
    <cellStyle name="쉼표 [0] 2 2 3 2 2" xfId="16" xr:uid="{00000000-0005-0000-0000-000010000000}"/>
    <cellStyle name="쉼표 [0] 2 2 3 2 2 2" xfId="150" xr:uid="{00000000-0005-0000-0000-000096000000}"/>
    <cellStyle name="쉼표 [0] 2 2 3 2 3" xfId="146" xr:uid="{00000000-0005-0000-0000-000092000000}"/>
    <cellStyle name="쉼표 [0] 2 2 3 3" xfId="17" xr:uid="{00000000-0005-0000-0000-000011000000}"/>
    <cellStyle name="쉼표 [0] 2 2 3 3 2" xfId="151" xr:uid="{00000000-0005-0000-0000-000097000000}"/>
    <cellStyle name="쉼표 [0] 2 2 3 4" xfId="156" xr:uid="{00000000-0005-0000-0000-00009C000000}"/>
    <cellStyle name="쉼표 [0] 2 2 4" xfId="18" xr:uid="{00000000-0005-0000-0000-000012000000}"/>
    <cellStyle name="쉼표 [0] 2 2 4 2" xfId="19" xr:uid="{00000000-0005-0000-0000-000013000000}"/>
    <cellStyle name="쉼표 [0] 2 2 4 2 2" xfId="158" xr:uid="{00000000-0005-0000-0000-00009E000000}"/>
    <cellStyle name="쉼표 [0] 2 2 4 3" xfId="157" xr:uid="{00000000-0005-0000-0000-00009D000000}"/>
    <cellStyle name="쉼표 [0] 2 2 5" xfId="20" xr:uid="{00000000-0005-0000-0000-000014000000}"/>
    <cellStyle name="쉼표 [0] 2 2 5 2" xfId="159" xr:uid="{00000000-0005-0000-0000-00009F000000}"/>
    <cellStyle name="쉼표 [0] 2 2 6" xfId="149" xr:uid="{00000000-0005-0000-0000-000095000000}"/>
    <cellStyle name="쉼표 [0] 2 3" xfId="21" xr:uid="{00000000-0005-0000-0000-000015000000}"/>
    <cellStyle name="쉼표 [0] 2 3 2" xfId="22" xr:uid="{00000000-0005-0000-0000-000016000000}"/>
    <cellStyle name="쉼표 [0] 2 3 2 2" xfId="23" xr:uid="{00000000-0005-0000-0000-000017000000}"/>
    <cellStyle name="쉼표 [0] 2 3 2 2 2" xfId="24" xr:uid="{00000000-0005-0000-0000-000018000000}"/>
    <cellStyle name="쉼표 [0] 2 3 2 2 2 2" xfId="163" xr:uid="{00000000-0005-0000-0000-0000A3000000}"/>
    <cellStyle name="쉼표 [0] 2 3 2 2 3" xfId="162" xr:uid="{00000000-0005-0000-0000-0000A2000000}"/>
    <cellStyle name="쉼표 [0] 2 3 2 3" xfId="25" xr:uid="{00000000-0005-0000-0000-000019000000}"/>
    <cellStyle name="쉼표 [0] 2 3 2 3 2" xfId="164" xr:uid="{00000000-0005-0000-0000-0000A4000000}"/>
    <cellStyle name="쉼표 [0] 2 3 2 4" xfId="161" xr:uid="{00000000-0005-0000-0000-0000A1000000}"/>
    <cellStyle name="쉼표 [0] 2 3 3" xfId="26" xr:uid="{00000000-0005-0000-0000-00001A000000}"/>
    <cellStyle name="쉼표 [0] 2 3 3 2" xfId="27" xr:uid="{00000000-0005-0000-0000-00001B000000}"/>
    <cellStyle name="쉼표 [0] 2 3 3 2 2" xfId="166" xr:uid="{00000000-0005-0000-0000-0000A6000000}"/>
    <cellStyle name="쉼표 [0] 2 3 3 3" xfId="165" xr:uid="{00000000-0005-0000-0000-0000A5000000}"/>
    <cellStyle name="쉼표 [0] 2 3 4" xfId="28" xr:uid="{00000000-0005-0000-0000-00001C000000}"/>
    <cellStyle name="쉼표 [0] 2 3 4 2" xfId="167" xr:uid="{00000000-0005-0000-0000-0000A7000000}"/>
    <cellStyle name="쉼표 [0] 2 3 5" xfId="160" xr:uid="{00000000-0005-0000-0000-0000A0000000}"/>
    <cellStyle name="쉼표 [0] 2 4" xfId="29" xr:uid="{00000000-0005-0000-0000-00001D000000}"/>
    <cellStyle name="쉼표 [0] 2 4 2" xfId="30" xr:uid="{00000000-0005-0000-0000-00001E000000}"/>
    <cellStyle name="쉼표 [0] 2 4 2 2" xfId="31" xr:uid="{00000000-0005-0000-0000-00001F000000}"/>
    <cellStyle name="쉼표 [0] 2 4 2 2 2" xfId="169" xr:uid="{00000000-0005-0000-0000-0000A9000000}"/>
    <cellStyle name="쉼표 [0] 2 4 2 3" xfId="168" xr:uid="{00000000-0005-0000-0000-0000A8000000}"/>
    <cellStyle name="쉼표 [0] 2 4 3" xfId="32" xr:uid="{00000000-0005-0000-0000-000020000000}"/>
    <cellStyle name="쉼표 [0] 2 4 3 2" xfId="170" xr:uid="{00000000-0005-0000-0000-0000AA000000}"/>
    <cellStyle name="쉼표 [0] 2 4 4" xfId="142" xr:uid="{00000000-0005-0000-0000-00008E000000}"/>
    <cellStyle name="쉼표 [0] 2 5" xfId="33" xr:uid="{00000000-0005-0000-0000-000021000000}"/>
    <cellStyle name="쉼표 [0] 2 5 2" xfId="34" xr:uid="{00000000-0005-0000-0000-000022000000}"/>
    <cellStyle name="쉼표 [0] 2 5 2 2" xfId="172" xr:uid="{00000000-0005-0000-0000-0000AC000000}"/>
    <cellStyle name="쉼표 [0] 2 5 3" xfId="171" xr:uid="{00000000-0005-0000-0000-0000AB000000}"/>
    <cellStyle name="쉼표 [0] 2 6" xfId="35" xr:uid="{00000000-0005-0000-0000-000023000000}"/>
    <cellStyle name="쉼표 [0] 2 6 2" xfId="173" xr:uid="{00000000-0005-0000-0000-0000AD000000}"/>
    <cellStyle name="쉼표 [0] 2 7" xfId="135" xr:uid="{00000000-0005-0000-0000-000087000000}"/>
    <cellStyle name="쉼표 [0] 2 8" xfId="152" xr:uid="{00000000-0005-0000-0000-000098000000}"/>
    <cellStyle name="쉼표 [0] 2 9" xfId="564" xr:uid="{00000000-0005-0000-0000-000034020000}"/>
    <cellStyle name="쉼표 [0] 3" xfId="134" xr:uid="{00000000-0005-0000-0000-000086000000}"/>
    <cellStyle name="쉼표 [0] 3 2" xfId="140" xr:uid="{00000000-0005-0000-0000-00008C000000}"/>
    <cellStyle name="쉼표 [0] 4" xfId="141" xr:uid="{00000000-0005-0000-0000-00008D000000}"/>
    <cellStyle name="쉼표 [0] 5" xfId="563" xr:uid="{00000000-0005-0000-0000-000033020000}"/>
    <cellStyle name="쉼표 2" xfId="174" xr:uid="{00000000-0005-0000-0000-0000AE000000}"/>
    <cellStyle name="쉼표 2 2" xfId="179" xr:uid="{00000000-0005-0000-0000-0000B3000000}"/>
    <cellStyle name="쉼표 2 2 2" xfId="183" xr:uid="{00000000-0005-0000-0000-0000B7000000}"/>
    <cellStyle name="쉼표 2 2 2 2" xfId="196" xr:uid="{00000000-0005-0000-0000-0000C4000000}"/>
    <cellStyle name="쉼표 2 2 2 2 2" xfId="220" xr:uid="{00000000-0005-0000-0000-0000DC000000}"/>
    <cellStyle name="쉼표 2 2 2 2 2 2" xfId="268" xr:uid="{00000000-0005-0000-0000-00000C010000}"/>
    <cellStyle name="쉼표 2 2 2 2 2 2 2" xfId="364" xr:uid="{00000000-0005-0000-0000-00006C010000}"/>
    <cellStyle name="쉼표 2 2 2 2 2 2 2 2" xfId="556" xr:uid="{00000000-0005-0000-0000-00002C020000}"/>
    <cellStyle name="쉼표 2 2 2 2 2 2 3" xfId="460" xr:uid="{00000000-0005-0000-0000-0000CC010000}"/>
    <cellStyle name="쉼표 2 2 2 2 2 3" xfId="316" xr:uid="{00000000-0005-0000-0000-00003C010000}"/>
    <cellStyle name="쉼표 2 2 2 2 2 3 2" xfId="508" xr:uid="{00000000-0005-0000-0000-0000FC010000}"/>
    <cellStyle name="쉼표 2 2 2 2 2 4" xfId="412" xr:uid="{00000000-0005-0000-0000-00009C010000}"/>
    <cellStyle name="쉼표 2 2 2 2 3" xfId="244" xr:uid="{00000000-0005-0000-0000-0000F4000000}"/>
    <cellStyle name="쉼표 2 2 2 2 3 2" xfId="340" xr:uid="{00000000-0005-0000-0000-000054010000}"/>
    <cellStyle name="쉼표 2 2 2 2 3 2 2" xfId="532" xr:uid="{00000000-0005-0000-0000-000014020000}"/>
    <cellStyle name="쉼표 2 2 2 2 3 3" xfId="436" xr:uid="{00000000-0005-0000-0000-0000B4010000}"/>
    <cellStyle name="쉼표 2 2 2 2 4" xfId="292" xr:uid="{00000000-0005-0000-0000-000024010000}"/>
    <cellStyle name="쉼표 2 2 2 2 4 2" xfId="484" xr:uid="{00000000-0005-0000-0000-0000E4010000}"/>
    <cellStyle name="쉼표 2 2 2 2 5" xfId="388" xr:uid="{00000000-0005-0000-0000-000084010000}"/>
    <cellStyle name="쉼표 2 2 2 3" xfId="208" xr:uid="{00000000-0005-0000-0000-0000D0000000}"/>
    <cellStyle name="쉼표 2 2 2 3 2" xfId="256" xr:uid="{00000000-0005-0000-0000-000000010000}"/>
    <cellStyle name="쉼표 2 2 2 3 2 2" xfId="352" xr:uid="{00000000-0005-0000-0000-000060010000}"/>
    <cellStyle name="쉼표 2 2 2 3 2 2 2" xfId="544" xr:uid="{00000000-0005-0000-0000-000020020000}"/>
    <cellStyle name="쉼표 2 2 2 3 2 3" xfId="448" xr:uid="{00000000-0005-0000-0000-0000C0010000}"/>
    <cellStyle name="쉼표 2 2 2 3 3" xfId="304" xr:uid="{00000000-0005-0000-0000-000030010000}"/>
    <cellStyle name="쉼표 2 2 2 3 3 2" xfId="496" xr:uid="{00000000-0005-0000-0000-0000F0010000}"/>
    <cellStyle name="쉼표 2 2 2 3 4" xfId="400" xr:uid="{00000000-0005-0000-0000-000090010000}"/>
    <cellStyle name="쉼표 2 2 2 4" xfId="232" xr:uid="{00000000-0005-0000-0000-0000E8000000}"/>
    <cellStyle name="쉼표 2 2 2 4 2" xfId="328" xr:uid="{00000000-0005-0000-0000-000048010000}"/>
    <cellStyle name="쉼표 2 2 2 4 2 2" xfId="520" xr:uid="{00000000-0005-0000-0000-000008020000}"/>
    <cellStyle name="쉼표 2 2 2 4 3" xfId="424" xr:uid="{00000000-0005-0000-0000-0000A8010000}"/>
    <cellStyle name="쉼표 2 2 2 5" xfId="280" xr:uid="{00000000-0005-0000-0000-000018010000}"/>
    <cellStyle name="쉼표 2 2 2 5 2" xfId="472" xr:uid="{00000000-0005-0000-0000-0000D8010000}"/>
    <cellStyle name="쉼표 2 2 2 6" xfId="376" xr:uid="{00000000-0005-0000-0000-000078010000}"/>
    <cellStyle name="쉼표 2 2 3" xfId="192" xr:uid="{00000000-0005-0000-0000-0000C0000000}"/>
    <cellStyle name="쉼표 2 2 3 2" xfId="216" xr:uid="{00000000-0005-0000-0000-0000D8000000}"/>
    <cellStyle name="쉼표 2 2 3 2 2" xfId="264" xr:uid="{00000000-0005-0000-0000-000008010000}"/>
    <cellStyle name="쉼표 2 2 3 2 2 2" xfId="360" xr:uid="{00000000-0005-0000-0000-000068010000}"/>
    <cellStyle name="쉼표 2 2 3 2 2 2 2" xfId="552" xr:uid="{00000000-0005-0000-0000-000028020000}"/>
    <cellStyle name="쉼표 2 2 3 2 2 3" xfId="456" xr:uid="{00000000-0005-0000-0000-0000C8010000}"/>
    <cellStyle name="쉼표 2 2 3 2 3" xfId="312" xr:uid="{00000000-0005-0000-0000-000038010000}"/>
    <cellStyle name="쉼표 2 2 3 2 3 2" xfId="504" xr:uid="{00000000-0005-0000-0000-0000F8010000}"/>
    <cellStyle name="쉼표 2 2 3 2 4" xfId="408" xr:uid="{00000000-0005-0000-0000-000098010000}"/>
    <cellStyle name="쉼표 2 2 3 3" xfId="240" xr:uid="{00000000-0005-0000-0000-0000F0000000}"/>
    <cellStyle name="쉼표 2 2 3 3 2" xfId="336" xr:uid="{00000000-0005-0000-0000-000050010000}"/>
    <cellStyle name="쉼표 2 2 3 3 2 2" xfId="528" xr:uid="{00000000-0005-0000-0000-000010020000}"/>
    <cellStyle name="쉼표 2 2 3 3 3" xfId="432" xr:uid="{00000000-0005-0000-0000-0000B0010000}"/>
    <cellStyle name="쉼표 2 2 3 4" xfId="288" xr:uid="{00000000-0005-0000-0000-000020010000}"/>
    <cellStyle name="쉼표 2 2 3 4 2" xfId="480" xr:uid="{00000000-0005-0000-0000-0000E0010000}"/>
    <cellStyle name="쉼표 2 2 3 5" xfId="384" xr:uid="{00000000-0005-0000-0000-000080010000}"/>
    <cellStyle name="쉼표 2 2 4" xfId="204" xr:uid="{00000000-0005-0000-0000-0000CC000000}"/>
    <cellStyle name="쉼표 2 2 4 2" xfId="252" xr:uid="{00000000-0005-0000-0000-0000FC000000}"/>
    <cellStyle name="쉼표 2 2 4 2 2" xfId="348" xr:uid="{00000000-0005-0000-0000-00005C010000}"/>
    <cellStyle name="쉼표 2 2 4 2 2 2" xfId="540" xr:uid="{00000000-0005-0000-0000-00001C020000}"/>
    <cellStyle name="쉼표 2 2 4 2 3" xfId="444" xr:uid="{00000000-0005-0000-0000-0000BC010000}"/>
    <cellStyle name="쉼표 2 2 4 3" xfId="300" xr:uid="{00000000-0005-0000-0000-00002C010000}"/>
    <cellStyle name="쉼표 2 2 4 3 2" xfId="492" xr:uid="{00000000-0005-0000-0000-0000EC010000}"/>
    <cellStyle name="쉼표 2 2 4 4" xfId="396" xr:uid="{00000000-0005-0000-0000-00008C010000}"/>
    <cellStyle name="쉼표 2 2 5" xfId="228" xr:uid="{00000000-0005-0000-0000-0000E4000000}"/>
    <cellStyle name="쉼표 2 2 5 2" xfId="324" xr:uid="{00000000-0005-0000-0000-000044010000}"/>
    <cellStyle name="쉼표 2 2 5 2 2" xfId="516" xr:uid="{00000000-0005-0000-0000-000004020000}"/>
    <cellStyle name="쉼표 2 2 5 3" xfId="420" xr:uid="{00000000-0005-0000-0000-0000A4010000}"/>
    <cellStyle name="쉼표 2 2 6" xfId="276" xr:uid="{00000000-0005-0000-0000-000014010000}"/>
    <cellStyle name="쉼표 2 2 6 2" xfId="468" xr:uid="{00000000-0005-0000-0000-0000D4010000}"/>
    <cellStyle name="쉼표 2 2 7" xfId="372" xr:uid="{00000000-0005-0000-0000-000074010000}"/>
    <cellStyle name="쉼표 2 3" xfId="181" xr:uid="{00000000-0005-0000-0000-0000B5000000}"/>
    <cellStyle name="쉼표 2 3 2" xfId="194" xr:uid="{00000000-0005-0000-0000-0000C2000000}"/>
    <cellStyle name="쉼표 2 3 2 2" xfId="218" xr:uid="{00000000-0005-0000-0000-0000DA000000}"/>
    <cellStyle name="쉼표 2 3 2 2 2" xfId="266" xr:uid="{00000000-0005-0000-0000-00000A010000}"/>
    <cellStyle name="쉼표 2 3 2 2 2 2" xfId="362" xr:uid="{00000000-0005-0000-0000-00006A010000}"/>
    <cellStyle name="쉼표 2 3 2 2 2 2 2" xfId="554" xr:uid="{00000000-0005-0000-0000-00002A020000}"/>
    <cellStyle name="쉼표 2 3 2 2 2 3" xfId="458" xr:uid="{00000000-0005-0000-0000-0000CA010000}"/>
    <cellStyle name="쉼표 2 3 2 2 3" xfId="314" xr:uid="{00000000-0005-0000-0000-00003A010000}"/>
    <cellStyle name="쉼표 2 3 2 2 3 2" xfId="506" xr:uid="{00000000-0005-0000-0000-0000FA010000}"/>
    <cellStyle name="쉼표 2 3 2 2 4" xfId="410" xr:uid="{00000000-0005-0000-0000-00009A010000}"/>
    <cellStyle name="쉼표 2 3 2 3" xfId="242" xr:uid="{00000000-0005-0000-0000-0000F2000000}"/>
    <cellStyle name="쉼표 2 3 2 3 2" xfId="338" xr:uid="{00000000-0005-0000-0000-000052010000}"/>
    <cellStyle name="쉼표 2 3 2 3 2 2" xfId="530" xr:uid="{00000000-0005-0000-0000-000012020000}"/>
    <cellStyle name="쉼표 2 3 2 3 3" xfId="434" xr:uid="{00000000-0005-0000-0000-0000B2010000}"/>
    <cellStyle name="쉼표 2 3 2 4" xfId="290" xr:uid="{00000000-0005-0000-0000-000022010000}"/>
    <cellStyle name="쉼표 2 3 2 4 2" xfId="482" xr:uid="{00000000-0005-0000-0000-0000E2010000}"/>
    <cellStyle name="쉼표 2 3 2 5" xfId="386" xr:uid="{00000000-0005-0000-0000-000082010000}"/>
    <cellStyle name="쉼표 2 3 3" xfId="206" xr:uid="{00000000-0005-0000-0000-0000CE000000}"/>
    <cellStyle name="쉼표 2 3 3 2" xfId="254" xr:uid="{00000000-0005-0000-0000-0000FE000000}"/>
    <cellStyle name="쉼표 2 3 3 2 2" xfId="350" xr:uid="{00000000-0005-0000-0000-00005E010000}"/>
    <cellStyle name="쉼표 2 3 3 2 2 2" xfId="542" xr:uid="{00000000-0005-0000-0000-00001E020000}"/>
    <cellStyle name="쉼표 2 3 3 2 3" xfId="446" xr:uid="{00000000-0005-0000-0000-0000BE010000}"/>
    <cellStyle name="쉼표 2 3 3 3" xfId="302" xr:uid="{00000000-0005-0000-0000-00002E010000}"/>
    <cellStyle name="쉼표 2 3 3 3 2" xfId="494" xr:uid="{00000000-0005-0000-0000-0000EE010000}"/>
    <cellStyle name="쉼표 2 3 3 4" xfId="398" xr:uid="{00000000-0005-0000-0000-00008E010000}"/>
    <cellStyle name="쉼표 2 3 4" xfId="230" xr:uid="{00000000-0005-0000-0000-0000E6000000}"/>
    <cellStyle name="쉼표 2 3 4 2" xfId="326" xr:uid="{00000000-0005-0000-0000-000046010000}"/>
    <cellStyle name="쉼표 2 3 4 2 2" xfId="518" xr:uid="{00000000-0005-0000-0000-000006020000}"/>
    <cellStyle name="쉼표 2 3 4 3" xfId="422" xr:uid="{00000000-0005-0000-0000-0000A6010000}"/>
    <cellStyle name="쉼표 2 3 5" xfId="278" xr:uid="{00000000-0005-0000-0000-000016010000}"/>
    <cellStyle name="쉼표 2 3 5 2" xfId="470" xr:uid="{00000000-0005-0000-0000-0000D6010000}"/>
    <cellStyle name="쉼표 2 3 6" xfId="374" xr:uid="{00000000-0005-0000-0000-000076010000}"/>
    <cellStyle name="쉼표 2 4" xfId="190" xr:uid="{00000000-0005-0000-0000-0000BE000000}"/>
    <cellStyle name="쉼표 2 4 2" xfId="214" xr:uid="{00000000-0005-0000-0000-0000D6000000}"/>
    <cellStyle name="쉼표 2 4 2 2" xfId="262" xr:uid="{00000000-0005-0000-0000-000006010000}"/>
    <cellStyle name="쉼표 2 4 2 2 2" xfId="358" xr:uid="{00000000-0005-0000-0000-000066010000}"/>
    <cellStyle name="쉼표 2 4 2 2 2 2" xfId="550" xr:uid="{00000000-0005-0000-0000-000026020000}"/>
    <cellStyle name="쉼표 2 4 2 2 3" xfId="454" xr:uid="{00000000-0005-0000-0000-0000C6010000}"/>
    <cellStyle name="쉼표 2 4 2 3" xfId="310" xr:uid="{00000000-0005-0000-0000-000036010000}"/>
    <cellStyle name="쉼표 2 4 2 3 2" xfId="502" xr:uid="{00000000-0005-0000-0000-0000F6010000}"/>
    <cellStyle name="쉼표 2 4 2 4" xfId="406" xr:uid="{00000000-0005-0000-0000-000096010000}"/>
    <cellStyle name="쉼표 2 4 3" xfId="238" xr:uid="{00000000-0005-0000-0000-0000EE000000}"/>
    <cellStyle name="쉼표 2 4 3 2" xfId="334" xr:uid="{00000000-0005-0000-0000-00004E010000}"/>
    <cellStyle name="쉼표 2 4 3 2 2" xfId="526" xr:uid="{00000000-0005-0000-0000-00000E020000}"/>
    <cellStyle name="쉼표 2 4 3 3" xfId="430" xr:uid="{00000000-0005-0000-0000-0000AE010000}"/>
    <cellStyle name="쉼표 2 4 4" xfId="286" xr:uid="{00000000-0005-0000-0000-00001E010000}"/>
    <cellStyle name="쉼표 2 4 4 2" xfId="478" xr:uid="{00000000-0005-0000-0000-0000DE010000}"/>
    <cellStyle name="쉼표 2 4 5" xfId="382" xr:uid="{00000000-0005-0000-0000-00007E010000}"/>
    <cellStyle name="쉼표 2 5" xfId="202" xr:uid="{00000000-0005-0000-0000-0000CA000000}"/>
    <cellStyle name="쉼표 2 5 2" xfId="250" xr:uid="{00000000-0005-0000-0000-0000FA000000}"/>
    <cellStyle name="쉼표 2 5 2 2" xfId="346" xr:uid="{00000000-0005-0000-0000-00005A010000}"/>
    <cellStyle name="쉼표 2 5 2 2 2" xfId="538" xr:uid="{00000000-0005-0000-0000-00001A020000}"/>
    <cellStyle name="쉼표 2 5 2 3" xfId="442" xr:uid="{00000000-0005-0000-0000-0000BA010000}"/>
    <cellStyle name="쉼표 2 5 3" xfId="298" xr:uid="{00000000-0005-0000-0000-00002A010000}"/>
    <cellStyle name="쉼표 2 5 3 2" xfId="490" xr:uid="{00000000-0005-0000-0000-0000EA010000}"/>
    <cellStyle name="쉼표 2 5 4" xfId="394" xr:uid="{00000000-0005-0000-0000-00008A010000}"/>
    <cellStyle name="쉼표 2 6" xfId="226" xr:uid="{00000000-0005-0000-0000-0000E2000000}"/>
    <cellStyle name="쉼표 2 6 2" xfId="322" xr:uid="{00000000-0005-0000-0000-000042010000}"/>
    <cellStyle name="쉼표 2 6 2 2" xfId="514" xr:uid="{00000000-0005-0000-0000-000002020000}"/>
    <cellStyle name="쉼표 2 6 3" xfId="418" xr:uid="{00000000-0005-0000-0000-0000A2010000}"/>
    <cellStyle name="쉼표 2 7" xfId="274" xr:uid="{00000000-0005-0000-0000-000012010000}"/>
    <cellStyle name="쉼표 2 7 2" xfId="466" xr:uid="{00000000-0005-0000-0000-0000D2010000}"/>
    <cellStyle name="쉼표 2 8" xfId="370" xr:uid="{00000000-0005-0000-0000-000072010000}"/>
    <cellStyle name="쉼표 3" xfId="175" xr:uid="{00000000-0005-0000-0000-0000AF000000}"/>
    <cellStyle name="쉼표 3 2" xfId="180" xr:uid="{00000000-0005-0000-0000-0000B4000000}"/>
    <cellStyle name="쉼표 3 2 2" xfId="184" xr:uid="{00000000-0005-0000-0000-0000B8000000}"/>
    <cellStyle name="쉼표 3 2 2 2" xfId="197" xr:uid="{00000000-0005-0000-0000-0000C5000000}"/>
    <cellStyle name="쉼표 3 2 2 2 2" xfId="221" xr:uid="{00000000-0005-0000-0000-0000DD000000}"/>
    <cellStyle name="쉼표 3 2 2 2 2 2" xfId="269" xr:uid="{00000000-0005-0000-0000-00000D010000}"/>
    <cellStyle name="쉼표 3 2 2 2 2 2 2" xfId="365" xr:uid="{00000000-0005-0000-0000-00006D010000}"/>
    <cellStyle name="쉼표 3 2 2 2 2 2 2 2" xfId="557" xr:uid="{00000000-0005-0000-0000-00002D020000}"/>
    <cellStyle name="쉼표 3 2 2 2 2 2 3" xfId="461" xr:uid="{00000000-0005-0000-0000-0000CD010000}"/>
    <cellStyle name="쉼표 3 2 2 2 2 3" xfId="317" xr:uid="{00000000-0005-0000-0000-00003D010000}"/>
    <cellStyle name="쉼표 3 2 2 2 2 3 2" xfId="509" xr:uid="{00000000-0005-0000-0000-0000FD010000}"/>
    <cellStyle name="쉼표 3 2 2 2 2 4" xfId="413" xr:uid="{00000000-0005-0000-0000-00009D010000}"/>
    <cellStyle name="쉼표 3 2 2 2 3" xfId="245" xr:uid="{00000000-0005-0000-0000-0000F5000000}"/>
    <cellStyle name="쉼표 3 2 2 2 3 2" xfId="341" xr:uid="{00000000-0005-0000-0000-000055010000}"/>
    <cellStyle name="쉼표 3 2 2 2 3 2 2" xfId="533" xr:uid="{00000000-0005-0000-0000-000015020000}"/>
    <cellStyle name="쉼표 3 2 2 2 3 3" xfId="437" xr:uid="{00000000-0005-0000-0000-0000B5010000}"/>
    <cellStyle name="쉼표 3 2 2 2 4" xfId="293" xr:uid="{00000000-0005-0000-0000-000025010000}"/>
    <cellStyle name="쉼표 3 2 2 2 4 2" xfId="485" xr:uid="{00000000-0005-0000-0000-0000E5010000}"/>
    <cellStyle name="쉼표 3 2 2 2 5" xfId="389" xr:uid="{00000000-0005-0000-0000-000085010000}"/>
    <cellStyle name="쉼표 3 2 2 3" xfId="209" xr:uid="{00000000-0005-0000-0000-0000D1000000}"/>
    <cellStyle name="쉼표 3 2 2 3 2" xfId="257" xr:uid="{00000000-0005-0000-0000-000001010000}"/>
    <cellStyle name="쉼표 3 2 2 3 2 2" xfId="353" xr:uid="{00000000-0005-0000-0000-000061010000}"/>
    <cellStyle name="쉼표 3 2 2 3 2 2 2" xfId="545" xr:uid="{00000000-0005-0000-0000-000021020000}"/>
    <cellStyle name="쉼표 3 2 2 3 2 3" xfId="449" xr:uid="{00000000-0005-0000-0000-0000C1010000}"/>
    <cellStyle name="쉼표 3 2 2 3 3" xfId="305" xr:uid="{00000000-0005-0000-0000-000031010000}"/>
    <cellStyle name="쉼표 3 2 2 3 3 2" xfId="497" xr:uid="{00000000-0005-0000-0000-0000F1010000}"/>
    <cellStyle name="쉼표 3 2 2 3 4" xfId="401" xr:uid="{00000000-0005-0000-0000-000091010000}"/>
    <cellStyle name="쉼표 3 2 2 4" xfId="233" xr:uid="{00000000-0005-0000-0000-0000E9000000}"/>
    <cellStyle name="쉼표 3 2 2 4 2" xfId="329" xr:uid="{00000000-0005-0000-0000-000049010000}"/>
    <cellStyle name="쉼표 3 2 2 4 2 2" xfId="521" xr:uid="{00000000-0005-0000-0000-000009020000}"/>
    <cellStyle name="쉼표 3 2 2 4 3" xfId="425" xr:uid="{00000000-0005-0000-0000-0000A9010000}"/>
    <cellStyle name="쉼표 3 2 2 5" xfId="281" xr:uid="{00000000-0005-0000-0000-000019010000}"/>
    <cellStyle name="쉼표 3 2 2 5 2" xfId="473" xr:uid="{00000000-0005-0000-0000-0000D9010000}"/>
    <cellStyle name="쉼표 3 2 2 6" xfId="377" xr:uid="{00000000-0005-0000-0000-000079010000}"/>
    <cellStyle name="쉼표 3 2 3" xfId="193" xr:uid="{00000000-0005-0000-0000-0000C1000000}"/>
    <cellStyle name="쉼표 3 2 3 2" xfId="217" xr:uid="{00000000-0005-0000-0000-0000D9000000}"/>
    <cellStyle name="쉼표 3 2 3 2 2" xfId="265" xr:uid="{00000000-0005-0000-0000-000009010000}"/>
    <cellStyle name="쉼표 3 2 3 2 2 2" xfId="361" xr:uid="{00000000-0005-0000-0000-000069010000}"/>
    <cellStyle name="쉼표 3 2 3 2 2 2 2" xfId="553" xr:uid="{00000000-0005-0000-0000-000029020000}"/>
    <cellStyle name="쉼표 3 2 3 2 2 3" xfId="457" xr:uid="{00000000-0005-0000-0000-0000C9010000}"/>
    <cellStyle name="쉼표 3 2 3 2 3" xfId="313" xr:uid="{00000000-0005-0000-0000-000039010000}"/>
    <cellStyle name="쉼표 3 2 3 2 3 2" xfId="505" xr:uid="{00000000-0005-0000-0000-0000F9010000}"/>
    <cellStyle name="쉼표 3 2 3 2 4" xfId="409" xr:uid="{00000000-0005-0000-0000-000099010000}"/>
    <cellStyle name="쉼표 3 2 3 3" xfId="241" xr:uid="{00000000-0005-0000-0000-0000F1000000}"/>
    <cellStyle name="쉼표 3 2 3 3 2" xfId="337" xr:uid="{00000000-0005-0000-0000-000051010000}"/>
    <cellStyle name="쉼표 3 2 3 3 2 2" xfId="529" xr:uid="{00000000-0005-0000-0000-000011020000}"/>
    <cellStyle name="쉼표 3 2 3 3 3" xfId="433" xr:uid="{00000000-0005-0000-0000-0000B1010000}"/>
    <cellStyle name="쉼표 3 2 3 4" xfId="289" xr:uid="{00000000-0005-0000-0000-000021010000}"/>
    <cellStyle name="쉼표 3 2 3 4 2" xfId="481" xr:uid="{00000000-0005-0000-0000-0000E1010000}"/>
    <cellStyle name="쉼표 3 2 3 5" xfId="385" xr:uid="{00000000-0005-0000-0000-000081010000}"/>
    <cellStyle name="쉼표 3 2 4" xfId="205" xr:uid="{00000000-0005-0000-0000-0000CD000000}"/>
    <cellStyle name="쉼표 3 2 4 2" xfId="253" xr:uid="{00000000-0005-0000-0000-0000FD000000}"/>
    <cellStyle name="쉼표 3 2 4 2 2" xfId="349" xr:uid="{00000000-0005-0000-0000-00005D010000}"/>
    <cellStyle name="쉼표 3 2 4 2 2 2" xfId="541" xr:uid="{00000000-0005-0000-0000-00001D020000}"/>
    <cellStyle name="쉼표 3 2 4 2 3" xfId="445" xr:uid="{00000000-0005-0000-0000-0000BD010000}"/>
    <cellStyle name="쉼표 3 2 4 3" xfId="301" xr:uid="{00000000-0005-0000-0000-00002D010000}"/>
    <cellStyle name="쉼표 3 2 4 3 2" xfId="493" xr:uid="{00000000-0005-0000-0000-0000ED010000}"/>
    <cellStyle name="쉼표 3 2 4 4" xfId="397" xr:uid="{00000000-0005-0000-0000-00008D010000}"/>
    <cellStyle name="쉼표 3 2 5" xfId="229" xr:uid="{00000000-0005-0000-0000-0000E5000000}"/>
    <cellStyle name="쉼표 3 2 5 2" xfId="325" xr:uid="{00000000-0005-0000-0000-000045010000}"/>
    <cellStyle name="쉼표 3 2 5 2 2" xfId="517" xr:uid="{00000000-0005-0000-0000-000005020000}"/>
    <cellStyle name="쉼표 3 2 5 3" xfId="421" xr:uid="{00000000-0005-0000-0000-0000A5010000}"/>
    <cellStyle name="쉼표 3 2 6" xfId="277" xr:uid="{00000000-0005-0000-0000-000015010000}"/>
    <cellStyle name="쉼표 3 2 6 2" xfId="469" xr:uid="{00000000-0005-0000-0000-0000D5010000}"/>
    <cellStyle name="쉼표 3 2 7" xfId="373" xr:uid="{00000000-0005-0000-0000-000075010000}"/>
    <cellStyle name="쉼표 3 3" xfId="182" xr:uid="{00000000-0005-0000-0000-0000B6000000}"/>
    <cellStyle name="쉼표 3 3 2" xfId="195" xr:uid="{00000000-0005-0000-0000-0000C3000000}"/>
    <cellStyle name="쉼표 3 3 2 2" xfId="219" xr:uid="{00000000-0005-0000-0000-0000DB000000}"/>
    <cellStyle name="쉼표 3 3 2 2 2" xfId="267" xr:uid="{00000000-0005-0000-0000-00000B010000}"/>
    <cellStyle name="쉼표 3 3 2 2 2 2" xfId="363" xr:uid="{00000000-0005-0000-0000-00006B010000}"/>
    <cellStyle name="쉼표 3 3 2 2 2 2 2" xfId="555" xr:uid="{00000000-0005-0000-0000-00002B020000}"/>
    <cellStyle name="쉼표 3 3 2 2 2 3" xfId="459" xr:uid="{00000000-0005-0000-0000-0000CB010000}"/>
    <cellStyle name="쉼표 3 3 2 2 3" xfId="315" xr:uid="{00000000-0005-0000-0000-00003B010000}"/>
    <cellStyle name="쉼표 3 3 2 2 3 2" xfId="507" xr:uid="{00000000-0005-0000-0000-0000FB010000}"/>
    <cellStyle name="쉼표 3 3 2 2 4" xfId="411" xr:uid="{00000000-0005-0000-0000-00009B010000}"/>
    <cellStyle name="쉼표 3 3 2 3" xfId="243" xr:uid="{00000000-0005-0000-0000-0000F3000000}"/>
    <cellStyle name="쉼표 3 3 2 3 2" xfId="339" xr:uid="{00000000-0005-0000-0000-000053010000}"/>
    <cellStyle name="쉼표 3 3 2 3 2 2" xfId="531" xr:uid="{00000000-0005-0000-0000-000013020000}"/>
    <cellStyle name="쉼표 3 3 2 3 3" xfId="435" xr:uid="{00000000-0005-0000-0000-0000B3010000}"/>
    <cellStyle name="쉼표 3 3 2 4" xfId="291" xr:uid="{00000000-0005-0000-0000-000023010000}"/>
    <cellStyle name="쉼표 3 3 2 4 2" xfId="483" xr:uid="{00000000-0005-0000-0000-0000E3010000}"/>
    <cellStyle name="쉼표 3 3 2 5" xfId="387" xr:uid="{00000000-0005-0000-0000-000083010000}"/>
    <cellStyle name="쉼표 3 3 3" xfId="207" xr:uid="{00000000-0005-0000-0000-0000CF000000}"/>
    <cellStyle name="쉼표 3 3 3 2" xfId="255" xr:uid="{00000000-0005-0000-0000-0000FF000000}"/>
    <cellStyle name="쉼표 3 3 3 2 2" xfId="351" xr:uid="{00000000-0005-0000-0000-00005F010000}"/>
    <cellStyle name="쉼표 3 3 3 2 2 2" xfId="543" xr:uid="{00000000-0005-0000-0000-00001F020000}"/>
    <cellStyle name="쉼표 3 3 3 2 3" xfId="447" xr:uid="{00000000-0005-0000-0000-0000BF010000}"/>
    <cellStyle name="쉼표 3 3 3 3" xfId="303" xr:uid="{00000000-0005-0000-0000-00002F010000}"/>
    <cellStyle name="쉼표 3 3 3 3 2" xfId="495" xr:uid="{00000000-0005-0000-0000-0000EF010000}"/>
    <cellStyle name="쉼표 3 3 3 4" xfId="399" xr:uid="{00000000-0005-0000-0000-00008F010000}"/>
    <cellStyle name="쉼표 3 3 4" xfId="231" xr:uid="{00000000-0005-0000-0000-0000E7000000}"/>
    <cellStyle name="쉼표 3 3 4 2" xfId="327" xr:uid="{00000000-0005-0000-0000-000047010000}"/>
    <cellStyle name="쉼표 3 3 4 2 2" xfId="519" xr:uid="{00000000-0005-0000-0000-000007020000}"/>
    <cellStyle name="쉼표 3 3 4 3" xfId="423" xr:uid="{00000000-0005-0000-0000-0000A7010000}"/>
    <cellStyle name="쉼표 3 3 5" xfId="279" xr:uid="{00000000-0005-0000-0000-000017010000}"/>
    <cellStyle name="쉼표 3 3 5 2" xfId="471" xr:uid="{00000000-0005-0000-0000-0000D7010000}"/>
    <cellStyle name="쉼표 3 3 6" xfId="375" xr:uid="{00000000-0005-0000-0000-000077010000}"/>
    <cellStyle name="쉼표 3 4" xfId="191" xr:uid="{00000000-0005-0000-0000-0000BF000000}"/>
    <cellStyle name="쉼표 3 4 2" xfId="215" xr:uid="{00000000-0005-0000-0000-0000D7000000}"/>
    <cellStyle name="쉼표 3 4 2 2" xfId="263" xr:uid="{00000000-0005-0000-0000-000007010000}"/>
    <cellStyle name="쉼표 3 4 2 2 2" xfId="359" xr:uid="{00000000-0005-0000-0000-000067010000}"/>
    <cellStyle name="쉼표 3 4 2 2 2 2" xfId="551" xr:uid="{00000000-0005-0000-0000-000027020000}"/>
    <cellStyle name="쉼표 3 4 2 2 3" xfId="455" xr:uid="{00000000-0005-0000-0000-0000C7010000}"/>
    <cellStyle name="쉼표 3 4 2 3" xfId="311" xr:uid="{00000000-0005-0000-0000-000037010000}"/>
    <cellStyle name="쉼표 3 4 2 3 2" xfId="503" xr:uid="{00000000-0005-0000-0000-0000F7010000}"/>
    <cellStyle name="쉼표 3 4 2 4" xfId="407" xr:uid="{00000000-0005-0000-0000-000097010000}"/>
    <cellStyle name="쉼표 3 4 3" xfId="239" xr:uid="{00000000-0005-0000-0000-0000EF000000}"/>
    <cellStyle name="쉼표 3 4 3 2" xfId="335" xr:uid="{00000000-0005-0000-0000-00004F010000}"/>
    <cellStyle name="쉼표 3 4 3 2 2" xfId="527" xr:uid="{00000000-0005-0000-0000-00000F020000}"/>
    <cellStyle name="쉼표 3 4 3 3" xfId="431" xr:uid="{00000000-0005-0000-0000-0000AF010000}"/>
    <cellStyle name="쉼표 3 4 4" xfId="287" xr:uid="{00000000-0005-0000-0000-00001F010000}"/>
    <cellStyle name="쉼표 3 4 4 2" xfId="479" xr:uid="{00000000-0005-0000-0000-0000DF010000}"/>
    <cellStyle name="쉼표 3 4 5" xfId="383" xr:uid="{00000000-0005-0000-0000-00007F010000}"/>
    <cellStyle name="쉼표 3 5" xfId="203" xr:uid="{00000000-0005-0000-0000-0000CB000000}"/>
    <cellStyle name="쉼표 3 5 2" xfId="251" xr:uid="{00000000-0005-0000-0000-0000FB000000}"/>
    <cellStyle name="쉼표 3 5 2 2" xfId="347" xr:uid="{00000000-0005-0000-0000-00005B010000}"/>
    <cellStyle name="쉼표 3 5 2 2 2" xfId="539" xr:uid="{00000000-0005-0000-0000-00001B020000}"/>
    <cellStyle name="쉼표 3 5 2 3" xfId="443" xr:uid="{00000000-0005-0000-0000-0000BB010000}"/>
    <cellStyle name="쉼표 3 5 3" xfId="299" xr:uid="{00000000-0005-0000-0000-00002B010000}"/>
    <cellStyle name="쉼표 3 5 3 2" xfId="491" xr:uid="{00000000-0005-0000-0000-0000EB010000}"/>
    <cellStyle name="쉼표 3 5 4" xfId="395" xr:uid="{00000000-0005-0000-0000-00008B010000}"/>
    <cellStyle name="쉼표 3 6" xfId="227" xr:uid="{00000000-0005-0000-0000-0000E3000000}"/>
    <cellStyle name="쉼표 3 6 2" xfId="323" xr:uid="{00000000-0005-0000-0000-000043010000}"/>
    <cellStyle name="쉼표 3 6 2 2" xfId="515" xr:uid="{00000000-0005-0000-0000-000003020000}"/>
    <cellStyle name="쉼표 3 6 3" xfId="419" xr:uid="{00000000-0005-0000-0000-0000A3010000}"/>
    <cellStyle name="쉼표 3 7" xfId="275" xr:uid="{00000000-0005-0000-0000-000013010000}"/>
    <cellStyle name="쉼표 3 7 2" xfId="467" xr:uid="{00000000-0005-0000-0000-0000D3010000}"/>
    <cellStyle name="쉼표 3 8" xfId="371" xr:uid="{00000000-0005-0000-0000-000073010000}"/>
    <cellStyle name="千位分隔 2" xfId="186" xr:uid="{00000000-0005-0000-0000-0000BA000000}"/>
    <cellStyle name="千位分隔 2 2" xfId="198" xr:uid="{00000000-0005-0000-0000-0000C6000000}"/>
    <cellStyle name="千位分隔 2 2 2" xfId="222" xr:uid="{00000000-0005-0000-0000-0000DE000000}"/>
    <cellStyle name="千位分隔 2 2 2 2" xfId="270" xr:uid="{00000000-0005-0000-0000-00000E010000}"/>
    <cellStyle name="千位分隔 2 2 2 2 2" xfId="366" xr:uid="{00000000-0005-0000-0000-00006E010000}"/>
    <cellStyle name="千位分隔 2 2 2 2 2 2" xfId="558" xr:uid="{00000000-0005-0000-0000-00002E020000}"/>
    <cellStyle name="千位分隔 2 2 2 2 3" xfId="462" xr:uid="{00000000-0005-0000-0000-0000CE010000}"/>
    <cellStyle name="千位分隔 2 2 2 3" xfId="318" xr:uid="{00000000-0005-0000-0000-00003E010000}"/>
    <cellStyle name="千位分隔 2 2 2 3 2" xfId="510" xr:uid="{00000000-0005-0000-0000-0000FE010000}"/>
    <cellStyle name="千位分隔 2 2 2 4" xfId="414" xr:uid="{00000000-0005-0000-0000-00009E010000}"/>
    <cellStyle name="千位分隔 2 2 3" xfId="246" xr:uid="{00000000-0005-0000-0000-0000F6000000}"/>
    <cellStyle name="千位分隔 2 2 3 2" xfId="342" xr:uid="{00000000-0005-0000-0000-000056010000}"/>
    <cellStyle name="千位分隔 2 2 3 2 2" xfId="534" xr:uid="{00000000-0005-0000-0000-000016020000}"/>
    <cellStyle name="千位分隔 2 2 3 3" xfId="438" xr:uid="{00000000-0005-0000-0000-0000B6010000}"/>
    <cellStyle name="千位分隔 2 2 4" xfId="294" xr:uid="{00000000-0005-0000-0000-000026010000}"/>
    <cellStyle name="千位分隔 2 2 4 2" xfId="486" xr:uid="{00000000-0005-0000-0000-0000E6010000}"/>
    <cellStyle name="千位分隔 2 2 5" xfId="390" xr:uid="{00000000-0005-0000-0000-000086010000}"/>
    <cellStyle name="千位分隔 2 3" xfId="210" xr:uid="{00000000-0005-0000-0000-0000D2000000}"/>
    <cellStyle name="千位分隔 2 3 2" xfId="258" xr:uid="{00000000-0005-0000-0000-000002010000}"/>
    <cellStyle name="千位分隔 2 3 2 2" xfId="354" xr:uid="{00000000-0005-0000-0000-000062010000}"/>
    <cellStyle name="千位分隔 2 3 2 2 2" xfId="546" xr:uid="{00000000-0005-0000-0000-000022020000}"/>
    <cellStyle name="千位分隔 2 3 2 3" xfId="450" xr:uid="{00000000-0005-0000-0000-0000C2010000}"/>
    <cellStyle name="千位分隔 2 3 3" xfId="306" xr:uid="{00000000-0005-0000-0000-000032010000}"/>
    <cellStyle name="千位分隔 2 3 3 2" xfId="498" xr:uid="{00000000-0005-0000-0000-0000F2010000}"/>
    <cellStyle name="千位分隔 2 3 4" xfId="402" xr:uid="{00000000-0005-0000-0000-000092010000}"/>
    <cellStyle name="千位分隔 2 4" xfId="234" xr:uid="{00000000-0005-0000-0000-0000EA000000}"/>
    <cellStyle name="千位分隔 2 4 2" xfId="330" xr:uid="{00000000-0005-0000-0000-00004A010000}"/>
    <cellStyle name="千位分隔 2 4 2 2" xfId="522" xr:uid="{00000000-0005-0000-0000-00000A020000}"/>
    <cellStyle name="千位分隔 2 4 3" xfId="426" xr:uid="{00000000-0005-0000-0000-0000AA010000}"/>
    <cellStyle name="千位分隔 2 5" xfId="282" xr:uid="{00000000-0005-0000-0000-00001A010000}"/>
    <cellStyle name="千位分隔 2 5 2" xfId="474" xr:uid="{00000000-0005-0000-0000-0000DA010000}"/>
    <cellStyle name="千位分隔 2 6" xfId="378" xr:uid="{00000000-0005-0000-0000-00007A010000}"/>
    <cellStyle name="千位分隔[0] 2" xfId="177" xr:uid="{00000000-0005-0000-0000-0000B1000000}"/>
    <cellStyle name="千位分隔[0] 3" xfId="187" xr:uid="{00000000-0005-0000-0000-0000BB000000}"/>
    <cellStyle name="千位分隔[0] 3 2" xfId="199" xr:uid="{00000000-0005-0000-0000-0000C7000000}"/>
    <cellStyle name="千位分隔[0] 3 2 2" xfId="223" xr:uid="{00000000-0005-0000-0000-0000DF000000}"/>
    <cellStyle name="千位分隔[0] 3 2 2 2" xfId="271" xr:uid="{00000000-0005-0000-0000-00000F010000}"/>
    <cellStyle name="千位分隔[0] 3 2 2 2 2" xfId="367" xr:uid="{00000000-0005-0000-0000-00006F010000}"/>
    <cellStyle name="千位分隔[0] 3 2 2 2 2 2" xfId="559" xr:uid="{00000000-0005-0000-0000-00002F020000}"/>
    <cellStyle name="千位分隔[0] 3 2 2 2 3" xfId="463" xr:uid="{00000000-0005-0000-0000-0000CF010000}"/>
    <cellStyle name="千位分隔[0] 3 2 2 3" xfId="319" xr:uid="{00000000-0005-0000-0000-00003F010000}"/>
    <cellStyle name="千位分隔[0] 3 2 2 3 2" xfId="511" xr:uid="{00000000-0005-0000-0000-0000FF010000}"/>
    <cellStyle name="千位分隔[0] 3 2 2 4" xfId="415" xr:uid="{00000000-0005-0000-0000-00009F010000}"/>
    <cellStyle name="千位分隔[0] 3 2 3" xfId="247" xr:uid="{00000000-0005-0000-0000-0000F7000000}"/>
    <cellStyle name="千位分隔[0] 3 2 3 2" xfId="343" xr:uid="{00000000-0005-0000-0000-000057010000}"/>
    <cellStyle name="千位分隔[0] 3 2 3 2 2" xfId="535" xr:uid="{00000000-0005-0000-0000-000017020000}"/>
    <cellStyle name="千位分隔[0] 3 2 3 3" xfId="439" xr:uid="{00000000-0005-0000-0000-0000B7010000}"/>
    <cellStyle name="千位分隔[0] 3 2 4" xfId="295" xr:uid="{00000000-0005-0000-0000-000027010000}"/>
    <cellStyle name="千位分隔[0] 3 2 4 2" xfId="487" xr:uid="{00000000-0005-0000-0000-0000E7010000}"/>
    <cellStyle name="千位分隔[0] 3 2 5" xfId="391" xr:uid="{00000000-0005-0000-0000-000087010000}"/>
    <cellStyle name="千位分隔[0] 3 3" xfId="211" xr:uid="{00000000-0005-0000-0000-0000D3000000}"/>
    <cellStyle name="千位分隔[0] 3 3 2" xfId="259" xr:uid="{00000000-0005-0000-0000-000003010000}"/>
    <cellStyle name="千位分隔[0] 3 3 2 2" xfId="355" xr:uid="{00000000-0005-0000-0000-000063010000}"/>
    <cellStyle name="千位分隔[0] 3 3 2 2 2" xfId="547" xr:uid="{00000000-0005-0000-0000-000023020000}"/>
    <cellStyle name="千位分隔[0] 3 3 2 3" xfId="451" xr:uid="{00000000-0005-0000-0000-0000C3010000}"/>
    <cellStyle name="千位分隔[0] 3 3 3" xfId="307" xr:uid="{00000000-0005-0000-0000-000033010000}"/>
    <cellStyle name="千位分隔[0] 3 3 3 2" xfId="499" xr:uid="{00000000-0005-0000-0000-0000F3010000}"/>
    <cellStyle name="千位分隔[0] 3 3 4" xfId="403" xr:uid="{00000000-0005-0000-0000-000093010000}"/>
    <cellStyle name="千位分隔[0] 3 4" xfId="235" xr:uid="{00000000-0005-0000-0000-0000EB000000}"/>
    <cellStyle name="千位分隔[0] 3 4 2" xfId="331" xr:uid="{00000000-0005-0000-0000-00004B010000}"/>
    <cellStyle name="千位分隔[0] 3 4 2 2" xfId="523" xr:uid="{00000000-0005-0000-0000-00000B020000}"/>
    <cellStyle name="千位分隔[0] 3 4 3" xfId="427" xr:uid="{00000000-0005-0000-0000-0000AB010000}"/>
    <cellStyle name="千位分隔[0] 3 5" xfId="283" xr:uid="{00000000-0005-0000-0000-00001B010000}"/>
    <cellStyle name="千位分隔[0] 3 5 2" xfId="475" xr:uid="{00000000-0005-0000-0000-0000DB010000}"/>
    <cellStyle name="千位分隔[0] 3 6" xfId="379" xr:uid="{00000000-0005-0000-0000-00007B010000}"/>
    <cellStyle name="표준" xfId="0" builtinId="0"/>
    <cellStyle name="표준 2" xfId="3" xr:uid="{00000000-0005-0000-0000-000003000000}"/>
    <cellStyle name="표준 2 2" xfId="36" xr:uid="{00000000-0005-0000-0000-000024000000}"/>
    <cellStyle name="표준 2 2 2" xfId="37" xr:uid="{00000000-0005-0000-0000-000025000000}"/>
    <cellStyle name="표준 2 2 2 2" xfId="38" xr:uid="{00000000-0005-0000-0000-000026000000}"/>
    <cellStyle name="표준 2 2 2 2 2" xfId="39" xr:uid="{00000000-0005-0000-0000-000027000000}"/>
    <cellStyle name="표준 2 2 2 2 2 2" xfId="40" xr:uid="{00000000-0005-0000-0000-000028000000}"/>
    <cellStyle name="표준 2 2 2 2 3" xfId="41" xr:uid="{00000000-0005-0000-0000-000029000000}"/>
    <cellStyle name="표준 2 2 2 3" xfId="42" xr:uid="{00000000-0005-0000-0000-00002A000000}"/>
    <cellStyle name="표준 2 2 2 3 2" xfId="43" xr:uid="{00000000-0005-0000-0000-00002B000000}"/>
    <cellStyle name="표준 2 2 2 4" xfId="44" xr:uid="{00000000-0005-0000-0000-00002C000000}"/>
    <cellStyle name="표준 2 2 3" xfId="45" xr:uid="{00000000-0005-0000-0000-00002D000000}"/>
    <cellStyle name="표준 2 2 3 2" xfId="46" xr:uid="{00000000-0005-0000-0000-00002E000000}"/>
    <cellStyle name="표준 2 2 3 2 2" xfId="47" xr:uid="{00000000-0005-0000-0000-00002F000000}"/>
    <cellStyle name="표준 2 2 3 3" xfId="48" xr:uid="{00000000-0005-0000-0000-000030000000}"/>
    <cellStyle name="표준 2 2 4" xfId="49" xr:uid="{00000000-0005-0000-0000-000031000000}"/>
    <cellStyle name="표준 2 2 4 2" xfId="50" xr:uid="{00000000-0005-0000-0000-000032000000}"/>
    <cellStyle name="표준 2 2 5" xfId="51" xr:uid="{00000000-0005-0000-0000-000033000000}"/>
    <cellStyle name="표준 2 3" xfId="52" xr:uid="{00000000-0005-0000-0000-000034000000}"/>
    <cellStyle name="표준 2 3 2" xfId="53" xr:uid="{00000000-0005-0000-0000-000035000000}"/>
    <cellStyle name="표준 2 3 2 2" xfId="54" xr:uid="{00000000-0005-0000-0000-000036000000}"/>
    <cellStyle name="표준 2 3 2 2 2" xfId="55" xr:uid="{00000000-0005-0000-0000-000037000000}"/>
    <cellStyle name="표준 2 3 2 3" xfId="56" xr:uid="{00000000-0005-0000-0000-000038000000}"/>
    <cellStyle name="표준 2 3 3" xfId="57" xr:uid="{00000000-0005-0000-0000-000039000000}"/>
    <cellStyle name="표준 2 3 3 2" xfId="58" xr:uid="{00000000-0005-0000-0000-00003A000000}"/>
    <cellStyle name="표준 2 3 4" xfId="59" xr:uid="{00000000-0005-0000-0000-00003B000000}"/>
    <cellStyle name="표준 2 4" xfId="60" xr:uid="{00000000-0005-0000-0000-00003C000000}"/>
    <cellStyle name="표준 2 4 2" xfId="61" xr:uid="{00000000-0005-0000-0000-00003D000000}"/>
    <cellStyle name="표준 2 4 2 2" xfId="62" xr:uid="{00000000-0005-0000-0000-00003E000000}"/>
    <cellStyle name="표준 2 4 3" xfId="63" xr:uid="{00000000-0005-0000-0000-00003F000000}"/>
    <cellStyle name="표준 2 5" xfId="64" xr:uid="{00000000-0005-0000-0000-000040000000}"/>
    <cellStyle name="표준 2 5 2" xfId="65" xr:uid="{00000000-0005-0000-0000-000041000000}"/>
    <cellStyle name="표준 2 6" xfId="66" xr:uid="{00000000-0005-0000-0000-000042000000}"/>
    <cellStyle name="표준 3" xfId="67" xr:uid="{00000000-0005-0000-0000-000043000000}"/>
    <cellStyle name="표준 3 2" xfId="68" xr:uid="{00000000-0005-0000-0000-000044000000}"/>
    <cellStyle name="표준 3 2 2" xfId="69" xr:uid="{00000000-0005-0000-0000-000045000000}"/>
    <cellStyle name="표준 3 2 2 2" xfId="70" xr:uid="{00000000-0005-0000-0000-000046000000}"/>
    <cellStyle name="표준 3 2 2 2 2" xfId="71" xr:uid="{00000000-0005-0000-0000-000047000000}"/>
    <cellStyle name="표준 3 2 2 2 2 2" xfId="72" xr:uid="{00000000-0005-0000-0000-000048000000}"/>
    <cellStyle name="표준 3 2 2 2 3" xfId="73" xr:uid="{00000000-0005-0000-0000-000049000000}"/>
    <cellStyle name="표준 3 2 2 3" xfId="74" xr:uid="{00000000-0005-0000-0000-00004A000000}"/>
    <cellStyle name="표준 3 2 2 3 2" xfId="75" xr:uid="{00000000-0005-0000-0000-00004B000000}"/>
    <cellStyle name="표준 3 2 2 4" xfId="76" xr:uid="{00000000-0005-0000-0000-00004C000000}"/>
    <cellStyle name="표준 3 2 3" xfId="77" xr:uid="{00000000-0005-0000-0000-00004D000000}"/>
    <cellStyle name="표준 3 2 3 2" xfId="78" xr:uid="{00000000-0005-0000-0000-00004E000000}"/>
    <cellStyle name="표준 3 2 3 2 2" xfId="79" xr:uid="{00000000-0005-0000-0000-00004F000000}"/>
    <cellStyle name="표준 3 2 3 3" xfId="80" xr:uid="{00000000-0005-0000-0000-000050000000}"/>
    <cellStyle name="표준 3 2 4" xfId="81" xr:uid="{00000000-0005-0000-0000-000051000000}"/>
    <cellStyle name="표준 3 2 4 2" xfId="82" xr:uid="{00000000-0005-0000-0000-000052000000}"/>
    <cellStyle name="표준 3 2 5" xfId="83" xr:uid="{00000000-0005-0000-0000-000053000000}"/>
    <cellStyle name="표준 3 3" xfId="84" xr:uid="{00000000-0005-0000-0000-000054000000}"/>
    <cellStyle name="표준 3 3 2" xfId="85" xr:uid="{00000000-0005-0000-0000-000055000000}"/>
    <cellStyle name="표준 3 3 2 2" xfId="86" xr:uid="{00000000-0005-0000-0000-000056000000}"/>
    <cellStyle name="표준 3 3 2 2 2" xfId="87" xr:uid="{00000000-0005-0000-0000-000057000000}"/>
    <cellStyle name="표준 3 3 2 3" xfId="88" xr:uid="{00000000-0005-0000-0000-000058000000}"/>
    <cellStyle name="표준 3 3 3" xfId="89" xr:uid="{00000000-0005-0000-0000-000059000000}"/>
    <cellStyle name="표준 3 3 3 2" xfId="90" xr:uid="{00000000-0005-0000-0000-00005A000000}"/>
    <cellStyle name="표준 3 3 4" xfId="91" xr:uid="{00000000-0005-0000-0000-00005B000000}"/>
    <cellStyle name="표준 3 4" xfId="92" xr:uid="{00000000-0005-0000-0000-00005C000000}"/>
    <cellStyle name="표준 3 4 2" xfId="93" xr:uid="{00000000-0005-0000-0000-00005D000000}"/>
    <cellStyle name="표준 3 4 2 2" xfId="94" xr:uid="{00000000-0005-0000-0000-00005E000000}"/>
    <cellStyle name="표준 3 4 3" xfId="95" xr:uid="{00000000-0005-0000-0000-00005F000000}"/>
    <cellStyle name="표준 3 5" xfId="96" xr:uid="{00000000-0005-0000-0000-000060000000}"/>
    <cellStyle name="표준 3 5 2" xfId="97" xr:uid="{00000000-0005-0000-0000-000061000000}"/>
    <cellStyle name="표준 3 6" xfId="98" xr:uid="{00000000-0005-0000-0000-000062000000}"/>
    <cellStyle name="표준 4" xfId="99" xr:uid="{00000000-0005-0000-0000-000063000000}"/>
    <cellStyle name="표준 4 2" xfId="100" xr:uid="{00000000-0005-0000-0000-000064000000}"/>
    <cellStyle name="표준 4 2 2" xfId="101" xr:uid="{00000000-0005-0000-0000-000065000000}"/>
    <cellStyle name="표준 4 2 2 2" xfId="102" xr:uid="{00000000-0005-0000-0000-000066000000}"/>
    <cellStyle name="표준 4 2 2 2 2" xfId="103" xr:uid="{00000000-0005-0000-0000-000067000000}"/>
    <cellStyle name="표준 4 2 2 3" xfId="104" xr:uid="{00000000-0005-0000-0000-000068000000}"/>
    <cellStyle name="표준 4 2 3" xfId="105" xr:uid="{00000000-0005-0000-0000-000069000000}"/>
    <cellStyle name="표준 4 2 3 2" xfId="106" xr:uid="{00000000-0005-0000-0000-00006A000000}"/>
    <cellStyle name="표준 4 2 4" xfId="107" xr:uid="{00000000-0005-0000-0000-00006B000000}"/>
    <cellStyle name="표준 4 3" xfId="108" xr:uid="{00000000-0005-0000-0000-00006C000000}"/>
    <cellStyle name="표준 4 3 2" xfId="109" xr:uid="{00000000-0005-0000-0000-00006D000000}"/>
    <cellStyle name="표준 4 3 2 2" xfId="110" xr:uid="{00000000-0005-0000-0000-00006E000000}"/>
    <cellStyle name="표준 4 3 3" xfId="111" xr:uid="{00000000-0005-0000-0000-00006F000000}"/>
    <cellStyle name="표준 4 4" xfId="112" xr:uid="{00000000-0005-0000-0000-000070000000}"/>
    <cellStyle name="표준 4 4 2" xfId="113" xr:uid="{00000000-0005-0000-0000-000071000000}"/>
    <cellStyle name="표준 4 5" xfId="114" xr:uid="{00000000-0005-0000-0000-000072000000}"/>
    <cellStyle name="표준 5" xfId="115" xr:uid="{00000000-0005-0000-0000-000073000000}"/>
    <cellStyle name="표준 5 2" xfId="116" xr:uid="{00000000-0005-0000-0000-000074000000}"/>
    <cellStyle name="표준 5 2 2" xfId="117" xr:uid="{00000000-0005-0000-0000-000075000000}"/>
    <cellStyle name="표준 5 2 2 2" xfId="118" xr:uid="{00000000-0005-0000-0000-000076000000}"/>
    <cellStyle name="표준 5 2 2 2 2" xfId="119" xr:uid="{00000000-0005-0000-0000-000077000000}"/>
    <cellStyle name="표준 5 2 2 3" xfId="120" xr:uid="{00000000-0005-0000-0000-000078000000}"/>
    <cellStyle name="표준 5 2 3" xfId="121" xr:uid="{00000000-0005-0000-0000-000079000000}"/>
    <cellStyle name="표준 5 2 3 2" xfId="122" xr:uid="{00000000-0005-0000-0000-00007A000000}"/>
    <cellStyle name="표준 5 2 4" xfId="123" xr:uid="{00000000-0005-0000-0000-00007B000000}"/>
    <cellStyle name="표준 5 3" xfId="124" xr:uid="{00000000-0005-0000-0000-00007C000000}"/>
    <cellStyle name="표준 5 3 2" xfId="125" xr:uid="{00000000-0005-0000-0000-00007D000000}"/>
    <cellStyle name="표준 5 3 2 2" xfId="126" xr:uid="{00000000-0005-0000-0000-00007E000000}"/>
    <cellStyle name="표준 5 3 3" xfId="127" xr:uid="{00000000-0005-0000-0000-00007F000000}"/>
    <cellStyle name="표준 5 4" xfId="128" xr:uid="{00000000-0005-0000-0000-000080000000}"/>
    <cellStyle name="표준 5 4 2" xfId="129" xr:uid="{00000000-0005-0000-0000-000081000000}"/>
    <cellStyle name="표준 5 5" xfId="130" xr:uid="{00000000-0005-0000-0000-000082000000}"/>
    <cellStyle name="표준 6" xfId="131" xr:uid="{00000000-0005-0000-0000-000083000000}"/>
    <cellStyle name="표준 7" xfId="133" xr:uid="{00000000-0005-0000-0000-000085000000}"/>
    <cellStyle name="표준 7 2" xfId="139" xr:uid="{00000000-0005-0000-0000-00008B000000}"/>
    <cellStyle name="표준 8" xfId="136" xr:uid="{00000000-0005-0000-0000-000088000000}"/>
    <cellStyle name="표준 8 2" xfId="178" xr:uid="{00000000-0005-0000-0000-0000B2000000}"/>
    <cellStyle name="표준 9" xfId="138" xr:uid="{00000000-0005-0000-0000-00008A000000}"/>
    <cellStyle name="표준_2010 대만전도금_100208" xfId="2" xr:uid="{00000000-0005-0000-0000-000002000000}"/>
    <cellStyle name="표준_2010 대만전도금_100208 2" xfId="137" xr:uid="{00000000-0005-0000-0000-000089000000}"/>
  </cellStyles>
  <dxfs count="6">
    <dxf>
      <fill>
        <patternFill patternType="solid">
          <fgColor rgb="FFFFCCCC"/>
          <bgColor rgb="FF000000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"/>
  <sheetViews>
    <sheetView showGridLines="0" tabSelected="1" zoomScaleNormal="100" workbookViewId="0">
      <selection activeCell="P84" sqref="P84"/>
    </sheetView>
  </sheetViews>
  <sheetFormatPr defaultColWidth="9" defaultRowHeight="13.5" outlineLevelRow="1"/>
  <cols>
    <col min="1" max="1" width="2.25" style="4" customWidth="1"/>
    <col min="2" max="2" width="13.5" style="1" bestFit="1" customWidth="1"/>
    <col min="3" max="3" width="9" style="1" customWidth="1"/>
    <col min="4" max="4" width="11.75" style="1" bestFit="1" customWidth="1"/>
    <col min="5" max="5" width="11.625" style="1" bestFit="1" customWidth="1"/>
    <col min="6" max="6" width="13.25" style="1" customWidth="1"/>
    <col min="7" max="7" width="10.5" style="1" bestFit="1" customWidth="1"/>
    <col min="8" max="8" width="10.75" style="1" bestFit="1" customWidth="1"/>
    <col min="9" max="10" width="11.75" style="1" bestFit="1" customWidth="1"/>
    <col min="11" max="13" width="10.5" style="1" bestFit="1" customWidth="1"/>
    <col min="14" max="14" width="12.5" style="1" customWidth="1"/>
    <col min="15" max="16" width="10.5" style="1" bestFit="1" customWidth="1"/>
    <col min="17" max="19" width="9" style="1" customWidth="1"/>
    <col min="20" max="16384" width="9" style="1"/>
  </cols>
  <sheetData>
    <row r="1" spans="2:14" ht="6.6" customHeight="1" thickBot="1"/>
    <row r="2" spans="2:14" ht="16.5" customHeight="1">
      <c r="B2" s="614" t="s">
        <v>0</v>
      </c>
      <c r="C2" s="610" t="s">
        <v>1</v>
      </c>
      <c r="D2" s="611"/>
      <c r="E2" s="612"/>
      <c r="F2" s="610" t="s">
        <v>2</v>
      </c>
      <c r="G2" s="611"/>
      <c r="H2" s="612"/>
      <c r="I2" s="610" t="s">
        <v>3</v>
      </c>
      <c r="J2" s="612"/>
      <c r="K2" s="610" t="s">
        <v>4</v>
      </c>
      <c r="L2" s="612"/>
      <c r="M2" s="613" t="s">
        <v>5</v>
      </c>
      <c r="N2" s="612"/>
    </row>
    <row r="3" spans="2:14" ht="27" customHeight="1">
      <c r="B3" s="615"/>
      <c r="C3" s="157" t="s">
        <v>6</v>
      </c>
      <c r="D3" s="157" t="s">
        <v>7</v>
      </c>
      <c r="E3" s="158" t="s">
        <v>8</v>
      </c>
      <c r="F3" s="159" t="s">
        <v>9</v>
      </c>
      <c r="G3" s="159" t="s">
        <v>10</v>
      </c>
      <c r="H3" s="126" t="s">
        <v>11</v>
      </c>
      <c r="I3" s="159" t="s">
        <v>9</v>
      </c>
      <c r="J3" s="159" t="s">
        <v>11</v>
      </c>
      <c r="K3" s="159" t="s">
        <v>9</v>
      </c>
      <c r="L3" s="159" t="s">
        <v>11</v>
      </c>
      <c r="M3" s="160" t="s">
        <v>9</v>
      </c>
      <c r="N3" s="7" t="s">
        <v>11</v>
      </c>
    </row>
    <row r="4" spans="2:14" ht="16.5" customHeight="1" outlineLevel="1">
      <c r="B4" s="161">
        <v>45854</v>
      </c>
      <c r="C4" s="2"/>
      <c r="D4" s="2"/>
      <c r="E4" s="2"/>
      <c r="F4" s="162">
        <v>74022.44</v>
      </c>
      <c r="G4" s="162"/>
      <c r="H4" s="162"/>
      <c r="I4" s="162"/>
      <c r="J4" s="162"/>
      <c r="K4" s="162"/>
      <c r="L4" s="162"/>
      <c r="M4" s="162"/>
      <c r="N4" s="163">
        <f>H4-L4</f>
        <v>0</v>
      </c>
    </row>
    <row r="5" spans="2:14" ht="16.5" customHeight="1" outlineLevel="1">
      <c r="B5" s="161">
        <v>45854</v>
      </c>
      <c r="C5" s="3">
        <v>1373.8</v>
      </c>
      <c r="D5" s="164">
        <f>-H5/F5</f>
        <v>7.1674000343842152</v>
      </c>
      <c r="E5" s="2">
        <v>2000001679</v>
      </c>
      <c r="F5" s="162">
        <v>-73987.44</v>
      </c>
      <c r="G5" s="162"/>
      <c r="H5" s="162">
        <v>530297.58000000007</v>
      </c>
      <c r="I5" s="162"/>
      <c r="J5" s="162"/>
      <c r="K5" s="162">
        <v>35</v>
      </c>
      <c r="L5" s="162">
        <v>73092</v>
      </c>
      <c r="M5" s="162"/>
      <c r="N5" s="163">
        <f>H5-L5</f>
        <v>457205.58000000007</v>
      </c>
    </row>
    <row r="6" spans="2:14" ht="16.5" customHeight="1" outlineLevel="1">
      <c r="B6" s="161">
        <v>45855</v>
      </c>
      <c r="C6" s="3"/>
      <c r="D6" s="2"/>
      <c r="E6" s="2"/>
      <c r="F6" s="162"/>
      <c r="G6" s="162"/>
      <c r="H6" s="162"/>
      <c r="I6" s="162"/>
      <c r="J6" s="162"/>
      <c r="K6" s="162"/>
      <c r="L6" s="162">
        <v>2403.6</v>
      </c>
      <c r="M6" s="162"/>
      <c r="N6" s="163">
        <f>N5-L6</f>
        <v>454801.9800000001</v>
      </c>
    </row>
    <row r="7" spans="2:14" ht="16.5" customHeight="1" outlineLevel="1">
      <c r="B7" s="161">
        <v>45860</v>
      </c>
      <c r="C7" s="3"/>
      <c r="D7" s="2"/>
      <c r="E7" s="2"/>
      <c r="F7" s="162"/>
      <c r="G7" s="162"/>
      <c r="H7" s="162"/>
      <c r="I7" s="162"/>
      <c r="J7" s="162"/>
      <c r="K7" s="162"/>
      <c r="L7" s="162">
        <v>28287.200000000001</v>
      </c>
      <c r="M7" s="162"/>
      <c r="N7" s="163">
        <f>N6-L7</f>
        <v>426514.78000000009</v>
      </c>
    </row>
    <row r="8" spans="2:14" ht="16.5" customHeight="1" outlineLevel="1">
      <c r="B8" s="161">
        <v>45862</v>
      </c>
      <c r="C8" s="3"/>
      <c r="D8" s="2"/>
      <c r="E8" s="2"/>
      <c r="F8" s="162"/>
      <c r="G8" s="162"/>
      <c r="H8" s="162"/>
      <c r="I8" s="162"/>
      <c r="J8" s="162"/>
      <c r="K8" s="162"/>
      <c r="L8" s="162">
        <v>345390.37999999989</v>
      </c>
      <c r="M8" s="162"/>
      <c r="N8" s="163">
        <f>N7-L8</f>
        <v>81124.400000000198</v>
      </c>
    </row>
    <row r="9" spans="2:14" ht="16.5" customHeight="1" outlineLevel="1">
      <c r="B9" s="161">
        <v>45863</v>
      </c>
      <c r="C9" s="3"/>
      <c r="D9" s="2"/>
      <c r="E9" s="2"/>
      <c r="F9" s="162"/>
      <c r="G9" s="162"/>
      <c r="H9" s="162"/>
      <c r="I9" s="162"/>
      <c r="J9" s="162"/>
      <c r="K9" s="162"/>
      <c r="L9" s="162">
        <v>80014.399999999994</v>
      </c>
      <c r="M9" s="162"/>
      <c r="N9" s="163">
        <f>N8-L9</f>
        <v>1110.0000000002037</v>
      </c>
    </row>
    <row r="10" spans="2:14" outlineLevel="1">
      <c r="B10" s="8"/>
      <c r="C10" s="5"/>
      <c r="D10" s="5"/>
      <c r="E10" s="5"/>
      <c r="F10" s="165"/>
      <c r="G10" s="165"/>
      <c r="H10" s="127"/>
      <c r="I10" s="127"/>
      <c r="J10" s="127"/>
      <c r="K10" s="165"/>
      <c r="L10" s="166"/>
      <c r="M10" s="167"/>
      <c r="N10" s="168">
        <f>N9</f>
        <v>1110.0000000002037</v>
      </c>
    </row>
    <row r="11" spans="2:14" outlineLevel="1" collapsed="1">
      <c r="B11" s="161">
        <v>45881</v>
      </c>
      <c r="C11" s="2"/>
      <c r="D11" s="2"/>
      <c r="E11" s="2"/>
      <c r="F11" s="162">
        <v>66958.929999999993</v>
      </c>
      <c r="G11" s="162"/>
      <c r="H11" s="162"/>
      <c r="I11" s="162"/>
      <c r="J11" s="162"/>
      <c r="K11" s="162"/>
      <c r="L11" s="162"/>
      <c r="M11" s="162"/>
      <c r="N11" s="163">
        <f t="shared" ref="N11:N23" si="0">N10+H11-L11</f>
        <v>1110.0000000002037</v>
      </c>
    </row>
    <row r="12" spans="2:14" outlineLevel="1">
      <c r="B12" s="161">
        <v>45881</v>
      </c>
      <c r="C12" s="3">
        <v>1384.2</v>
      </c>
      <c r="D12" s="164">
        <f>-H12/F12</f>
        <v>7.1783000041981708</v>
      </c>
      <c r="E12" s="2">
        <v>2000001943</v>
      </c>
      <c r="F12" s="162">
        <v>-66933.929999999993</v>
      </c>
      <c r="G12" s="162"/>
      <c r="H12" s="162">
        <v>480471.83</v>
      </c>
      <c r="I12" s="162"/>
      <c r="J12" s="162"/>
      <c r="K12" s="162">
        <v>25</v>
      </c>
      <c r="L12" s="162"/>
      <c r="M12" s="162"/>
      <c r="N12" s="163">
        <f t="shared" si="0"/>
        <v>481581.83000000019</v>
      </c>
    </row>
    <row r="13" spans="2:14" outlineLevel="1">
      <c r="B13" s="161">
        <v>45883</v>
      </c>
      <c r="C13" s="3"/>
      <c r="D13" s="2"/>
      <c r="E13" s="2"/>
      <c r="F13" s="162"/>
      <c r="G13" s="162"/>
      <c r="H13" s="162"/>
      <c r="I13" s="162"/>
      <c r="J13" s="162"/>
      <c r="K13" s="162"/>
      <c r="L13" s="169">
        <v>1110.056783802901</v>
      </c>
      <c r="M13" s="162"/>
      <c r="N13" s="163">
        <f t="shared" si="0"/>
        <v>480471.77321619727</v>
      </c>
    </row>
    <row r="14" spans="2:14" outlineLevel="1">
      <c r="B14" s="161">
        <v>45883</v>
      </c>
      <c r="C14" s="3"/>
      <c r="D14" s="2"/>
      <c r="E14" s="2"/>
      <c r="F14" s="162"/>
      <c r="G14" s="162"/>
      <c r="H14" s="162"/>
      <c r="I14" s="162"/>
      <c r="J14" s="162"/>
      <c r="K14" s="162"/>
      <c r="L14" s="169">
        <v>26430.74</v>
      </c>
      <c r="M14" s="162"/>
      <c r="N14" s="163">
        <f t="shared" si="0"/>
        <v>454041.03321619728</v>
      </c>
    </row>
    <row r="15" spans="2:14" outlineLevel="1">
      <c r="B15" s="161">
        <v>45887</v>
      </c>
      <c r="C15" s="3"/>
      <c r="D15" s="2"/>
      <c r="E15" s="2"/>
      <c r="F15" s="162"/>
      <c r="G15" s="162"/>
      <c r="H15" s="162"/>
      <c r="I15" s="162"/>
      <c r="J15" s="162"/>
      <c r="K15" s="162"/>
      <c r="L15" s="162">
        <v>33.6</v>
      </c>
      <c r="M15" s="162"/>
      <c r="N15" s="163">
        <f t="shared" si="0"/>
        <v>454007.4332161973</v>
      </c>
    </row>
    <row r="16" spans="2:14" outlineLevel="1">
      <c r="B16" s="161">
        <v>45888</v>
      </c>
      <c r="C16" s="3"/>
      <c r="D16" s="2"/>
      <c r="E16" s="2"/>
      <c r="F16" s="162"/>
      <c r="G16" s="162"/>
      <c r="H16" s="162"/>
      <c r="I16" s="162"/>
      <c r="J16" s="162"/>
      <c r="K16" s="162"/>
      <c r="L16" s="162">
        <v>148030.18000000011</v>
      </c>
      <c r="M16" s="162"/>
      <c r="N16" s="163">
        <f t="shared" si="0"/>
        <v>305977.25321619719</v>
      </c>
    </row>
    <row r="17" spans="2:14" outlineLevel="1">
      <c r="B17" s="161">
        <v>45889</v>
      </c>
      <c r="C17" s="3"/>
      <c r="D17" s="2"/>
      <c r="E17" s="2"/>
      <c r="F17" s="162"/>
      <c r="G17" s="162"/>
      <c r="H17" s="162"/>
      <c r="I17" s="162"/>
      <c r="J17" s="162"/>
      <c r="K17" s="162"/>
      <c r="L17" s="162">
        <v>292153.69</v>
      </c>
      <c r="M17" s="162"/>
      <c r="N17" s="163">
        <f t="shared" si="0"/>
        <v>13823.563216197188</v>
      </c>
    </row>
    <row r="18" spans="2:14" ht="14.25" customHeight="1" outlineLevel="1" thickBot="1">
      <c r="B18" s="128"/>
      <c r="C18" s="129"/>
      <c r="D18" s="129"/>
      <c r="E18" s="129"/>
      <c r="F18" s="170"/>
      <c r="G18" s="170"/>
      <c r="H18" s="130"/>
      <c r="I18" s="130"/>
      <c r="J18" s="130"/>
      <c r="K18" s="170"/>
      <c r="L18" s="171"/>
      <c r="M18" s="172"/>
      <c r="N18" s="173">
        <f t="shared" si="0"/>
        <v>13823.563216197188</v>
      </c>
    </row>
    <row r="19" spans="2:14" outlineLevel="1">
      <c r="B19" s="161">
        <v>45910</v>
      </c>
      <c r="C19" s="3"/>
      <c r="D19" s="2"/>
      <c r="E19" s="2"/>
      <c r="F19" s="162"/>
      <c r="G19" s="162"/>
      <c r="H19" s="162"/>
      <c r="I19" s="162"/>
      <c r="J19" s="162"/>
      <c r="K19" s="162"/>
      <c r="L19" s="162">
        <v>243.6</v>
      </c>
      <c r="M19" s="162"/>
      <c r="N19" s="163">
        <f t="shared" si="0"/>
        <v>13579.963216197188</v>
      </c>
    </row>
    <row r="20" spans="2:14" outlineLevel="1">
      <c r="B20" s="161">
        <v>45911</v>
      </c>
      <c r="C20" s="3"/>
      <c r="D20" s="2"/>
      <c r="E20" s="2"/>
      <c r="F20" s="162">
        <v>58404.05</v>
      </c>
      <c r="G20" s="162"/>
      <c r="H20" s="162"/>
      <c r="I20" s="162"/>
      <c r="J20" s="162"/>
      <c r="K20" s="162"/>
      <c r="L20" s="162"/>
      <c r="M20" s="162"/>
      <c r="N20" s="163">
        <f t="shared" si="0"/>
        <v>13579.963216197188</v>
      </c>
    </row>
    <row r="21" spans="2:14" outlineLevel="1">
      <c r="B21" s="161">
        <v>45911</v>
      </c>
      <c r="C21" s="3">
        <v>1386.6</v>
      </c>
      <c r="D21" s="164">
        <f>-H21/F21</f>
        <v>7.1105999498107622</v>
      </c>
      <c r="E21" s="2">
        <v>2000002211</v>
      </c>
      <c r="F21" s="162">
        <v>-58379.05</v>
      </c>
      <c r="G21" s="162"/>
      <c r="H21" s="162">
        <v>415110.07</v>
      </c>
      <c r="I21" s="162"/>
      <c r="J21" s="162"/>
      <c r="K21" s="162">
        <v>25</v>
      </c>
      <c r="L21" s="162"/>
      <c r="M21" s="162"/>
      <c r="N21" s="163">
        <f t="shared" si="0"/>
        <v>428690.03321619722</v>
      </c>
    </row>
    <row r="22" spans="2:14" outlineLevel="1">
      <c r="B22" s="161">
        <v>45915</v>
      </c>
      <c r="C22" s="3"/>
      <c r="D22" s="2"/>
      <c r="E22" s="2"/>
      <c r="F22" s="162"/>
      <c r="G22" s="162"/>
      <c r="H22" s="162"/>
      <c r="I22" s="162"/>
      <c r="J22" s="162"/>
      <c r="K22" s="162"/>
      <c r="L22" s="169">
        <v>13580.05795001729</v>
      </c>
      <c r="M22" s="162"/>
      <c r="N22" s="163">
        <f t="shared" si="0"/>
        <v>415109.97526617994</v>
      </c>
    </row>
    <row r="23" spans="2:14" outlineLevel="1">
      <c r="B23" s="161">
        <v>45915</v>
      </c>
      <c r="C23" s="3"/>
      <c r="D23" s="2"/>
      <c r="E23" s="2"/>
      <c r="F23" s="162"/>
      <c r="G23" s="162"/>
      <c r="H23" s="162"/>
      <c r="I23" s="162"/>
      <c r="J23" s="162"/>
      <c r="K23" s="162"/>
      <c r="L23" s="169">
        <v>13975.74</v>
      </c>
      <c r="M23" s="162"/>
      <c r="N23" s="163">
        <f t="shared" si="0"/>
        <v>401134.23526617995</v>
      </c>
    </row>
    <row r="24" spans="2:14" outlineLevel="1">
      <c r="B24" s="161">
        <v>45921</v>
      </c>
      <c r="C24" s="3"/>
      <c r="D24" s="2"/>
      <c r="E24" s="2"/>
      <c r="F24" s="162"/>
      <c r="G24" s="162"/>
      <c r="H24" s="162"/>
      <c r="I24" s="162"/>
      <c r="J24" s="162">
        <v>32.36</v>
      </c>
      <c r="K24" s="162"/>
      <c r="L24" s="169"/>
      <c r="M24" s="162"/>
      <c r="N24" s="163">
        <f>N23+H24-L24+J24</f>
        <v>401166.59526617994</v>
      </c>
    </row>
    <row r="25" spans="2:14" outlineLevel="1">
      <c r="B25" s="161">
        <v>45923</v>
      </c>
      <c r="C25" s="3"/>
      <c r="D25" s="2"/>
      <c r="E25" s="2"/>
      <c r="F25" s="162"/>
      <c r="G25" s="162"/>
      <c r="H25" s="162"/>
      <c r="I25" s="162"/>
      <c r="J25" s="162"/>
      <c r="K25" s="162"/>
      <c r="L25" s="162">
        <v>399903.2</v>
      </c>
      <c r="M25" s="162"/>
      <c r="N25" s="163">
        <f t="shared" ref="N25:N38" si="1">N24+H25-L25</f>
        <v>1263.3952661799267</v>
      </c>
    </row>
    <row r="26" spans="2:14" ht="14.25" customHeight="1" outlineLevel="1" thickBot="1">
      <c r="B26" s="128"/>
      <c r="C26" s="129"/>
      <c r="D26" s="129"/>
      <c r="E26" s="129"/>
      <c r="F26" s="170"/>
      <c r="G26" s="170"/>
      <c r="H26" s="130"/>
      <c r="I26" s="130"/>
      <c r="J26" s="130"/>
      <c r="K26" s="170"/>
      <c r="L26" s="171"/>
      <c r="M26" s="172"/>
      <c r="N26" s="173">
        <f t="shared" si="1"/>
        <v>1263.3952661799267</v>
      </c>
    </row>
    <row r="27" spans="2:14" outlineLevel="1" collapsed="1">
      <c r="B27" s="161">
        <v>45943</v>
      </c>
      <c r="C27" s="3"/>
      <c r="D27" s="2"/>
      <c r="E27" s="2"/>
      <c r="F27" s="162">
        <v>76124.429999999993</v>
      </c>
      <c r="G27" s="162"/>
      <c r="H27" s="162"/>
      <c r="I27" s="162"/>
      <c r="J27" s="162"/>
      <c r="K27" s="162"/>
      <c r="L27" s="162"/>
      <c r="M27" s="162"/>
      <c r="N27" s="163">
        <f t="shared" si="1"/>
        <v>1263.3952661799267</v>
      </c>
    </row>
    <row r="28" spans="2:14" outlineLevel="1">
      <c r="B28" s="161">
        <v>45943</v>
      </c>
      <c r="C28" s="3">
        <v>1401.9</v>
      </c>
      <c r="D28" s="164">
        <f>-H28/F28</f>
        <v>7.116499952759173</v>
      </c>
      <c r="E28" s="2">
        <v>2000002505</v>
      </c>
      <c r="F28" s="162">
        <v>-76099.429999999993</v>
      </c>
      <c r="G28" s="162"/>
      <c r="H28" s="162">
        <v>541561.59</v>
      </c>
      <c r="I28" s="162"/>
      <c r="J28" s="162"/>
      <c r="K28" s="162">
        <v>25</v>
      </c>
      <c r="L28" s="162"/>
      <c r="M28" s="162"/>
      <c r="N28" s="163">
        <f t="shared" si="1"/>
        <v>542824.98526617989</v>
      </c>
    </row>
    <row r="29" spans="2:14" outlineLevel="1">
      <c r="B29" s="161">
        <v>45945</v>
      </c>
      <c r="C29" s="3"/>
      <c r="D29" s="2"/>
      <c r="E29" s="2"/>
      <c r="F29" s="162"/>
      <c r="G29" s="162"/>
      <c r="H29" s="162"/>
      <c r="I29" s="162"/>
      <c r="J29" s="162"/>
      <c r="K29" s="162"/>
      <c r="L29" s="169">
        <v>1263.482505081874</v>
      </c>
      <c r="M29" s="162"/>
      <c r="N29" s="163">
        <f t="shared" si="1"/>
        <v>541561.50276109797</v>
      </c>
    </row>
    <row r="30" spans="2:14" outlineLevel="1">
      <c r="B30" s="161">
        <v>45945</v>
      </c>
      <c r="C30" s="3"/>
      <c r="D30" s="2"/>
      <c r="E30" s="2"/>
      <c r="F30" s="162"/>
      <c r="G30" s="162"/>
      <c r="H30" s="162"/>
      <c r="I30" s="162"/>
      <c r="J30" s="162"/>
      <c r="L30" s="169">
        <v>26248.32</v>
      </c>
      <c r="M30" s="162"/>
      <c r="N30" s="163">
        <f t="shared" si="1"/>
        <v>515313.18276109797</v>
      </c>
    </row>
    <row r="31" spans="2:14" outlineLevel="1">
      <c r="B31" s="161">
        <v>45952</v>
      </c>
      <c r="C31" s="3"/>
      <c r="D31" s="2"/>
      <c r="E31" s="2"/>
      <c r="F31" s="162"/>
      <c r="G31" s="162"/>
      <c r="H31" s="162"/>
      <c r="I31" s="162"/>
      <c r="J31" s="162"/>
      <c r="K31" s="162"/>
      <c r="L31" s="162">
        <v>57279.62</v>
      </c>
      <c r="M31" s="162"/>
      <c r="N31" s="163">
        <f t="shared" si="1"/>
        <v>458033.56276109797</v>
      </c>
    </row>
    <row r="32" spans="2:14" outlineLevel="1">
      <c r="B32" s="161">
        <v>45953</v>
      </c>
      <c r="C32" s="3"/>
      <c r="D32" s="2"/>
      <c r="E32" s="2"/>
      <c r="F32" s="162"/>
      <c r="G32" s="162"/>
      <c r="H32" s="162"/>
      <c r="I32" s="162"/>
      <c r="J32" s="162"/>
      <c r="K32" s="162"/>
      <c r="L32" s="162">
        <v>435679.23</v>
      </c>
      <c r="M32" s="162"/>
      <c r="N32" s="163">
        <f t="shared" si="1"/>
        <v>22354.33276109799</v>
      </c>
    </row>
    <row r="33" spans="2:14" ht="14.25" customHeight="1" outlineLevel="1" thickBot="1">
      <c r="B33" s="128"/>
      <c r="C33" s="129"/>
      <c r="D33" s="129"/>
      <c r="E33" s="129"/>
      <c r="F33" s="170"/>
      <c r="G33" s="170"/>
      <c r="H33" s="130"/>
      <c r="I33" s="130"/>
      <c r="J33" s="130"/>
      <c r="K33" s="170"/>
      <c r="L33" s="171"/>
      <c r="M33" s="172"/>
      <c r="N33" s="173">
        <f t="shared" si="1"/>
        <v>22354.33276109799</v>
      </c>
    </row>
    <row r="34" spans="2:14" outlineLevel="1">
      <c r="B34" s="161">
        <v>45974</v>
      </c>
      <c r="C34" s="3"/>
      <c r="D34" s="2"/>
      <c r="E34" s="2"/>
      <c r="F34" s="162">
        <v>58100.87</v>
      </c>
      <c r="G34" s="162"/>
      <c r="H34" s="162"/>
      <c r="I34" s="162"/>
      <c r="J34" s="162"/>
      <c r="K34" s="162"/>
      <c r="L34" s="162"/>
      <c r="M34" s="162"/>
      <c r="N34" s="163">
        <f t="shared" si="1"/>
        <v>22354.33276109799</v>
      </c>
    </row>
    <row r="35" spans="2:14" outlineLevel="1">
      <c r="B35" s="161">
        <v>45974</v>
      </c>
      <c r="C35" s="3">
        <v>1454</v>
      </c>
      <c r="D35" s="164">
        <f>-H35/F35</f>
        <v>7.0840999885150238</v>
      </c>
      <c r="E35" s="2">
        <v>2000002746</v>
      </c>
      <c r="F35" s="162">
        <v>-58075.87</v>
      </c>
      <c r="G35" s="162"/>
      <c r="H35" s="162">
        <v>411415.27</v>
      </c>
      <c r="I35" s="162"/>
      <c r="J35" s="162"/>
      <c r="K35" s="162">
        <v>25</v>
      </c>
      <c r="L35" s="162"/>
      <c r="M35" s="162"/>
      <c r="N35" s="163">
        <f t="shared" si="1"/>
        <v>433769.60276109801</v>
      </c>
    </row>
    <row r="36" spans="2:14" outlineLevel="1">
      <c r="B36" s="161">
        <v>45975</v>
      </c>
      <c r="C36" s="3"/>
      <c r="D36" s="2"/>
      <c r="E36" s="2"/>
      <c r="F36" s="162"/>
      <c r="G36" s="162"/>
      <c r="H36" s="162"/>
      <c r="I36" s="162"/>
      <c r="J36" s="162"/>
      <c r="K36" s="162"/>
      <c r="L36" s="169">
        <v>22335.89</v>
      </c>
      <c r="M36" s="162"/>
      <c r="N36" s="163">
        <f t="shared" si="1"/>
        <v>411433.712761098</v>
      </c>
    </row>
    <row r="37" spans="2:14" outlineLevel="1">
      <c r="B37" s="161">
        <v>45975</v>
      </c>
      <c r="C37" s="3"/>
      <c r="D37" s="2"/>
      <c r="E37" s="2"/>
      <c r="F37" s="162"/>
      <c r="G37" s="162"/>
      <c r="H37" s="162"/>
      <c r="I37" s="162"/>
      <c r="J37" s="162"/>
      <c r="L37" s="169">
        <v>5111.91</v>
      </c>
      <c r="M37" s="162"/>
      <c r="N37" s="163">
        <f t="shared" si="1"/>
        <v>406321.80276109802</v>
      </c>
    </row>
    <row r="38" spans="2:14" ht="14.25" customHeight="1" outlineLevel="1">
      <c r="B38" s="161">
        <v>45985</v>
      </c>
      <c r="C38" s="3"/>
      <c r="D38" s="2"/>
      <c r="E38" s="2"/>
      <c r="F38" s="162"/>
      <c r="G38" s="162"/>
      <c r="H38" s="162"/>
      <c r="I38" s="162"/>
      <c r="J38" s="162"/>
      <c r="K38" s="162"/>
      <c r="L38" s="162">
        <v>377571.91</v>
      </c>
      <c r="M38" s="162"/>
      <c r="N38" s="163">
        <f t="shared" si="1"/>
        <v>28749.892761098046</v>
      </c>
    </row>
    <row r="39" spans="2:14" ht="14.25" customHeight="1" outlineLevel="1" thickBot="1">
      <c r="B39" s="128"/>
      <c r="C39" s="129"/>
      <c r="D39" s="129"/>
      <c r="E39" s="129"/>
      <c r="F39" s="170"/>
      <c r="G39" s="170"/>
      <c r="H39" s="130"/>
      <c r="I39" s="130"/>
      <c r="J39" s="130"/>
      <c r="K39" s="170"/>
      <c r="L39" s="171"/>
      <c r="M39" s="172"/>
      <c r="N39" s="173">
        <f>N38</f>
        <v>28749.892761098046</v>
      </c>
    </row>
    <row r="40" spans="2:14" outlineLevel="1" collapsed="1">
      <c r="B40" s="161">
        <v>46002</v>
      </c>
      <c r="C40" s="3"/>
      <c r="D40" s="2"/>
      <c r="E40" s="2"/>
      <c r="F40" s="162">
        <v>60766.8</v>
      </c>
      <c r="G40" s="162"/>
      <c r="H40" s="162"/>
      <c r="I40" s="162"/>
      <c r="J40" s="162"/>
      <c r="K40" s="162"/>
      <c r="L40" s="162"/>
      <c r="M40" s="162"/>
      <c r="N40" s="163">
        <f>N39+H40-L40</f>
        <v>28749.892761098046</v>
      </c>
    </row>
    <row r="41" spans="2:14" outlineLevel="1">
      <c r="B41" s="161">
        <v>46002</v>
      </c>
      <c r="C41" s="3">
        <v>1470.4</v>
      </c>
      <c r="D41" s="2">
        <f>-H41/F41</f>
        <v>7.0497000418163429</v>
      </c>
      <c r="E41" s="2">
        <v>2000003021</v>
      </c>
      <c r="F41" s="162">
        <v>-60741.8</v>
      </c>
      <c r="G41" s="162"/>
      <c r="H41" s="162">
        <v>428211.47</v>
      </c>
      <c r="I41" s="162"/>
      <c r="J41" s="162"/>
      <c r="K41" s="162">
        <v>25</v>
      </c>
      <c r="L41" s="162"/>
      <c r="M41" s="162"/>
      <c r="N41" s="163">
        <f>N40+H41-L41</f>
        <v>456961.36276109802</v>
      </c>
    </row>
    <row r="42" spans="2:14" outlineLevel="1">
      <c r="B42" s="161">
        <v>46006</v>
      </c>
      <c r="C42" s="3"/>
      <c r="D42" s="2"/>
      <c r="E42" s="2"/>
      <c r="F42" s="162"/>
      <c r="G42" s="162"/>
      <c r="H42" s="162"/>
      <c r="I42" s="162"/>
      <c r="J42" s="162"/>
      <c r="K42" s="162"/>
      <c r="L42" s="162">
        <v>27509.8</v>
      </c>
      <c r="M42" s="162"/>
      <c r="N42" s="163">
        <f>N41+H42-L42</f>
        <v>429451.56276109803</v>
      </c>
    </row>
    <row r="43" spans="2:14" outlineLevel="1">
      <c r="B43" s="161">
        <v>46012</v>
      </c>
      <c r="C43" s="3"/>
      <c r="D43" s="2"/>
      <c r="E43" s="2"/>
      <c r="F43" s="162"/>
      <c r="G43" s="162"/>
      <c r="H43" s="162"/>
      <c r="I43" s="162">
        <v>6.209680844612306</v>
      </c>
      <c r="J43" s="162">
        <v>43.99</v>
      </c>
      <c r="K43" s="162"/>
      <c r="L43" s="162"/>
      <c r="M43" s="162"/>
      <c r="N43" s="163">
        <f>N42+H43-L43+J43</f>
        <v>429495.55276109802</v>
      </c>
    </row>
    <row r="44" spans="2:14" outlineLevel="1">
      <c r="B44" s="161">
        <v>46013</v>
      </c>
      <c r="C44" s="3"/>
      <c r="D44" s="2"/>
      <c r="E44" s="2"/>
      <c r="F44" s="162"/>
      <c r="G44" s="162"/>
      <c r="H44" s="162"/>
      <c r="I44" s="162"/>
      <c r="J44" s="162"/>
      <c r="K44" s="162"/>
      <c r="L44" s="169">
        <v>1284.1400000000001</v>
      </c>
      <c r="M44" s="162"/>
      <c r="N44" s="163">
        <f>N43+H44-L44</f>
        <v>428211.41276109801</v>
      </c>
    </row>
    <row r="45" spans="2:14" outlineLevel="1">
      <c r="B45" s="161">
        <v>46013</v>
      </c>
      <c r="C45" s="3"/>
      <c r="D45" s="2"/>
      <c r="E45" s="2"/>
      <c r="F45" s="162"/>
      <c r="G45" s="162"/>
      <c r="H45" s="162"/>
      <c r="I45" s="162"/>
      <c r="J45" s="162"/>
      <c r="K45" s="162"/>
      <c r="L45" s="169">
        <v>146684.94</v>
      </c>
      <c r="M45" s="162"/>
      <c r="N45" s="163">
        <f>N44+H45-L45</f>
        <v>281526.472761098</v>
      </c>
    </row>
    <row r="46" spans="2:14" outlineLevel="1">
      <c r="B46" s="161">
        <v>46015</v>
      </c>
      <c r="C46" s="3"/>
      <c r="D46" s="2"/>
      <c r="E46" s="2"/>
      <c r="F46" s="162"/>
      <c r="G46" s="162"/>
      <c r="H46" s="162"/>
      <c r="I46" s="162"/>
      <c r="J46" s="162"/>
      <c r="K46" s="162"/>
      <c r="L46" s="162">
        <v>251327.53</v>
      </c>
      <c r="M46" s="162"/>
      <c r="N46" s="163">
        <f>N45+H46-L46</f>
        <v>30198.942761098006</v>
      </c>
    </row>
    <row r="47" spans="2:14" ht="14.25" customHeight="1" outlineLevel="1" thickBot="1">
      <c r="B47" s="128"/>
      <c r="C47" s="129"/>
      <c r="D47" s="129"/>
      <c r="E47" s="129"/>
      <c r="F47" s="170"/>
      <c r="G47" s="170"/>
      <c r="H47" s="130"/>
      <c r="I47" s="130"/>
      <c r="J47" s="130"/>
      <c r="K47" s="170"/>
      <c r="L47" s="171"/>
      <c r="M47" s="172"/>
      <c r="N47" s="173">
        <f>N46</f>
        <v>30198.942761098006</v>
      </c>
    </row>
    <row r="48" spans="2:14" outlineLevel="1">
      <c r="B48" s="161">
        <v>46035</v>
      </c>
      <c r="C48" s="3"/>
      <c r="D48" s="2"/>
      <c r="E48" s="2"/>
      <c r="F48" s="162">
        <v>63822.55</v>
      </c>
      <c r="G48" s="162"/>
      <c r="H48" s="162"/>
      <c r="I48" s="162"/>
      <c r="J48" s="162"/>
      <c r="K48" s="162"/>
      <c r="L48" s="162"/>
      <c r="M48" s="162"/>
      <c r="N48" s="163">
        <f t="shared" ref="N48:N54" si="2">N47+H48-L48</f>
        <v>30198.942761098006</v>
      </c>
    </row>
    <row r="49" spans="2:14" outlineLevel="1">
      <c r="B49" s="161">
        <v>46035</v>
      </c>
      <c r="C49" s="3">
        <v>1449.4</v>
      </c>
      <c r="D49" s="2">
        <f>-H49/F49</f>
        <v>6.9648000589364321</v>
      </c>
      <c r="E49" s="2">
        <v>2000000038</v>
      </c>
      <c r="F49" s="162">
        <v>-63797.55</v>
      </c>
      <c r="G49" s="162"/>
      <c r="H49" s="162">
        <v>444337.18</v>
      </c>
      <c r="I49" s="162"/>
      <c r="J49" s="162"/>
      <c r="K49" s="162">
        <v>25</v>
      </c>
      <c r="L49" s="162"/>
      <c r="M49" s="162"/>
      <c r="N49" s="163">
        <f t="shared" si="2"/>
        <v>474536.12276109797</v>
      </c>
    </row>
    <row r="50" spans="2:14" outlineLevel="1">
      <c r="B50" s="161">
        <v>46035</v>
      </c>
      <c r="C50" s="3"/>
      <c r="D50" s="2"/>
      <c r="E50" s="2"/>
      <c r="F50" s="162"/>
      <c r="G50" s="162"/>
      <c r="H50" s="162"/>
      <c r="I50" s="162"/>
      <c r="J50" s="162"/>
      <c r="K50" s="162"/>
      <c r="L50" s="162">
        <v>25054.2</v>
      </c>
      <c r="M50" s="162"/>
      <c r="N50" s="163">
        <f t="shared" si="2"/>
        <v>449481.92276109796</v>
      </c>
    </row>
    <row r="51" spans="2:14" outlineLevel="1">
      <c r="B51" s="161">
        <v>46037</v>
      </c>
      <c r="C51" s="3"/>
      <c r="D51" s="2"/>
      <c r="E51" s="2"/>
      <c r="F51" s="162"/>
      <c r="G51" s="162"/>
      <c r="H51" s="162"/>
      <c r="I51" s="162"/>
      <c r="J51" s="162"/>
      <c r="K51" s="162"/>
      <c r="L51" s="162">
        <v>2403.6</v>
      </c>
      <c r="M51" s="162"/>
      <c r="N51" s="163">
        <f t="shared" si="2"/>
        <v>447078.32276109798</v>
      </c>
    </row>
    <row r="52" spans="2:14" outlineLevel="1">
      <c r="B52" s="161">
        <v>46038</v>
      </c>
      <c r="C52" s="3"/>
      <c r="D52" s="2"/>
      <c r="E52" s="2"/>
      <c r="F52" s="162"/>
      <c r="G52" s="162"/>
      <c r="H52" s="162"/>
      <c r="I52" s="162"/>
      <c r="J52" s="162"/>
      <c r="K52" s="162"/>
      <c r="L52" s="169">
        <v>2741.20212012001</v>
      </c>
      <c r="M52" s="162"/>
      <c r="N52" s="163">
        <f t="shared" si="2"/>
        <v>444337.12064097798</v>
      </c>
    </row>
    <row r="53" spans="2:14" outlineLevel="1">
      <c r="B53" s="161">
        <v>46038</v>
      </c>
      <c r="C53" s="3"/>
      <c r="D53" s="2"/>
      <c r="E53" s="2"/>
      <c r="F53" s="162"/>
      <c r="G53" s="162"/>
      <c r="H53" s="162"/>
      <c r="I53" s="162"/>
      <c r="J53" s="162"/>
      <c r="K53" s="162"/>
      <c r="L53" s="169">
        <v>54391.907879879989</v>
      </c>
      <c r="M53" s="162"/>
      <c r="N53" s="163">
        <f t="shared" si="2"/>
        <v>389945.212761098</v>
      </c>
    </row>
    <row r="54" spans="2:14" outlineLevel="1">
      <c r="B54" s="161">
        <v>46044</v>
      </c>
      <c r="C54" s="3"/>
      <c r="D54" s="2"/>
      <c r="E54" s="2"/>
      <c r="F54" s="162"/>
      <c r="G54" s="162"/>
      <c r="H54" s="162"/>
      <c r="I54" s="162"/>
      <c r="J54" s="162"/>
      <c r="K54" s="162"/>
      <c r="L54" s="162">
        <v>348537.1</v>
      </c>
      <c r="M54" s="162"/>
      <c r="N54" s="163">
        <f t="shared" si="2"/>
        <v>41408.112761098018</v>
      </c>
    </row>
    <row r="55" spans="2:14" ht="14.25" customHeight="1" outlineLevel="1" thickBot="1">
      <c r="B55" s="128"/>
      <c r="C55" s="129"/>
      <c r="D55" s="129"/>
      <c r="E55" s="129"/>
      <c r="F55" s="170"/>
      <c r="G55" s="170"/>
      <c r="H55" s="130"/>
      <c r="I55" s="130"/>
      <c r="J55" s="130"/>
      <c r="K55" s="170"/>
      <c r="L55" s="171"/>
      <c r="M55" s="172"/>
      <c r="N55" s="173">
        <f>N54</f>
        <v>41408.112761098018</v>
      </c>
    </row>
    <row r="56" spans="2:14" outlineLevel="1" collapsed="1">
      <c r="B56" s="161">
        <v>46055</v>
      </c>
      <c r="C56" s="3"/>
      <c r="D56" s="2"/>
      <c r="E56" s="2"/>
      <c r="F56" s="162"/>
      <c r="G56" s="162"/>
      <c r="H56" s="162"/>
      <c r="I56" s="162"/>
      <c r="J56" s="162"/>
      <c r="K56" s="162"/>
      <c r="L56" s="162">
        <v>140</v>
      </c>
      <c r="M56" s="162"/>
      <c r="N56" s="163">
        <f t="shared" ref="N56:N64" si="3">N55+H56-L56</f>
        <v>41268.112761098018</v>
      </c>
    </row>
    <row r="57" spans="2:14" outlineLevel="1">
      <c r="B57" s="161">
        <v>46062</v>
      </c>
      <c r="C57" s="3"/>
      <c r="D57" s="2"/>
      <c r="E57" s="2"/>
      <c r="F57" s="162">
        <v>75630.62</v>
      </c>
      <c r="G57" s="162"/>
      <c r="H57" s="162"/>
      <c r="I57" s="162"/>
      <c r="J57" s="162"/>
      <c r="K57" s="162"/>
      <c r="L57" s="162"/>
      <c r="M57" s="162"/>
      <c r="N57" s="163">
        <f t="shared" si="3"/>
        <v>41268.112761098018</v>
      </c>
    </row>
    <row r="58" spans="2:14" outlineLevel="1">
      <c r="B58" s="161">
        <v>46062</v>
      </c>
      <c r="C58" s="3">
        <v>1451.2</v>
      </c>
      <c r="D58" s="2">
        <f>-H58/F58</f>
        <v>6.916399997777944</v>
      </c>
      <c r="E58" s="2">
        <v>2000000421</v>
      </c>
      <c r="F58" s="162">
        <v>-75605.62</v>
      </c>
      <c r="G58" s="162"/>
      <c r="H58" s="162">
        <v>522918.71</v>
      </c>
      <c r="I58" s="162"/>
      <c r="J58" s="162"/>
      <c r="K58" s="162">
        <v>25</v>
      </c>
      <c r="L58" s="162"/>
      <c r="M58" s="162"/>
      <c r="N58" s="163">
        <f t="shared" si="3"/>
        <v>564186.82276109804</v>
      </c>
    </row>
    <row r="59" spans="2:14" outlineLevel="1">
      <c r="B59" s="161">
        <v>46063</v>
      </c>
      <c r="C59" s="3"/>
      <c r="D59" s="2"/>
      <c r="E59" s="2"/>
      <c r="F59" s="162"/>
      <c r="G59" s="162"/>
      <c r="H59" s="162"/>
      <c r="I59" s="162"/>
      <c r="J59" s="162"/>
      <c r="K59" s="162"/>
      <c r="L59" s="162">
        <v>80846.2</v>
      </c>
      <c r="M59" s="162"/>
      <c r="N59" s="163">
        <f t="shared" si="3"/>
        <v>483340.62276109803</v>
      </c>
    </row>
    <row r="60" spans="2:14" outlineLevel="1">
      <c r="B60" s="161">
        <v>46065</v>
      </c>
      <c r="C60" s="3"/>
      <c r="D60" s="2"/>
      <c r="E60" s="2"/>
      <c r="F60" s="162"/>
      <c r="G60" s="162"/>
      <c r="H60" s="162"/>
      <c r="I60" s="162"/>
      <c r="J60" s="162"/>
      <c r="K60" s="162"/>
      <c r="L60" s="162">
        <v>20007.2</v>
      </c>
      <c r="M60" s="162"/>
      <c r="N60" s="163">
        <f t="shared" si="3"/>
        <v>463333.42276109802</v>
      </c>
    </row>
    <row r="61" spans="2:14" outlineLevel="1">
      <c r="B61" s="161">
        <v>46066</v>
      </c>
      <c r="C61" s="3"/>
      <c r="D61" s="2"/>
      <c r="E61" s="2"/>
      <c r="F61" s="162"/>
      <c r="G61" s="162"/>
      <c r="H61" s="162"/>
      <c r="I61" s="162"/>
      <c r="J61" s="162"/>
      <c r="K61" s="162"/>
      <c r="L61" s="162">
        <v>65112.399999999987</v>
      </c>
      <c r="M61" s="162"/>
      <c r="N61" s="163">
        <f t="shared" si="3"/>
        <v>398221.02276109805</v>
      </c>
    </row>
    <row r="62" spans="2:14" outlineLevel="1">
      <c r="B62" s="161">
        <v>46067</v>
      </c>
      <c r="C62" s="3"/>
      <c r="D62" s="2"/>
      <c r="E62" s="2"/>
      <c r="F62" s="162"/>
      <c r="G62" s="162"/>
      <c r="H62" s="162"/>
      <c r="I62" s="162"/>
      <c r="J62" s="162"/>
      <c r="K62" s="162"/>
      <c r="L62" s="162">
        <v>89777.560000000056</v>
      </c>
      <c r="M62" s="162"/>
      <c r="N62" s="163">
        <f t="shared" si="3"/>
        <v>308443.462761098</v>
      </c>
    </row>
    <row r="63" spans="2:14" outlineLevel="1">
      <c r="B63" s="161">
        <v>46077</v>
      </c>
      <c r="C63" s="3"/>
      <c r="D63" s="2"/>
      <c r="E63" s="2"/>
      <c r="F63" s="162"/>
      <c r="G63" s="162"/>
      <c r="H63" s="162"/>
      <c r="I63" s="162"/>
      <c r="J63" s="162"/>
      <c r="K63" s="162"/>
      <c r="L63" s="162">
        <v>252472.24</v>
      </c>
      <c r="M63" s="162"/>
      <c r="N63" s="163">
        <f t="shared" si="3"/>
        <v>55971.222761098004</v>
      </c>
    </row>
    <row r="64" spans="2:14" outlineLevel="1">
      <c r="B64" s="161">
        <v>46079</v>
      </c>
      <c r="C64" s="3"/>
      <c r="D64" s="2"/>
      <c r="E64" s="2"/>
      <c r="F64" s="162"/>
      <c r="G64" s="162"/>
      <c r="H64" s="162"/>
      <c r="I64" s="162"/>
      <c r="J64" s="162"/>
      <c r="K64" s="162"/>
      <c r="L64" s="162">
        <v>553.6</v>
      </c>
      <c r="M64" s="162"/>
      <c r="N64" s="163">
        <f t="shared" si="3"/>
        <v>55417.622761098006</v>
      </c>
    </row>
    <row r="65" spans="2:14" ht="14.25" customHeight="1" outlineLevel="1" thickBot="1">
      <c r="B65" s="128"/>
      <c r="C65" s="129"/>
      <c r="D65" s="129"/>
      <c r="E65" s="129"/>
      <c r="F65" s="170"/>
      <c r="G65" s="170"/>
      <c r="H65" s="130"/>
      <c r="I65" s="130"/>
      <c r="J65" s="130"/>
      <c r="K65" s="170"/>
      <c r="L65" s="171"/>
      <c r="M65" s="172"/>
      <c r="N65" s="173">
        <f>N64</f>
        <v>55417.622761098006</v>
      </c>
    </row>
    <row r="66" spans="2:14" outlineLevel="1">
      <c r="B66" s="161">
        <v>46093</v>
      </c>
      <c r="C66" s="3"/>
      <c r="D66" s="2"/>
      <c r="E66" s="2"/>
      <c r="F66" s="162"/>
      <c r="G66" s="162"/>
      <c r="H66" s="162"/>
      <c r="I66" s="162">
        <v>48000</v>
      </c>
      <c r="J66" s="162"/>
      <c r="L66" s="162">
        <v>612</v>
      </c>
      <c r="M66" s="162"/>
      <c r="N66" s="163">
        <f>N65+I66-L66</f>
        <v>102805.622761098</v>
      </c>
    </row>
    <row r="67" spans="2:14" outlineLevel="1">
      <c r="B67" s="161">
        <v>46098</v>
      </c>
      <c r="C67" s="3"/>
      <c r="D67" s="2"/>
      <c r="E67" s="2"/>
      <c r="F67" s="162">
        <v>73089.83</v>
      </c>
      <c r="G67" s="162"/>
      <c r="H67" s="162"/>
      <c r="I67" s="162"/>
      <c r="J67" s="162"/>
      <c r="K67" s="162"/>
      <c r="L67" s="162"/>
      <c r="M67" s="162"/>
      <c r="N67" s="163">
        <f>N66+H67-L67</f>
        <v>102805.622761098</v>
      </c>
    </row>
    <row r="68" spans="2:14" outlineLevel="1">
      <c r="B68" s="161">
        <v>46098</v>
      </c>
      <c r="C68" s="3">
        <v>1479.8</v>
      </c>
      <c r="D68" s="2">
        <f>-H68/F68</f>
        <v>6.8738999324298709</v>
      </c>
      <c r="E68" s="2">
        <v>2000000732</v>
      </c>
      <c r="F68" s="162">
        <v>-73064.83</v>
      </c>
      <c r="G68" s="162"/>
      <c r="H68" s="162">
        <v>502240.33</v>
      </c>
      <c r="I68" s="162"/>
      <c r="J68" s="162"/>
      <c r="K68" s="162">
        <v>25</v>
      </c>
      <c r="L68" s="162"/>
      <c r="M68" s="162"/>
      <c r="N68" s="163">
        <f>N67+H68-L68</f>
        <v>605045.95276109804</v>
      </c>
    </row>
    <row r="69" spans="2:14" outlineLevel="1">
      <c r="B69" s="161">
        <v>46102</v>
      </c>
      <c r="C69" s="3"/>
      <c r="D69" s="2"/>
      <c r="E69" s="2"/>
      <c r="F69" s="162"/>
      <c r="G69" s="162"/>
      <c r="H69" s="162"/>
      <c r="I69" s="162">
        <v>42.57</v>
      </c>
      <c r="J69" s="162">
        <v>6.1549360958991111</v>
      </c>
      <c r="K69" s="162"/>
      <c r="L69" s="162"/>
      <c r="M69" s="162"/>
      <c r="N69" s="163">
        <f>N68+I69-L69</f>
        <v>605088.52276109799</v>
      </c>
    </row>
    <row r="70" spans="2:14" outlineLevel="1">
      <c r="B70" s="161">
        <v>46104</v>
      </c>
      <c r="C70" s="3"/>
      <c r="D70" s="2"/>
      <c r="E70" s="2"/>
      <c r="F70" s="162"/>
      <c r="G70" s="162"/>
      <c r="H70" s="162"/>
      <c r="I70" s="162"/>
      <c r="J70" s="162"/>
      <c r="K70" s="162"/>
      <c r="L70" s="174">
        <v>54848.294146195753</v>
      </c>
      <c r="M70" s="162"/>
      <c r="N70" s="163">
        <f>N69+I70-L70</f>
        <v>550240.22861490224</v>
      </c>
    </row>
    <row r="71" spans="2:14" outlineLevel="1">
      <c r="B71" s="161">
        <v>46104</v>
      </c>
      <c r="C71" s="3"/>
      <c r="D71" s="2"/>
      <c r="E71" s="2"/>
      <c r="F71" s="162"/>
      <c r="G71" s="162"/>
      <c r="H71" s="162"/>
      <c r="I71" s="162"/>
      <c r="J71" s="162"/>
      <c r="K71" s="162"/>
      <c r="L71" s="174">
        <v>142377.98585380419</v>
      </c>
      <c r="M71" s="162"/>
      <c r="N71" s="163">
        <f>N70+I71-L71</f>
        <v>407862.24276109808</v>
      </c>
    </row>
    <row r="72" spans="2:14" outlineLevel="1">
      <c r="B72" s="161">
        <v>46105</v>
      </c>
      <c r="C72" s="3"/>
      <c r="D72" s="2"/>
      <c r="E72" s="2"/>
      <c r="F72" s="162"/>
      <c r="G72" s="162"/>
      <c r="H72" s="162"/>
      <c r="I72" s="162"/>
      <c r="J72" s="162"/>
      <c r="K72" s="162"/>
      <c r="L72" s="162">
        <v>269648.75</v>
      </c>
      <c r="M72" s="162"/>
      <c r="N72" s="163">
        <f>N71+I72-L72</f>
        <v>138213.49276109808</v>
      </c>
    </row>
    <row r="73" spans="2:14" ht="14.25" customHeight="1" outlineLevel="1" thickBot="1">
      <c r="B73" s="128"/>
      <c r="C73" s="129"/>
      <c r="D73" s="129"/>
      <c r="E73" s="129"/>
      <c r="F73" s="170"/>
      <c r="G73" s="170"/>
      <c r="H73" s="130"/>
      <c r="I73" s="130"/>
      <c r="J73" s="130"/>
      <c r="K73" s="170"/>
      <c r="L73" s="171"/>
      <c r="M73" s="172"/>
      <c r="N73" s="173">
        <f>N72</f>
        <v>138213.49276109808</v>
      </c>
    </row>
    <row r="74" spans="2:14" outlineLevel="1">
      <c r="B74" s="161">
        <v>46128</v>
      </c>
      <c r="C74" s="3"/>
      <c r="D74" s="2"/>
      <c r="E74" s="2"/>
      <c r="F74" s="162">
        <v>55078.720000000001</v>
      </c>
      <c r="G74" s="162"/>
      <c r="H74" s="162"/>
      <c r="I74" s="162"/>
      <c r="J74" s="162"/>
      <c r="K74" s="162"/>
      <c r="L74" s="162"/>
      <c r="M74" s="162"/>
      <c r="N74" s="163">
        <f t="shared" ref="N74:N81" si="4">N73+H74-L74</f>
        <v>138213.49276109808</v>
      </c>
    </row>
    <row r="75" spans="2:14" outlineLevel="1">
      <c r="B75" s="161">
        <v>46128</v>
      </c>
      <c r="C75" s="3">
        <v>1479.8</v>
      </c>
      <c r="D75" s="2">
        <f>-H75/F75</f>
        <v>6.8060000305156487</v>
      </c>
      <c r="E75" s="2">
        <v>2000000992</v>
      </c>
      <c r="F75" s="162">
        <v>-55053.72</v>
      </c>
      <c r="G75" s="162"/>
      <c r="H75" s="162">
        <v>374695.62</v>
      </c>
      <c r="I75" s="162"/>
      <c r="J75" s="162"/>
      <c r="K75" s="162">
        <v>25</v>
      </c>
      <c r="L75" s="162"/>
      <c r="M75" s="162"/>
      <c r="N75" s="163">
        <f t="shared" si="4"/>
        <v>512909.11276109808</v>
      </c>
    </row>
    <row r="76" spans="2:14" outlineLevel="1">
      <c r="B76" s="161">
        <v>46129</v>
      </c>
      <c r="C76" s="3"/>
      <c r="D76" s="2"/>
      <c r="E76" s="2"/>
      <c r="F76" s="162"/>
      <c r="G76" s="162"/>
      <c r="H76" s="162"/>
      <c r="I76" s="162"/>
      <c r="J76" s="162"/>
      <c r="K76" s="162"/>
      <c r="L76" s="162">
        <v>58139.61</v>
      </c>
      <c r="M76" s="162"/>
      <c r="N76" s="163">
        <f t="shared" si="4"/>
        <v>454769.50276109809</v>
      </c>
    </row>
    <row r="77" spans="2:14" outlineLevel="1">
      <c r="B77" s="161">
        <v>46132</v>
      </c>
      <c r="C77" s="3"/>
      <c r="D77" s="2"/>
      <c r="E77" s="2"/>
      <c r="F77" s="162"/>
      <c r="G77" s="162"/>
      <c r="H77" s="162"/>
      <c r="I77" s="162"/>
      <c r="J77" s="162"/>
      <c r="L77" s="162">
        <v>20007.2</v>
      </c>
      <c r="M77" s="162"/>
      <c r="N77" s="163">
        <f t="shared" si="4"/>
        <v>434762.30276109808</v>
      </c>
    </row>
    <row r="78" spans="2:14" outlineLevel="1">
      <c r="B78" s="161">
        <v>46135</v>
      </c>
      <c r="C78" s="3"/>
      <c r="D78" s="2"/>
      <c r="E78" s="2"/>
      <c r="F78" s="162"/>
      <c r="G78" s="162"/>
      <c r="H78" s="162"/>
      <c r="I78" s="162"/>
      <c r="J78" s="162"/>
      <c r="K78" s="162"/>
      <c r="L78" s="174">
        <v>60066.7</v>
      </c>
      <c r="M78" s="162"/>
      <c r="N78" s="163">
        <f t="shared" si="4"/>
        <v>374695.60276109807</v>
      </c>
    </row>
    <row r="79" spans="2:14" outlineLevel="1">
      <c r="B79" s="161">
        <v>46135</v>
      </c>
      <c r="C79" s="3"/>
      <c r="D79" s="2"/>
      <c r="E79" s="2"/>
      <c r="F79" s="162"/>
      <c r="G79" s="162"/>
      <c r="H79" s="162"/>
      <c r="I79" s="162"/>
      <c r="J79" s="162"/>
      <c r="K79" s="162"/>
      <c r="L79" s="174">
        <v>257166.45</v>
      </c>
      <c r="M79" s="162"/>
      <c r="N79" s="163">
        <f t="shared" si="4"/>
        <v>117529.15276109806</v>
      </c>
    </row>
    <row r="80" spans="2:14" outlineLevel="1">
      <c r="B80" s="161">
        <v>46136</v>
      </c>
      <c r="C80" s="3"/>
      <c r="D80" s="2"/>
      <c r="E80" s="2"/>
      <c r="F80" s="162"/>
      <c r="G80" s="162"/>
      <c r="H80" s="162"/>
      <c r="I80" s="162"/>
      <c r="J80" s="162"/>
      <c r="K80" s="162"/>
      <c r="L80" s="162">
        <v>35713.839999999997</v>
      </c>
      <c r="M80" s="162"/>
      <c r="N80" s="163">
        <f t="shared" si="4"/>
        <v>81815.312761098059</v>
      </c>
    </row>
    <row r="81" spans="2:14" outlineLevel="1">
      <c r="B81" s="161">
        <v>46137</v>
      </c>
      <c r="C81" s="3"/>
      <c r="D81" s="2"/>
      <c r="E81" s="2"/>
      <c r="F81" s="162"/>
      <c r="G81" s="162"/>
      <c r="H81" s="162"/>
      <c r="I81" s="162"/>
      <c r="J81" s="162"/>
      <c r="K81" s="162"/>
      <c r="L81" s="162">
        <v>80769.520000000019</v>
      </c>
      <c r="M81" s="162"/>
      <c r="N81" s="163">
        <f t="shared" si="4"/>
        <v>1045.7927610980405</v>
      </c>
    </row>
    <row r="82" spans="2:14" ht="14.25" customHeight="1" outlineLevel="1" thickBot="1">
      <c r="B82" s="128"/>
      <c r="C82" s="129"/>
      <c r="D82" s="129"/>
      <c r="E82" s="129"/>
      <c r="F82" s="170"/>
      <c r="G82" s="170"/>
      <c r="H82" s="130"/>
      <c r="I82" s="130"/>
      <c r="J82" s="130"/>
      <c r="K82" s="170"/>
      <c r="L82" s="171"/>
      <c r="M82" s="172"/>
      <c r="N82" s="173">
        <f>N81</f>
        <v>1045.7927610980405</v>
      </c>
    </row>
    <row r="83" spans="2:14">
      <c r="B83" s="161">
        <v>46148</v>
      </c>
      <c r="C83" s="3"/>
      <c r="D83" s="2"/>
      <c r="E83" s="2"/>
      <c r="F83" s="162">
        <v>5226.93</v>
      </c>
      <c r="G83" s="162"/>
      <c r="H83" s="162"/>
      <c r="I83" s="162"/>
      <c r="J83" s="162"/>
      <c r="K83" s="162"/>
      <c r="L83" s="162"/>
      <c r="M83" s="162"/>
      <c r="N83" s="163">
        <f t="shared" ref="N83:N91" si="5">N82+H83-L83</f>
        <v>1045.7927610980405</v>
      </c>
    </row>
    <row r="84" spans="2:14">
      <c r="B84" s="161">
        <v>46148</v>
      </c>
      <c r="C84" s="3">
        <v>1473.1</v>
      </c>
      <c r="D84" s="2">
        <f>-H84/F84</f>
        <v>6.8025007044372829</v>
      </c>
      <c r="E84" s="2">
        <v>2000001199</v>
      </c>
      <c r="F84" s="162">
        <v>-5216.93</v>
      </c>
      <c r="G84" s="162"/>
      <c r="H84" s="162">
        <v>35488.17</v>
      </c>
      <c r="I84" s="162"/>
      <c r="J84" s="162"/>
      <c r="K84" s="162">
        <v>10</v>
      </c>
      <c r="L84" s="162"/>
      <c r="M84" s="162"/>
      <c r="N84" s="163">
        <f t="shared" si="5"/>
        <v>36533.962761098039</v>
      </c>
    </row>
    <row r="85" spans="2:14">
      <c r="B85" s="161">
        <v>46148</v>
      </c>
      <c r="C85" s="3"/>
      <c r="D85" s="2"/>
      <c r="E85" s="2"/>
      <c r="F85" s="162"/>
      <c r="G85" s="162"/>
      <c r="H85" s="162"/>
      <c r="I85" s="162"/>
      <c r="J85" s="162"/>
      <c r="K85" s="162"/>
      <c r="L85" s="174">
        <v>1045.809964689035</v>
      </c>
      <c r="M85" s="162"/>
      <c r="N85" s="163">
        <f t="shared" si="5"/>
        <v>35488.152796409006</v>
      </c>
    </row>
    <row r="86" spans="2:14">
      <c r="B86" s="161">
        <v>46154</v>
      </c>
      <c r="C86" s="3"/>
      <c r="D86" s="2"/>
      <c r="E86" s="2"/>
      <c r="F86" s="162"/>
      <c r="G86" s="162"/>
      <c r="H86" s="162"/>
      <c r="I86" s="162"/>
      <c r="J86" s="162"/>
      <c r="K86" s="162"/>
      <c r="L86" s="174">
        <v>18396.300035310971</v>
      </c>
      <c r="M86" s="162"/>
      <c r="N86" s="163">
        <f t="shared" si="5"/>
        <v>17091.852761098035</v>
      </c>
    </row>
    <row r="87" spans="2:14">
      <c r="B87" s="161">
        <v>46160</v>
      </c>
      <c r="C87" s="3"/>
      <c r="D87" s="2"/>
      <c r="E87" s="2"/>
      <c r="F87" s="162">
        <v>59269.52</v>
      </c>
      <c r="G87" s="162"/>
      <c r="H87" s="162"/>
      <c r="I87" s="162"/>
      <c r="J87" s="162"/>
      <c r="K87" s="162"/>
      <c r="L87" s="162">
        <v>471.36</v>
      </c>
      <c r="M87" s="162"/>
      <c r="N87" s="163">
        <f t="shared" si="5"/>
        <v>16620.492761098034</v>
      </c>
    </row>
    <row r="88" spans="2:14">
      <c r="B88" s="161">
        <v>46160</v>
      </c>
      <c r="C88" s="3">
        <v>1484.3</v>
      </c>
      <c r="D88" s="2">
        <f>-H88/F88</f>
        <v>6.7996000305175901</v>
      </c>
      <c r="E88" s="2">
        <v>2000001372</v>
      </c>
      <c r="F88" s="162">
        <v>-59244.52</v>
      </c>
      <c r="G88" s="162"/>
      <c r="H88" s="162">
        <v>402839.03999999998</v>
      </c>
      <c r="I88" s="162"/>
      <c r="J88" s="162"/>
      <c r="K88" s="162">
        <v>25</v>
      </c>
      <c r="L88" s="162"/>
      <c r="M88" s="162"/>
      <c r="N88" s="163">
        <f t="shared" si="5"/>
        <v>419459.532761098</v>
      </c>
    </row>
    <row r="89" spans="2:14">
      <c r="B89" s="161">
        <v>46161</v>
      </c>
      <c r="C89" s="3"/>
      <c r="D89" s="2"/>
      <c r="E89" s="2"/>
      <c r="F89" s="131"/>
      <c r="G89" s="162"/>
      <c r="H89" s="131"/>
      <c r="I89" s="162"/>
      <c r="J89" s="162"/>
      <c r="K89" s="162"/>
      <c r="L89" s="174">
        <v>16620.509156147389</v>
      </c>
      <c r="M89" s="162"/>
      <c r="N89" s="163">
        <f t="shared" si="5"/>
        <v>402839.02360495063</v>
      </c>
    </row>
    <row r="90" spans="2:14">
      <c r="B90" s="161">
        <v>46161</v>
      </c>
      <c r="C90" s="3"/>
      <c r="D90" s="2"/>
      <c r="E90" s="2"/>
      <c r="F90" s="132"/>
      <c r="G90" s="162"/>
      <c r="H90" s="131"/>
      <c r="I90" s="162"/>
      <c r="J90" s="162"/>
      <c r="K90" s="162"/>
      <c r="L90" s="174">
        <v>3386.69</v>
      </c>
      <c r="M90" s="162"/>
      <c r="N90" s="163">
        <f t="shared" si="5"/>
        <v>399452.33360495063</v>
      </c>
    </row>
    <row r="91" spans="2:14">
      <c r="B91" s="161">
        <v>46165</v>
      </c>
      <c r="C91" s="3"/>
      <c r="D91" s="2"/>
      <c r="E91" s="2"/>
      <c r="F91" s="162"/>
      <c r="G91" s="162"/>
      <c r="H91" s="162"/>
      <c r="I91" s="162"/>
      <c r="J91" s="162"/>
      <c r="K91" s="162"/>
      <c r="L91" s="162">
        <v>381501.58</v>
      </c>
      <c r="M91" s="162"/>
      <c r="N91" s="163">
        <f t="shared" si="5"/>
        <v>17950.753604950616</v>
      </c>
    </row>
    <row r="92" spans="2:14">
      <c r="B92" s="133"/>
      <c r="C92" s="134"/>
      <c r="D92" s="134"/>
      <c r="E92" s="134"/>
      <c r="F92" s="175"/>
      <c r="G92" s="175"/>
      <c r="H92" s="135"/>
      <c r="I92" s="135"/>
      <c r="J92" s="135"/>
      <c r="K92" s="175"/>
      <c r="L92" s="176"/>
      <c r="M92" s="177"/>
      <c r="N92" s="178">
        <f>N91</f>
        <v>17950.753604950616</v>
      </c>
    </row>
    <row r="93" spans="2:14">
      <c r="B93" s="179">
        <v>46189</v>
      </c>
      <c r="C93" s="136"/>
      <c r="D93" s="137"/>
      <c r="E93" s="137"/>
      <c r="F93" s="180">
        <v>74959.75</v>
      </c>
      <c r="G93" s="137"/>
      <c r="H93" s="137"/>
      <c r="I93" s="137"/>
      <c r="J93" s="137"/>
      <c r="K93" s="137"/>
      <c r="L93" s="137"/>
      <c r="M93" s="137"/>
      <c r="N93" s="163">
        <f>N92+H93-L93</f>
        <v>17950.753604950616</v>
      </c>
    </row>
    <row r="94" spans="2:14">
      <c r="B94" s="161">
        <v>46189</v>
      </c>
      <c r="C94" s="138">
        <v>1527</v>
      </c>
      <c r="D94" s="181">
        <f>-H94/F94</f>
        <v>6.7490999836524441</v>
      </c>
      <c r="E94" s="139">
        <v>2000001534</v>
      </c>
      <c r="F94" s="182">
        <v>-74934.75</v>
      </c>
      <c r="G94" s="139"/>
      <c r="H94" s="183">
        <v>505742.12</v>
      </c>
      <c r="I94" s="139"/>
      <c r="J94" s="139"/>
      <c r="K94" s="162">
        <v>25</v>
      </c>
      <c r="L94" s="139"/>
      <c r="M94" s="139"/>
      <c r="N94" s="163">
        <f>N93+H94-L94</f>
        <v>523692.87360495061</v>
      </c>
    </row>
    <row r="95" spans="2:14">
      <c r="B95" s="161">
        <v>46191</v>
      </c>
      <c r="C95" s="139"/>
      <c r="D95" s="139"/>
      <c r="E95" s="139"/>
      <c r="F95" s="139"/>
      <c r="G95" s="139"/>
      <c r="H95" s="139"/>
      <c r="I95" s="139"/>
      <c r="J95" s="139"/>
      <c r="K95" s="139"/>
      <c r="L95" s="184">
        <v>17950.74009256552</v>
      </c>
      <c r="M95" s="139"/>
      <c r="N95" s="163">
        <f>N94+H95-L95</f>
        <v>505742.13351238507</v>
      </c>
    </row>
    <row r="96" spans="2:14">
      <c r="B96" s="161">
        <v>46191</v>
      </c>
      <c r="C96" s="139"/>
      <c r="D96" s="139"/>
      <c r="E96" s="139"/>
      <c r="F96" s="139"/>
      <c r="G96" s="139"/>
      <c r="H96" s="139"/>
      <c r="I96" s="139"/>
      <c r="J96" s="139"/>
      <c r="K96" s="139"/>
      <c r="L96" s="184">
        <v>186438.41990743461</v>
      </c>
      <c r="M96" s="139"/>
      <c r="N96" s="163">
        <f>N95+H96-L96</f>
        <v>319303.71360495046</v>
      </c>
    </row>
    <row r="97" spans="2:14">
      <c r="B97" s="161">
        <v>46194</v>
      </c>
      <c r="C97" s="139"/>
      <c r="D97" s="139"/>
      <c r="E97" s="139"/>
      <c r="F97" s="139"/>
      <c r="G97" s="139"/>
      <c r="H97" s="139"/>
      <c r="I97" s="140">
        <v>5.2984842551773221</v>
      </c>
      <c r="J97" s="140">
        <v>35.76</v>
      </c>
      <c r="K97" s="139"/>
      <c r="L97" s="139"/>
      <c r="M97" s="139"/>
      <c r="N97" s="163">
        <f>N96+J97-L97</f>
        <v>319339.47360495047</v>
      </c>
    </row>
    <row r="98" spans="2:14">
      <c r="B98" s="161">
        <v>46197</v>
      </c>
      <c r="C98" s="139"/>
      <c r="D98" s="139"/>
      <c r="E98" s="139"/>
      <c r="F98" s="139"/>
      <c r="G98" s="139"/>
      <c r="H98" s="139"/>
      <c r="I98" s="139"/>
      <c r="J98" s="139"/>
      <c r="K98" s="139"/>
      <c r="L98" s="183">
        <v>283930.95</v>
      </c>
      <c r="M98" s="139"/>
      <c r="N98" s="163">
        <f>N97+H98-L98</f>
        <v>35408.52360495046</v>
      </c>
    </row>
    <row r="99" spans="2:14" ht="14.25" customHeight="1" thickBot="1">
      <c r="B99" s="141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85">
        <f>N98</f>
        <v>35408.52360495046</v>
      </c>
    </row>
  </sheetData>
  <mergeCells count="6">
    <mergeCell ref="B2:B3"/>
    <mergeCell ref="C2:E2"/>
    <mergeCell ref="M2:N2"/>
    <mergeCell ref="K2:L2"/>
    <mergeCell ref="I2:J2"/>
    <mergeCell ref="F2:H2"/>
  </mergeCells>
  <phoneticPr fontId="3" type="noConversion"/>
  <pageMargins left="0.7" right="0.7" top="0.75" bottom="0.75" header="0.3" footer="0.3"/>
  <pageSetup paperSize="9" scale="8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13" customWidth="1"/>
    <col min="2" max="2" width="9.75" style="186" customWidth="1"/>
    <col min="3" max="3" width="24" style="187" customWidth="1"/>
    <col min="4" max="4" width="9.75" style="187" customWidth="1"/>
    <col min="5" max="5" width="12.125" style="187" customWidth="1"/>
    <col min="6" max="6" width="11.125" style="187" customWidth="1"/>
    <col min="7" max="7" width="9.875" style="188" customWidth="1"/>
    <col min="8" max="8" width="9.75" style="187" customWidth="1"/>
    <col min="9" max="9" width="9.875" style="187" customWidth="1"/>
    <col min="10" max="10" width="10.5" style="188" customWidth="1"/>
    <col min="11" max="11" width="11" style="188" customWidth="1"/>
    <col min="12" max="12" width="11.125" style="187" customWidth="1"/>
    <col min="13" max="13" width="9.75" style="187" customWidth="1"/>
    <col min="14" max="14" width="12.375" style="187" customWidth="1"/>
    <col min="15" max="15" width="9.875" style="187" customWidth="1"/>
    <col min="16" max="16" width="10.75" style="187" customWidth="1"/>
    <col min="17" max="17" width="9.625" style="187" customWidth="1"/>
    <col min="18" max="18" width="31.5" style="188" customWidth="1"/>
    <col min="19" max="19" width="10.5" style="12" bestFit="1" customWidth="1"/>
    <col min="20" max="20" width="9" style="187" customWidth="1"/>
    <col min="21" max="21" width="9" style="189" customWidth="1"/>
    <col min="22" max="22" width="9" style="187" customWidth="1"/>
    <col min="23" max="16384" width="9" style="187"/>
  </cols>
  <sheetData>
    <row r="1" spans="1:29" ht="4.5" customHeight="1">
      <c r="A1" s="37"/>
      <c r="B1" s="190"/>
      <c r="C1" s="191"/>
      <c r="D1" s="191"/>
      <c r="E1" s="192"/>
      <c r="F1" s="192"/>
      <c r="G1" s="193"/>
      <c r="H1" s="192"/>
      <c r="I1" s="192"/>
      <c r="J1" s="194"/>
      <c r="K1" s="194"/>
      <c r="L1" s="192"/>
      <c r="M1" s="195"/>
      <c r="N1" s="195"/>
      <c r="O1" s="191"/>
      <c r="P1" s="196"/>
      <c r="Q1" s="196"/>
      <c r="R1" s="197"/>
      <c r="S1" s="38"/>
    </row>
    <row r="2" spans="1:29" s="198" customFormat="1" ht="15" customHeight="1">
      <c r="A2" s="39"/>
      <c r="B2" s="199" t="s">
        <v>12</v>
      </c>
      <c r="C2" s="200"/>
      <c r="D2" s="200"/>
      <c r="F2" s="201"/>
      <c r="G2" s="188" t="s">
        <v>13</v>
      </c>
      <c r="H2" s="40" t="s">
        <v>14</v>
      </c>
      <c r="I2" s="202"/>
      <c r="J2" s="202"/>
      <c r="K2" s="203"/>
      <c r="L2" s="202"/>
      <c r="M2" s="202"/>
      <c r="N2" s="204"/>
      <c r="O2" s="205"/>
      <c r="Q2" s="202"/>
      <c r="R2" s="188"/>
      <c r="S2" s="12"/>
      <c r="T2" s="187"/>
      <c r="U2" s="189"/>
      <c r="V2" s="187"/>
      <c r="W2" s="187"/>
      <c r="X2" s="187"/>
    </row>
    <row r="3" spans="1:29" s="206" customFormat="1" ht="11.25" customHeight="1">
      <c r="A3" s="11"/>
      <c r="B3" s="207" t="s">
        <v>15</v>
      </c>
      <c r="C3" s="208"/>
      <c r="D3" s="208"/>
      <c r="E3" s="208"/>
      <c r="F3" s="31">
        <v>1433.2</v>
      </c>
      <c r="G3" s="209"/>
      <c r="H3" s="207" t="s">
        <v>16</v>
      </c>
      <c r="I3" s="208"/>
      <c r="K3" s="210"/>
      <c r="L3" s="31">
        <v>1458.2</v>
      </c>
      <c r="N3" s="207" t="s">
        <v>17</v>
      </c>
      <c r="O3" s="208"/>
      <c r="Q3" s="210"/>
      <c r="R3" s="31">
        <v>1434.3</v>
      </c>
      <c r="T3" s="207"/>
      <c r="U3" s="208"/>
      <c r="V3" s="210"/>
      <c r="W3" s="210"/>
      <c r="X3" s="211">
        <v>1327.2</v>
      </c>
    </row>
    <row r="4" spans="1:29" ht="11.25" customHeight="1">
      <c r="A4" s="37"/>
      <c r="B4" s="212" t="s">
        <v>18</v>
      </c>
      <c r="C4" s="213" t="s">
        <v>19</v>
      </c>
      <c r="D4" s="213" t="s">
        <v>20</v>
      </c>
      <c r="E4" s="214" t="s">
        <v>21</v>
      </c>
      <c r="F4" s="215" t="s">
        <v>22</v>
      </c>
      <c r="H4" s="212" t="s">
        <v>18</v>
      </c>
      <c r="I4" s="213" t="s">
        <v>19</v>
      </c>
      <c r="J4" s="216" t="s">
        <v>20</v>
      </c>
      <c r="K4" s="217" t="s">
        <v>21</v>
      </c>
      <c r="L4" s="215" t="s">
        <v>22</v>
      </c>
      <c r="M4" s="218"/>
      <c r="N4" s="212" t="s">
        <v>18</v>
      </c>
      <c r="O4" s="213" t="s">
        <v>19</v>
      </c>
      <c r="P4" s="216" t="s">
        <v>20</v>
      </c>
      <c r="Q4" s="217" t="s">
        <v>21</v>
      </c>
      <c r="R4" s="215" t="s">
        <v>22</v>
      </c>
      <c r="T4" s="198"/>
      <c r="U4" s="198"/>
      <c r="V4" s="198"/>
      <c r="W4" s="198"/>
      <c r="X4" s="198"/>
      <c r="Y4" s="198"/>
      <c r="Z4" s="198"/>
      <c r="AA4" s="198"/>
    </row>
    <row r="5" spans="1:29" ht="11.25" customHeight="1">
      <c r="A5" s="12">
        <v>51131050</v>
      </c>
      <c r="B5" s="219" t="s">
        <v>23</v>
      </c>
      <c r="C5" s="220" t="s">
        <v>24</v>
      </c>
      <c r="D5" s="221"/>
      <c r="E5" s="222"/>
      <c r="F5" s="223">
        <f t="shared" ref="F5:F12" si="0">ROUND(E5*$F$3,0)</f>
        <v>0</v>
      </c>
      <c r="G5" s="224"/>
      <c r="H5" s="225" t="s">
        <v>23</v>
      </c>
      <c r="I5" s="225" t="s">
        <v>24</v>
      </c>
      <c r="J5" s="226">
        <v>30124.080000000002</v>
      </c>
      <c r="K5" s="226">
        <v>4115.82</v>
      </c>
      <c r="L5" s="223">
        <f t="shared" ref="L5:L12" si="1">ROUND(K5*$L$3,0)</f>
        <v>6001689</v>
      </c>
      <c r="M5" s="227">
        <f t="shared" ref="M5:M13" si="2">L5+F5</f>
        <v>6001689</v>
      </c>
      <c r="N5" s="225" t="s">
        <v>23</v>
      </c>
      <c r="O5" s="225" t="s">
        <v>24</v>
      </c>
      <c r="P5" s="226"/>
      <c r="Q5" s="226"/>
      <c r="R5" s="223">
        <f t="shared" ref="R5:R12" si="3">ROUND(Q5*$R$3,0)</f>
        <v>0</v>
      </c>
      <c r="S5" s="228">
        <f t="shared" ref="S5:S13" si="4">F5+L5+R5</f>
        <v>6001689</v>
      </c>
      <c r="T5" s="198"/>
      <c r="U5" s="198"/>
      <c r="V5" s="198"/>
      <c r="W5" s="198"/>
      <c r="X5" s="198"/>
      <c r="Y5" s="198"/>
      <c r="Z5" s="198"/>
      <c r="AA5" s="198"/>
    </row>
    <row r="6" spans="1:29" ht="11.25" customHeight="1">
      <c r="A6" s="12">
        <v>51061030</v>
      </c>
      <c r="B6" s="219" t="s">
        <v>25</v>
      </c>
      <c r="C6" s="220" t="s">
        <v>26</v>
      </c>
      <c r="D6" s="221">
        <v>1600</v>
      </c>
      <c r="E6" s="221">
        <v>220.27</v>
      </c>
      <c r="F6" s="223">
        <f t="shared" si="0"/>
        <v>315691</v>
      </c>
      <c r="G6" s="229"/>
      <c r="H6" s="225" t="s">
        <v>25</v>
      </c>
      <c r="I6" s="225" t="s">
        <v>26</v>
      </c>
      <c r="J6" s="226">
        <v>23408.080000000002</v>
      </c>
      <c r="K6" s="226">
        <v>3198.22</v>
      </c>
      <c r="L6" s="223">
        <f t="shared" si="1"/>
        <v>4663644</v>
      </c>
      <c r="M6" s="227">
        <f t="shared" si="2"/>
        <v>4979335</v>
      </c>
      <c r="N6" s="225" t="s">
        <v>25</v>
      </c>
      <c r="O6" s="225" t="s">
        <v>26</v>
      </c>
      <c r="P6" s="226"/>
      <c r="Q6" s="226"/>
      <c r="R6" s="223">
        <f t="shared" si="3"/>
        <v>0</v>
      </c>
      <c r="S6" s="228">
        <f t="shared" si="4"/>
        <v>4979335</v>
      </c>
      <c r="T6" s="198"/>
      <c r="U6" s="198"/>
      <c r="V6" s="198"/>
      <c r="W6" s="198"/>
      <c r="X6" s="198"/>
      <c r="Y6" s="198"/>
      <c r="Z6" s="198"/>
      <c r="AA6" s="198"/>
      <c r="AB6" s="202"/>
      <c r="AC6" s="188"/>
    </row>
    <row r="7" spans="1:29" ht="11.25" customHeight="1">
      <c r="A7" s="12">
        <v>51201020</v>
      </c>
      <c r="B7" s="219" t="s">
        <v>27</v>
      </c>
      <c r="C7" s="220" t="s">
        <v>28</v>
      </c>
      <c r="D7" s="221">
        <v>24455</v>
      </c>
      <c r="E7" s="221">
        <v>3366.74</v>
      </c>
      <c r="F7" s="223">
        <f t="shared" si="0"/>
        <v>4825212</v>
      </c>
      <c r="G7" s="230"/>
      <c r="H7" s="225" t="s">
        <v>27</v>
      </c>
      <c r="I7" s="225" t="s">
        <v>28</v>
      </c>
      <c r="J7" s="226"/>
      <c r="K7" s="226"/>
      <c r="L7" s="223">
        <f t="shared" si="1"/>
        <v>0</v>
      </c>
      <c r="M7" s="227">
        <f t="shared" si="2"/>
        <v>4825212</v>
      </c>
      <c r="N7" s="225" t="s">
        <v>27</v>
      </c>
      <c r="O7" s="225" t="s">
        <v>28</v>
      </c>
      <c r="P7" s="226"/>
      <c r="Q7" s="226"/>
      <c r="R7" s="223">
        <f t="shared" si="3"/>
        <v>0</v>
      </c>
      <c r="S7" s="228">
        <f t="shared" si="4"/>
        <v>4825212</v>
      </c>
      <c r="T7" s="198"/>
      <c r="U7" s="198"/>
      <c r="V7" s="198"/>
      <c r="W7" s="198"/>
      <c r="X7" s="198"/>
      <c r="Y7" s="198"/>
      <c r="Z7" s="198"/>
      <c r="AA7" s="198"/>
    </row>
    <row r="8" spans="1:29" ht="15" customHeight="1">
      <c r="A8" s="12">
        <v>51201030</v>
      </c>
      <c r="B8" s="219" t="s">
        <v>27</v>
      </c>
      <c r="C8" s="220" t="s">
        <v>29</v>
      </c>
      <c r="D8" s="221">
        <v>8307.64</v>
      </c>
      <c r="E8" s="221">
        <v>1143.72</v>
      </c>
      <c r="F8" s="223">
        <f t="shared" si="0"/>
        <v>1639180</v>
      </c>
      <c r="G8" s="230"/>
      <c r="H8" s="225" t="s">
        <v>27</v>
      </c>
      <c r="I8" s="220" t="s">
        <v>29</v>
      </c>
      <c r="J8" s="226">
        <v>9192.36</v>
      </c>
      <c r="K8" s="226">
        <v>1255.94</v>
      </c>
      <c r="L8" s="223">
        <f t="shared" si="1"/>
        <v>1831412</v>
      </c>
      <c r="M8" s="227">
        <f t="shared" si="2"/>
        <v>3470592</v>
      </c>
      <c r="N8" s="225" t="s">
        <v>27</v>
      </c>
      <c r="O8" s="220" t="s">
        <v>29</v>
      </c>
      <c r="P8" s="226"/>
      <c r="Q8" s="226"/>
      <c r="R8" s="223">
        <f t="shared" si="3"/>
        <v>0</v>
      </c>
      <c r="S8" s="228">
        <f t="shared" si="4"/>
        <v>3470592</v>
      </c>
      <c r="T8" s="198"/>
      <c r="U8" s="198"/>
      <c r="V8" s="198"/>
      <c r="W8" s="198"/>
      <c r="X8" s="198"/>
      <c r="Y8" s="198"/>
      <c r="Z8" s="198"/>
      <c r="AA8" s="198"/>
    </row>
    <row r="9" spans="1:29" ht="11.25" customHeight="1">
      <c r="A9" s="12">
        <v>51071700</v>
      </c>
      <c r="B9" s="219" t="s">
        <v>30</v>
      </c>
      <c r="C9" s="220" t="s">
        <v>31</v>
      </c>
      <c r="D9" s="221"/>
      <c r="E9" s="221"/>
      <c r="F9" s="223">
        <f t="shared" si="0"/>
        <v>0</v>
      </c>
      <c r="G9" s="231"/>
      <c r="H9" s="225" t="s">
        <v>30</v>
      </c>
      <c r="I9" s="220" t="s">
        <v>31</v>
      </c>
      <c r="J9" s="226">
        <v>1412.84</v>
      </c>
      <c r="K9" s="226">
        <v>193.03</v>
      </c>
      <c r="L9" s="223">
        <f t="shared" si="1"/>
        <v>281476</v>
      </c>
      <c r="M9" s="227">
        <f t="shared" si="2"/>
        <v>281476</v>
      </c>
      <c r="N9" s="225" t="s">
        <v>30</v>
      </c>
      <c r="O9" s="220" t="s">
        <v>31</v>
      </c>
      <c r="P9" s="226"/>
      <c r="Q9" s="226"/>
      <c r="R9" s="223">
        <f t="shared" si="3"/>
        <v>0</v>
      </c>
      <c r="S9" s="228">
        <f t="shared" si="4"/>
        <v>281476</v>
      </c>
      <c r="T9" s="198"/>
      <c r="U9" s="198"/>
      <c r="V9" s="198"/>
      <c r="W9" s="198"/>
      <c r="X9" s="198"/>
      <c r="Y9" s="198"/>
      <c r="Z9" s="198"/>
      <c r="AA9" s="198"/>
    </row>
    <row r="10" spans="1:29" ht="11.25" customHeight="1">
      <c r="A10" s="12">
        <v>51321010</v>
      </c>
      <c r="B10" s="219" t="s">
        <v>32</v>
      </c>
      <c r="C10" s="220"/>
      <c r="D10" s="221">
        <v>43977.029999999992</v>
      </c>
      <c r="E10" s="221">
        <v>6054.36</v>
      </c>
      <c r="F10" s="223">
        <f t="shared" si="0"/>
        <v>8677109</v>
      </c>
      <c r="G10" s="232"/>
      <c r="H10" s="225" t="s">
        <v>32</v>
      </c>
      <c r="I10" s="225"/>
      <c r="J10" s="226">
        <v>331930.53999999998</v>
      </c>
      <c r="K10" s="226">
        <v>45402.28</v>
      </c>
      <c r="L10" s="223">
        <f t="shared" si="1"/>
        <v>66205605</v>
      </c>
      <c r="M10" s="227">
        <f t="shared" si="2"/>
        <v>74882714</v>
      </c>
      <c r="N10" s="225" t="s">
        <v>32</v>
      </c>
      <c r="O10" s="225"/>
      <c r="P10" s="226"/>
      <c r="Q10" s="226"/>
      <c r="R10" s="223">
        <f t="shared" si="3"/>
        <v>0</v>
      </c>
      <c r="S10" s="228">
        <f t="shared" si="4"/>
        <v>74882714</v>
      </c>
      <c r="T10" s="198"/>
      <c r="U10" s="198"/>
      <c r="V10" s="198"/>
      <c r="W10" s="198"/>
      <c r="X10" s="198"/>
      <c r="Y10" s="198"/>
      <c r="Z10" s="198"/>
      <c r="AA10" s="198"/>
      <c r="AB10" s="202"/>
      <c r="AC10" s="188"/>
    </row>
    <row r="11" spans="1:29" ht="11.25" customHeight="1">
      <c r="A11" s="12">
        <v>51031020</v>
      </c>
      <c r="B11" s="233" t="s">
        <v>33</v>
      </c>
      <c r="C11" s="233" t="s">
        <v>34</v>
      </c>
      <c r="D11" s="233"/>
      <c r="E11" s="234"/>
      <c r="F11" s="235">
        <f t="shared" si="0"/>
        <v>0</v>
      </c>
      <c r="G11" s="236">
        <f>G13/G12</f>
        <v>1433.2037715239408</v>
      </c>
      <c r="H11" s="233" t="s">
        <v>33</v>
      </c>
      <c r="I11" s="233" t="s">
        <v>35</v>
      </c>
      <c r="J11" s="237"/>
      <c r="K11" s="238"/>
      <c r="L11" s="239">
        <f t="shared" si="1"/>
        <v>0</v>
      </c>
      <c r="M11" s="227">
        <f t="shared" si="2"/>
        <v>0</v>
      </c>
      <c r="N11" s="233" t="s">
        <v>33</v>
      </c>
      <c r="O11" s="233" t="s">
        <v>35</v>
      </c>
      <c r="P11" s="237"/>
      <c r="Q11" s="238">
        <v>36</v>
      </c>
      <c r="R11" s="239">
        <f t="shared" si="3"/>
        <v>51635</v>
      </c>
      <c r="S11" s="228">
        <f t="shared" si="4"/>
        <v>51635</v>
      </c>
      <c r="T11" s="198"/>
      <c r="U11" s="198"/>
      <c r="V11" s="198"/>
      <c r="W11" s="198"/>
      <c r="X11" s="198"/>
      <c r="Y11" s="198"/>
      <c r="Z11" s="198"/>
      <c r="AA11" s="198"/>
      <c r="AB11" s="202"/>
      <c r="AC11" s="188"/>
    </row>
    <row r="12" spans="1:29" ht="11.25" customHeight="1">
      <c r="A12" s="12">
        <v>52981010</v>
      </c>
      <c r="B12" s="225" t="s">
        <v>36</v>
      </c>
      <c r="C12" s="225" t="s">
        <v>37</v>
      </c>
      <c r="D12" s="23"/>
      <c r="E12" s="221"/>
      <c r="F12" s="223">
        <f t="shared" si="0"/>
        <v>0</v>
      </c>
      <c r="G12" s="240">
        <f>E13+Q13+AB13</f>
        <v>10821.09</v>
      </c>
      <c r="H12" s="225" t="s">
        <v>36</v>
      </c>
      <c r="I12" s="225" t="s">
        <v>37</v>
      </c>
      <c r="J12" s="241"/>
      <c r="K12" s="221"/>
      <c r="L12" s="223">
        <f t="shared" si="1"/>
        <v>0</v>
      </c>
      <c r="M12" s="227">
        <f t="shared" si="2"/>
        <v>0</v>
      </c>
      <c r="N12" s="225" t="s">
        <v>36</v>
      </c>
      <c r="O12" s="225" t="s">
        <v>37</v>
      </c>
      <c r="P12" s="241"/>
      <c r="Q12" s="221"/>
      <c r="R12" s="223">
        <f t="shared" si="3"/>
        <v>0</v>
      </c>
      <c r="S12" s="228">
        <f t="shared" si="4"/>
        <v>0</v>
      </c>
      <c r="T12" s="198"/>
      <c r="U12" s="198"/>
      <c r="V12" s="198"/>
      <c r="W12" s="198"/>
      <c r="X12" s="198"/>
      <c r="Y12" s="198"/>
      <c r="Z12" s="198"/>
      <c r="AA12" s="198"/>
      <c r="AB12" s="202"/>
      <c r="AC12" s="188"/>
    </row>
    <row r="13" spans="1:29" s="188" customFormat="1" ht="11.25" customHeight="1">
      <c r="A13" s="17"/>
      <c r="B13" s="242" t="s">
        <v>38</v>
      </c>
      <c r="C13" s="243"/>
      <c r="D13" s="244">
        <f>SUM(D5:D11)-D12</f>
        <v>78339.669999999984</v>
      </c>
      <c r="E13" s="244">
        <f>SUM(E5:E11)-E12</f>
        <v>10785.09</v>
      </c>
      <c r="F13" s="245">
        <f>SUM(F5:F11)-F12</f>
        <v>15457192</v>
      </c>
      <c r="G13" s="246">
        <f>F13+R13+AC13</f>
        <v>15508827</v>
      </c>
      <c r="H13" s="242" t="s">
        <v>38</v>
      </c>
      <c r="I13" s="243"/>
      <c r="J13" s="244">
        <f>SUM(J5:J11)-J12</f>
        <v>396067.89999999997</v>
      </c>
      <c r="K13" s="244">
        <f>SUM(K5:K11)-K12</f>
        <v>54165.29</v>
      </c>
      <c r="L13" s="245">
        <f>SUM(L5:L11)-L12</f>
        <v>78983826</v>
      </c>
      <c r="M13" s="227">
        <f t="shared" si="2"/>
        <v>94441018</v>
      </c>
      <c r="N13" s="242" t="s">
        <v>38</v>
      </c>
      <c r="O13" s="243"/>
      <c r="P13" s="244">
        <f>SUM(P5:P11)-P12</f>
        <v>0</v>
      </c>
      <c r="Q13" s="244">
        <f>SUM(Q5:Q11)-Q12</f>
        <v>36</v>
      </c>
      <c r="R13" s="245">
        <f>SUM(R5:R11)-R12</f>
        <v>51635</v>
      </c>
      <c r="S13" s="228">
        <f t="shared" si="4"/>
        <v>94492653</v>
      </c>
      <c r="U13" s="247"/>
      <c r="X13" s="248">
        <f>F13+R13</f>
        <v>15508827</v>
      </c>
      <c r="Y13" s="249"/>
      <c r="Z13" s="250"/>
      <c r="AB13" s="203"/>
    </row>
    <row r="14" spans="1:29" ht="14.25" customHeight="1">
      <c r="A14" s="37"/>
      <c r="C14" s="200"/>
      <c r="D14" s="251">
        <f>SUM(D7:D10)</f>
        <v>76739.669999999984</v>
      </c>
      <c r="E14" s="251">
        <f>SUM(E7:E10)</f>
        <v>10564.82</v>
      </c>
      <c r="F14" s="251">
        <f>SUM(F7:F10)</f>
        <v>15141501</v>
      </c>
      <c r="G14" s="252"/>
      <c r="J14" s="253">
        <f>J13+D13+P13</f>
        <v>474407.56999999995</v>
      </c>
      <c r="K14" s="253">
        <f>K13+E13+Q13</f>
        <v>64986.380000000005</v>
      </c>
      <c r="L14" s="254">
        <f>L13+F13+R13</f>
        <v>94492653</v>
      </c>
      <c r="M14" s="255">
        <f>M16-E12</f>
        <v>64950.381673459982</v>
      </c>
      <c r="O14" s="202"/>
      <c r="P14" s="248">
        <f>P13+D13+J13</f>
        <v>474407.56999999995</v>
      </c>
      <c r="Q14" s="248">
        <f>Q13+E13+K13</f>
        <v>64986.380000000005</v>
      </c>
      <c r="R14" s="256">
        <f>R13+F13+L13</f>
        <v>94492653</v>
      </c>
      <c r="X14" s="202"/>
      <c r="Y14" s="202"/>
      <c r="AB14" s="202"/>
      <c r="AC14" s="188"/>
    </row>
    <row r="15" spans="1:29" ht="14.25" customHeight="1">
      <c r="A15" s="37"/>
      <c r="C15" s="200"/>
      <c r="D15" s="251"/>
      <c r="E15" s="251"/>
      <c r="F15" s="251"/>
      <c r="G15" s="252"/>
      <c r="K15" s="255">
        <f>K16-H85</f>
        <v>474407.57</v>
      </c>
      <c r="L15" s="255"/>
      <c r="M15" s="255">
        <f>M16-J85</f>
        <v>64950.381673459982</v>
      </c>
      <c r="O15" s="202"/>
      <c r="P15" s="248"/>
      <c r="Q15" s="248"/>
      <c r="R15" s="256"/>
      <c r="X15" s="202"/>
      <c r="Y15" s="202"/>
      <c r="AB15" s="202"/>
      <c r="AC15" s="188"/>
    </row>
    <row r="16" spans="1:29" ht="18.75" customHeight="1" thickBot="1">
      <c r="A16" s="37"/>
      <c r="C16" s="200"/>
      <c r="D16" s="200"/>
      <c r="E16" s="257"/>
      <c r="F16" s="257"/>
      <c r="G16" s="252"/>
      <c r="I16" s="202"/>
      <c r="J16" s="203"/>
      <c r="K16" s="258">
        <f>SUBTOTAL(9,K19:K103)</f>
        <v>474407.57</v>
      </c>
      <c r="L16" s="259"/>
      <c r="M16" s="258">
        <f>SUBTOTAL(9,M19:M103)</f>
        <v>64950.381673459982</v>
      </c>
      <c r="N16" s="202"/>
      <c r="Q16" s="202"/>
    </row>
    <row r="17" spans="1:29" ht="11.25" customHeight="1">
      <c r="A17" s="37"/>
      <c r="B17" s="260" t="s">
        <v>39</v>
      </c>
      <c r="C17" s="261" t="s">
        <v>40</v>
      </c>
      <c r="D17" s="261" t="s">
        <v>41</v>
      </c>
      <c r="E17" s="262" t="s">
        <v>42</v>
      </c>
      <c r="F17" s="263" t="s">
        <v>18</v>
      </c>
      <c r="G17" s="264" t="s">
        <v>19</v>
      </c>
      <c r="H17" s="622" t="s">
        <v>3</v>
      </c>
      <c r="I17" s="623"/>
      <c r="J17" s="623"/>
      <c r="K17" s="622" t="s">
        <v>4</v>
      </c>
      <c r="L17" s="623"/>
      <c r="M17" s="623"/>
      <c r="N17" s="616" t="s">
        <v>5</v>
      </c>
      <c r="O17" s="617"/>
      <c r="P17" s="620"/>
      <c r="Q17" s="621"/>
      <c r="R17" s="265" t="s">
        <v>43</v>
      </c>
    </row>
    <row r="18" spans="1:29" ht="11.25" customHeight="1">
      <c r="A18" s="37"/>
      <c r="B18" s="266" t="s">
        <v>39</v>
      </c>
      <c r="C18" s="267" t="s">
        <v>40</v>
      </c>
      <c r="D18" s="267" t="s">
        <v>41</v>
      </c>
      <c r="E18" s="268" t="s">
        <v>42</v>
      </c>
      <c r="F18" s="269" t="s">
        <v>18</v>
      </c>
      <c r="G18" s="270" t="s">
        <v>19</v>
      </c>
      <c r="H18" s="271" t="s">
        <v>44</v>
      </c>
      <c r="I18" s="271" t="s">
        <v>7</v>
      </c>
      <c r="J18" s="272" t="s">
        <v>9</v>
      </c>
      <c r="K18" s="272" t="s">
        <v>44</v>
      </c>
      <c r="L18" s="271" t="s">
        <v>7</v>
      </c>
      <c r="M18" s="273" t="s">
        <v>9</v>
      </c>
      <c r="N18" s="274" t="s">
        <v>44</v>
      </c>
      <c r="O18" s="275" t="s">
        <v>9</v>
      </c>
      <c r="P18" s="618" t="s">
        <v>45</v>
      </c>
      <c r="Q18" s="619"/>
      <c r="R18" s="276" t="s">
        <v>43</v>
      </c>
    </row>
    <row r="19" spans="1:29" ht="11.25" customHeight="1">
      <c r="B19" s="277">
        <v>45657</v>
      </c>
      <c r="C19" s="278"/>
      <c r="D19" s="278"/>
      <c r="E19" s="279"/>
      <c r="F19" s="280"/>
      <c r="G19" s="281"/>
      <c r="H19" s="282"/>
      <c r="I19" s="278"/>
      <c r="J19" s="281"/>
      <c r="K19" s="283"/>
      <c r="L19" s="284"/>
      <c r="M19" s="285"/>
      <c r="N19" s="286">
        <v>78313.100000000137</v>
      </c>
      <c r="O19" s="286">
        <v>10785.09237817979</v>
      </c>
      <c r="P19" s="287"/>
      <c r="Q19" s="279"/>
      <c r="R19" s="288"/>
      <c r="S19" s="289">
        <v>10785.091315926809</v>
      </c>
    </row>
    <row r="20" spans="1:29" s="189" customFormat="1" ht="12" customHeight="1">
      <c r="A20" s="13"/>
      <c r="B20" s="290">
        <v>45667</v>
      </c>
      <c r="C20" s="19" t="s">
        <v>46</v>
      </c>
      <c r="D20" s="32"/>
      <c r="E20" s="33">
        <v>1</v>
      </c>
      <c r="F20" s="33" t="s">
        <v>32</v>
      </c>
      <c r="G20" s="14"/>
      <c r="H20" s="34"/>
      <c r="I20" s="291"/>
      <c r="J20" s="34"/>
      <c r="K20" s="292">
        <v>42812.63</v>
      </c>
      <c r="L20" s="293">
        <f>'[2]통장내역(환율표)'!$D$238</f>
        <v>7.2637000065386541</v>
      </c>
      <c r="M20" s="294">
        <f>K20/L20</f>
        <v>5894.0526125061369</v>
      </c>
      <c r="N20" s="295">
        <f t="shared" ref="N20:N51" si="5">N19+H20-K20</f>
        <v>35500.470000000139</v>
      </c>
      <c r="O20" s="295">
        <f t="shared" ref="O20:O51" si="6">O19+J20-M20</f>
        <v>4891.0397656736532</v>
      </c>
      <c r="P20" s="296" t="s">
        <v>47</v>
      </c>
      <c r="Q20" s="297"/>
      <c r="R20" s="297"/>
      <c r="S20" s="298">
        <f>S19-M20</f>
        <v>4891.0387034206724</v>
      </c>
      <c r="T20" s="187"/>
      <c r="V20" s="187"/>
      <c r="W20" s="187"/>
      <c r="X20" s="187"/>
      <c r="Y20" s="187"/>
      <c r="Z20" s="187"/>
      <c r="AA20" s="187"/>
      <c r="AB20" s="187"/>
      <c r="AC20" s="187"/>
    </row>
    <row r="21" spans="1:29" s="189" customFormat="1" ht="12" customHeight="1">
      <c r="A21" s="13"/>
      <c r="B21" s="299">
        <v>45670</v>
      </c>
      <c r="C21" s="45" t="s">
        <v>48</v>
      </c>
      <c r="D21" s="46"/>
      <c r="E21" s="47">
        <v>2</v>
      </c>
      <c r="F21" s="47"/>
      <c r="G21" s="48"/>
      <c r="H21" s="49">
        <v>473948.32</v>
      </c>
      <c r="I21" s="300"/>
      <c r="J21" s="49">
        <v>64806</v>
      </c>
      <c r="K21" s="301"/>
      <c r="L21" s="302"/>
      <c r="M21" s="303"/>
      <c r="N21" s="303">
        <f t="shared" si="5"/>
        <v>509448.79000000015</v>
      </c>
      <c r="O21" s="303">
        <f t="shared" si="6"/>
        <v>69697.03976567366</v>
      </c>
      <c r="P21" s="304"/>
      <c r="Q21" s="305"/>
      <c r="R21" s="305"/>
      <c r="S21" s="298"/>
      <c r="T21" s="187"/>
      <c r="V21" s="187"/>
      <c r="W21" s="187"/>
      <c r="X21" s="187"/>
      <c r="Y21" s="187"/>
      <c r="Z21" s="187"/>
      <c r="AA21" s="187"/>
      <c r="AB21" s="187"/>
      <c r="AC21" s="187"/>
    </row>
    <row r="22" spans="1:29" s="189" customFormat="1" ht="12" customHeight="1">
      <c r="A22" s="13"/>
      <c r="B22" s="299">
        <v>45670</v>
      </c>
      <c r="C22" s="45" t="s">
        <v>49</v>
      </c>
      <c r="D22" s="46"/>
      <c r="E22" s="47">
        <v>2</v>
      </c>
      <c r="F22" s="50" t="s">
        <v>32</v>
      </c>
      <c r="G22" s="48"/>
      <c r="H22" s="49"/>
      <c r="I22" s="300"/>
      <c r="J22" s="49"/>
      <c r="K22" s="301"/>
      <c r="L22" s="302"/>
      <c r="M22" s="303">
        <v>51</v>
      </c>
      <c r="N22" s="303">
        <f t="shared" si="5"/>
        <v>509448.79000000015</v>
      </c>
      <c r="O22" s="303">
        <f t="shared" si="6"/>
        <v>69646.03976567366</v>
      </c>
      <c r="P22" s="304"/>
      <c r="Q22" s="305"/>
      <c r="R22" s="305"/>
      <c r="S22" s="298"/>
      <c r="T22" s="187"/>
      <c r="V22" s="187"/>
      <c r="W22" s="187"/>
      <c r="X22" s="187"/>
      <c r="Y22" s="187"/>
      <c r="Z22" s="187"/>
      <c r="AA22" s="187"/>
      <c r="AB22" s="187"/>
      <c r="AC22" s="187"/>
    </row>
    <row r="23" spans="1:29" s="188" customFormat="1" ht="11.25" customHeight="1">
      <c r="A23" s="13"/>
      <c r="B23" s="290">
        <v>45672</v>
      </c>
      <c r="C23" s="19" t="s">
        <v>50</v>
      </c>
      <c r="D23" s="32"/>
      <c r="E23" s="35">
        <v>3</v>
      </c>
      <c r="F23" s="33" t="s">
        <v>32</v>
      </c>
      <c r="G23" s="14"/>
      <c r="H23" s="34"/>
      <c r="I23" s="291"/>
      <c r="J23" s="34"/>
      <c r="K23" s="292">
        <v>140</v>
      </c>
      <c r="L23" s="293">
        <f>'[2]통장내역(환율표)'!$D$238</f>
        <v>7.2637000065386541</v>
      </c>
      <c r="M23" s="294">
        <f t="shared" ref="M23:M29" si="7">K23/L23</f>
        <v>19.273923740514405</v>
      </c>
      <c r="N23" s="295">
        <f t="shared" si="5"/>
        <v>509308.79000000015</v>
      </c>
      <c r="O23" s="295">
        <f t="shared" si="6"/>
        <v>69626.765841933142</v>
      </c>
      <c r="P23" s="296" t="s">
        <v>47</v>
      </c>
      <c r="Q23" s="297"/>
      <c r="R23" s="297"/>
      <c r="S23" s="298">
        <f>S20-M23</f>
        <v>4871.7647796801584</v>
      </c>
      <c r="T23" s="187"/>
      <c r="U23" s="189"/>
      <c r="V23" s="187"/>
      <c r="W23" s="187"/>
      <c r="X23" s="187"/>
      <c r="Y23" s="187"/>
      <c r="Z23" s="187"/>
      <c r="AA23" s="187"/>
      <c r="AB23" s="187"/>
      <c r="AC23" s="187"/>
    </row>
    <row r="24" spans="1:29" s="188" customFormat="1" ht="11.25" customHeight="1">
      <c r="A24" s="13"/>
      <c r="B24" s="290">
        <v>45672</v>
      </c>
      <c r="C24" s="19" t="s">
        <v>51</v>
      </c>
      <c r="D24" s="32"/>
      <c r="E24" s="35">
        <v>4</v>
      </c>
      <c r="F24" s="33" t="s">
        <v>27</v>
      </c>
      <c r="G24" s="14" t="s">
        <v>52</v>
      </c>
      <c r="H24" s="34"/>
      <c r="I24" s="291"/>
      <c r="J24" s="34"/>
      <c r="K24" s="292">
        <v>24455</v>
      </c>
      <c r="L24" s="293">
        <f>'[2]통장내역(환율표)'!$D$238</f>
        <v>7.2637000065386541</v>
      </c>
      <c r="M24" s="294">
        <f t="shared" si="7"/>
        <v>3366.741464816284</v>
      </c>
      <c r="N24" s="295">
        <f t="shared" si="5"/>
        <v>484853.79000000015</v>
      </c>
      <c r="O24" s="295">
        <f t="shared" si="6"/>
        <v>66260.024377116861</v>
      </c>
      <c r="P24" s="296" t="s">
        <v>47</v>
      </c>
      <c r="Q24" s="297"/>
      <c r="R24" s="297"/>
      <c r="S24" s="298">
        <f t="shared" ref="S24:S30" si="8">S23-M24</f>
        <v>1505.0233148638745</v>
      </c>
      <c r="T24" s="187"/>
      <c r="U24" s="189"/>
      <c r="V24" s="187"/>
      <c r="W24" s="187"/>
      <c r="X24" s="187"/>
      <c r="Y24" s="187"/>
      <c r="Z24" s="187"/>
      <c r="AA24" s="187"/>
      <c r="AB24" s="187"/>
      <c r="AC24" s="187"/>
    </row>
    <row r="25" spans="1:29" s="188" customFormat="1" ht="11.25" customHeight="1">
      <c r="A25" s="13"/>
      <c r="B25" s="290">
        <v>45672</v>
      </c>
      <c r="C25" s="19" t="s">
        <v>49</v>
      </c>
      <c r="D25" s="32"/>
      <c r="E25" s="35">
        <v>5</v>
      </c>
      <c r="F25" s="33" t="s">
        <v>32</v>
      </c>
      <c r="G25" s="14"/>
      <c r="H25" s="22"/>
      <c r="I25" s="36"/>
      <c r="J25" s="36"/>
      <c r="K25" s="292">
        <v>7.2</v>
      </c>
      <c r="L25" s="293">
        <f>'[2]통장내역(환율표)'!$D$238</f>
        <v>7.2637000065386541</v>
      </c>
      <c r="M25" s="294">
        <f t="shared" si="7"/>
        <v>0.99123036379788365</v>
      </c>
      <c r="N25" s="295">
        <f t="shared" si="5"/>
        <v>484846.59000000014</v>
      </c>
      <c r="O25" s="295">
        <f t="shared" si="6"/>
        <v>66259.033146753063</v>
      </c>
      <c r="P25" s="296" t="s">
        <v>47</v>
      </c>
      <c r="Q25" s="297"/>
      <c r="R25" s="297"/>
      <c r="S25" s="298">
        <f t="shared" si="8"/>
        <v>1504.0320845000765</v>
      </c>
      <c r="T25" s="187"/>
      <c r="U25" s="189"/>
      <c r="V25" s="187"/>
      <c r="W25" s="187"/>
      <c r="X25" s="187"/>
      <c r="Y25" s="187"/>
      <c r="Z25" s="187"/>
      <c r="AA25" s="187"/>
      <c r="AB25" s="187"/>
      <c r="AC25" s="187"/>
    </row>
    <row r="26" spans="1:29" s="188" customFormat="1" ht="11.25" customHeight="1">
      <c r="A26" s="13"/>
      <c r="B26" s="290">
        <v>45672</v>
      </c>
      <c r="C26" s="19" t="s">
        <v>53</v>
      </c>
      <c r="D26" s="32"/>
      <c r="E26" s="35">
        <v>6</v>
      </c>
      <c r="F26" s="35" t="s">
        <v>25</v>
      </c>
      <c r="G26" s="14" t="s">
        <v>26</v>
      </c>
      <c r="H26" s="22"/>
      <c r="I26" s="21"/>
      <c r="J26" s="21"/>
      <c r="K26" s="292">
        <v>1600</v>
      </c>
      <c r="L26" s="293">
        <f>'[2]통장내역(환율표)'!$D$238</f>
        <v>7.2637000065386541</v>
      </c>
      <c r="M26" s="294">
        <f t="shared" si="7"/>
        <v>220.27341417730747</v>
      </c>
      <c r="N26" s="295">
        <f t="shared" si="5"/>
        <v>483246.59000000014</v>
      </c>
      <c r="O26" s="295">
        <f t="shared" si="6"/>
        <v>66038.759732575752</v>
      </c>
      <c r="P26" s="296" t="s">
        <v>47</v>
      </c>
      <c r="Q26" s="297"/>
      <c r="R26" s="297"/>
      <c r="S26" s="298">
        <f t="shared" si="8"/>
        <v>1283.7586703227689</v>
      </c>
      <c r="T26" s="187"/>
      <c r="U26" s="189"/>
      <c r="V26" s="187"/>
      <c r="W26" s="187"/>
      <c r="X26" s="187"/>
      <c r="Y26" s="187"/>
      <c r="Z26" s="187"/>
      <c r="AA26" s="187"/>
      <c r="AB26" s="187"/>
      <c r="AC26" s="187"/>
    </row>
    <row r="27" spans="1:29" s="188" customFormat="1" ht="11.25" customHeight="1">
      <c r="A27" s="13"/>
      <c r="B27" s="290">
        <v>45672</v>
      </c>
      <c r="C27" s="19" t="s">
        <v>49</v>
      </c>
      <c r="D27" s="32"/>
      <c r="E27" s="35">
        <v>7</v>
      </c>
      <c r="F27" s="35" t="s">
        <v>32</v>
      </c>
      <c r="G27" s="14"/>
      <c r="H27" s="22"/>
      <c r="I27" s="21"/>
      <c r="J27" s="21"/>
      <c r="K27" s="292">
        <v>3.6</v>
      </c>
      <c r="L27" s="293">
        <f>'[2]통장내역(환율표)'!$D$238</f>
        <v>7.2637000065386541</v>
      </c>
      <c r="M27" s="294">
        <f t="shared" si="7"/>
        <v>0.49561518189894183</v>
      </c>
      <c r="N27" s="295">
        <f t="shared" si="5"/>
        <v>483242.99000000017</v>
      </c>
      <c r="O27" s="295">
        <f t="shared" si="6"/>
        <v>66038.264117393846</v>
      </c>
      <c r="P27" s="296" t="s">
        <v>47</v>
      </c>
      <c r="Q27" s="297"/>
      <c r="R27" s="297"/>
      <c r="S27" s="298">
        <f t="shared" si="8"/>
        <v>1283.2630551408699</v>
      </c>
      <c r="T27" s="187"/>
      <c r="U27" s="189"/>
      <c r="V27" s="187"/>
      <c r="W27" s="187"/>
      <c r="X27" s="187"/>
      <c r="Y27" s="187"/>
      <c r="Z27" s="187"/>
      <c r="AA27" s="187"/>
      <c r="AB27" s="187"/>
      <c r="AC27" s="187"/>
    </row>
    <row r="28" spans="1:29" s="188" customFormat="1" ht="11.25" customHeight="1">
      <c r="A28" s="13"/>
      <c r="B28" s="290">
        <v>45674</v>
      </c>
      <c r="C28" s="19" t="s">
        <v>54</v>
      </c>
      <c r="D28" s="32"/>
      <c r="E28" s="35">
        <v>8</v>
      </c>
      <c r="F28" s="35" t="s">
        <v>32</v>
      </c>
      <c r="G28" s="14"/>
      <c r="H28" s="22"/>
      <c r="I28" s="21"/>
      <c r="J28" s="21"/>
      <c r="K28" s="292">
        <v>1010</v>
      </c>
      <c r="L28" s="293">
        <f>'[2]통장내역(환율표)'!$D$238</f>
        <v>7.2637000065386541</v>
      </c>
      <c r="M28" s="294">
        <f t="shared" si="7"/>
        <v>139.04759269942534</v>
      </c>
      <c r="N28" s="295">
        <f t="shared" si="5"/>
        <v>482232.99000000017</v>
      </c>
      <c r="O28" s="295">
        <f t="shared" si="6"/>
        <v>65899.216524694421</v>
      </c>
      <c r="P28" s="296" t="s">
        <v>47</v>
      </c>
      <c r="Q28" s="297"/>
      <c r="R28" s="297"/>
      <c r="S28" s="298">
        <f t="shared" si="8"/>
        <v>1144.2154624414445</v>
      </c>
      <c r="T28" s="187"/>
      <c r="U28" s="189"/>
      <c r="V28" s="187"/>
      <c r="W28" s="187"/>
      <c r="X28" s="187"/>
      <c r="Y28" s="187"/>
      <c r="Z28" s="187"/>
      <c r="AA28" s="187"/>
      <c r="AB28" s="187"/>
      <c r="AC28" s="187"/>
    </row>
    <row r="29" spans="1:29" s="188" customFormat="1" ht="11.25" customHeight="1">
      <c r="A29" s="13"/>
      <c r="B29" s="290">
        <v>45674</v>
      </c>
      <c r="C29" s="19" t="s">
        <v>49</v>
      </c>
      <c r="D29" s="32"/>
      <c r="E29" s="35">
        <v>9</v>
      </c>
      <c r="F29" s="35" t="s">
        <v>32</v>
      </c>
      <c r="G29" s="14"/>
      <c r="H29" s="22"/>
      <c r="I29" s="21"/>
      <c r="J29" s="21"/>
      <c r="K29" s="292">
        <v>3.6</v>
      </c>
      <c r="L29" s="293">
        <f>'[2]통장내역(환율표)'!$D$238</f>
        <v>7.2637000065386541</v>
      </c>
      <c r="M29" s="294">
        <f t="shared" si="7"/>
        <v>0.49561518189894183</v>
      </c>
      <c r="N29" s="295">
        <f t="shared" si="5"/>
        <v>482229.39000000019</v>
      </c>
      <c r="O29" s="295">
        <f t="shared" si="6"/>
        <v>65898.720909512514</v>
      </c>
      <c r="P29" s="296" t="s">
        <v>47</v>
      </c>
      <c r="Q29" s="297"/>
      <c r="R29" s="297"/>
      <c r="S29" s="298">
        <f t="shared" si="8"/>
        <v>1143.7198472595455</v>
      </c>
      <c r="T29" s="187"/>
      <c r="U29" s="189"/>
      <c r="V29" s="187"/>
      <c r="W29" s="187"/>
      <c r="X29" s="187"/>
      <c r="Y29" s="187"/>
      <c r="Z29" s="187"/>
      <c r="AA29" s="187"/>
      <c r="AB29" s="187"/>
      <c r="AC29" s="187"/>
    </row>
    <row r="30" spans="1:29" s="188" customFormat="1" ht="11.25" customHeight="1">
      <c r="A30" s="13"/>
      <c r="B30" s="306">
        <v>45674</v>
      </c>
      <c r="C30" s="24" t="s">
        <v>55</v>
      </c>
      <c r="D30" s="41"/>
      <c r="E30" s="42">
        <v>10</v>
      </c>
      <c r="F30" s="42" t="s">
        <v>27</v>
      </c>
      <c r="G30" s="16" t="s">
        <v>29</v>
      </c>
      <c r="H30" s="43"/>
      <c r="I30" s="44"/>
      <c r="J30" s="44"/>
      <c r="K30" s="307">
        <f>L30*M30</f>
        <v>8307.6378620175747</v>
      </c>
      <c r="L30" s="308">
        <f>'[2]통장내역(환율표)'!$D$238</f>
        <v>7.2637000065386541</v>
      </c>
      <c r="M30" s="294">
        <v>1143.7198472595489</v>
      </c>
      <c r="N30" s="309">
        <f t="shared" si="5"/>
        <v>473921.75213798264</v>
      </c>
      <c r="O30" s="309">
        <f t="shared" si="6"/>
        <v>64755.001062252966</v>
      </c>
      <c r="P30" s="310" t="s">
        <v>47</v>
      </c>
      <c r="Q30" s="311"/>
      <c r="R30" s="311"/>
      <c r="S30" s="298">
        <f t="shared" si="8"/>
        <v>-3.4106051316484809E-12</v>
      </c>
      <c r="T30" s="187"/>
      <c r="U30" s="189"/>
      <c r="V30" s="187"/>
      <c r="W30" s="187"/>
      <c r="X30" s="187"/>
      <c r="Y30" s="187"/>
      <c r="Z30" s="187"/>
      <c r="AA30" s="187"/>
      <c r="AB30" s="187"/>
      <c r="AC30" s="187"/>
    </row>
    <row r="31" spans="1:29" s="188" customFormat="1" ht="11.25" customHeight="1">
      <c r="A31" s="13"/>
      <c r="B31" s="306">
        <v>45674</v>
      </c>
      <c r="C31" s="24" t="s">
        <v>55</v>
      </c>
      <c r="D31" s="41"/>
      <c r="E31" s="42">
        <v>10</v>
      </c>
      <c r="F31" s="42" t="s">
        <v>27</v>
      </c>
      <c r="G31" s="16" t="s">
        <v>29</v>
      </c>
      <c r="H31" s="43"/>
      <c r="I31" s="44"/>
      <c r="J31" s="44"/>
      <c r="K31" s="307">
        <f>10500-K30</f>
        <v>2192.3621379824253</v>
      </c>
      <c r="L31" s="308">
        <f>'[2]통장내역(환율표)'!$D$246</f>
        <v>7.3190999922785887</v>
      </c>
      <c r="M31" s="303">
        <f t="shared" ref="M31:M62" si="9">K31/L31</f>
        <v>299.53985330099272</v>
      </c>
      <c r="N31" s="309">
        <f t="shared" si="5"/>
        <v>471729.39000000019</v>
      </c>
      <c r="O31" s="309">
        <f t="shared" si="6"/>
        <v>64455.461208951972</v>
      </c>
      <c r="P31" s="310" t="s">
        <v>56</v>
      </c>
      <c r="Q31" s="311"/>
      <c r="R31" s="311"/>
      <c r="S31" s="298">
        <f>64755-M31</f>
        <v>64455.460146699006</v>
      </c>
      <c r="T31" s="187"/>
      <c r="U31" s="189"/>
      <c r="V31" s="187"/>
      <c r="W31" s="187"/>
      <c r="X31" s="187"/>
      <c r="Y31" s="187"/>
      <c r="Z31" s="187"/>
      <c r="AA31" s="187"/>
      <c r="AB31" s="187"/>
      <c r="AC31" s="187"/>
    </row>
    <row r="32" spans="1:29" s="188" customFormat="1" ht="11.25" customHeight="1">
      <c r="A32" s="13"/>
      <c r="B32" s="290">
        <v>45674</v>
      </c>
      <c r="C32" s="19" t="s">
        <v>57</v>
      </c>
      <c r="D32" s="32"/>
      <c r="E32" s="35">
        <v>10</v>
      </c>
      <c r="F32" s="35" t="s">
        <v>32</v>
      </c>
      <c r="G32" s="14"/>
      <c r="H32" s="22"/>
      <c r="I32" s="21"/>
      <c r="J32" s="21"/>
      <c r="K32" s="292">
        <v>6000</v>
      </c>
      <c r="L32" s="293">
        <f>'[2]통장내역(환율표)'!$D$246</f>
        <v>7.3190999922785887</v>
      </c>
      <c r="M32" s="303">
        <f t="shared" si="9"/>
        <v>819.77292376519028</v>
      </c>
      <c r="N32" s="295">
        <f t="shared" si="5"/>
        <v>465729.39000000019</v>
      </c>
      <c r="O32" s="295">
        <f t="shared" si="6"/>
        <v>63635.688285186785</v>
      </c>
      <c r="P32" s="296" t="s">
        <v>56</v>
      </c>
      <c r="Q32" s="297"/>
      <c r="R32" s="297"/>
      <c r="S32" s="298">
        <f t="shared" ref="S32:S63" si="10">S31-M32</f>
        <v>63635.687222933819</v>
      </c>
      <c r="T32" s="187"/>
      <c r="U32" s="189"/>
      <c r="V32" s="187"/>
      <c r="W32" s="187"/>
      <c r="X32" s="187"/>
      <c r="Y32" s="187"/>
      <c r="Z32" s="187"/>
      <c r="AA32" s="187"/>
      <c r="AB32" s="187"/>
      <c r="AC32" s="187"/>
    </row>
    <row r="33" spans="1:29" s="188" customFormat="1" ht="11.25" customHeight="1">
      <c r="A33" s="13"/>
      <c r="B33" s="290">
        <v>45674</v>
      </c>
      <c r="C33" s="19" t="s">
        <v>58</v>
      </c>
      <c r="D33" s="32"/>
      <c r="E33" s="35">
        <v>10</v>
      </c>
      <c r="F33" s="35" t="s">
        <v>32</v>
      </c>
      <c r="G33" s="14"/>
      <c r="H33" s="22"/>
      <c r="I33" s="21"/>
      <c r="J33" s="21"/>
      <c r="K33" s="292">
        <v>610</v>
      </c>
      <c r="L33" s="293">
        <f>'[2]통장내역(환율표)'!$D$246</f>
        <v>7.3190999922785887</v>
      </c>
      <c r="M33" s="303">
        <f t="shared" si="9"/>
        <v>83.343580582794345</v>
      </c>
      <c r="N33" s="295">
        <f t="shared" si="5"/>
        <v>465119.39000000019</v>
      </c>
      <c r="O33" s="295">
        <f t="shared" si="6"/>
        <v>63552.344704603987</v>
      </c>
      <c r="P33" s="296" t="s">
        <v>56</v>
      </c>
      <c r="Q33" s="297"/>
      <c r="R33" s="297"/>
      <c r="S33" s="298">
        <f t="shared" si="10"/>
        <v>63552.343642351021</v>
      </c>
      <c r="T33" s="187"/>
      <c r="U33" s="189"/>
      <c r="V33" s="187"/>
      <c r="W33" s="187"/>
      <c r="X33" s="187"/>
      <c r="Y33" s="187"/>
      <c r="Z33" s="187"/>
      <c r="AA33" s="187"/>
      <c r="AB33" s="187"/>
      <c r="AC33" s="187"/>
    </row>
    <row r="34" spans="1:29" s="188" customFormat="1" ht="11.25" customHeight="1">
      <c r="A34" s="13"/>
      <c r="B34" s="290">
        <v>45674</v>
      </c>
      <c r="C34" s="19" t="s">
        <v>55</v>
      </c>
      <c r="D34" s="32"/>
      <c r="E34" s="35">
        <v>10</v>
      </c>
      <c r="F34" s="35" t="s">
        <v>27</v>
      </c>
      <c r="G34" s="14" t="s">
        <v>29</v>
      </c>
      <c r="H34" s="22"/>
      <c r="I34" s="21"/>
      <c r="J34" s="21"/>
      <c r="K34" s="292">
        <v>7000</v>
      </c>
      <c r="L34" s="293">
        <f>'[2]통장내역(환율표)'!$D$246</f>
        <v>7.3190999922785887</v>
      </c>
      <c r="M34" s="303">
        <f t="shared" si="9"/>
        <v>956.40174439272198</v>
      </c>
      <c r="N34" s="295">
        <f t="shared" si="5"/>
        <v>458119.39000000019</v>
      </c>
      <c r="O34" s="295">
        <f t="shared" si="6"/>
        <v>62595.942960211265</v>
      </c>
      <c r="P34" s="296" t="s">
        <v>56</v>
      </c>
      <c r="Q34" s="297"/>
      <c r="R34" s="297"/>
      <c r="S34" s="298">
        <f t="shared" si="10"/>
        <v>62595.941897958299</v>
      </c>
      <c r="T34" s="187"/>
      <c r="U34" s="189"/>
      <c r="V34" s="187"/>
      <c r="W34" s="187"/>
      <c r="X34" s="187"/>
      <c r="Y34" s="187"/>
      <c r="Z34" s="187"/>
      <c r="AA34" s="187"/>
      <c r="AB34" s="187"/>
      <c r="AC34" s="187"/>
    </row>
    <row r="35" spans="1:29" s="188" customFormat="1" ht="11.25" customHeight="1">
      <c r="A35" s="13"/>
      <c r="B35" s="290">
        <v>45674</v>
      </c>
      <c r="C35" s="19" t="s">
        <v>57</v>
      </c>
      <c r="D35" s="32"/>
      <c r="E35" s="35">
        <v>10</v>
      </c>
      <c r="F35" s="35" t="s">
        <v>32</v>
      </c>
      <c r="G35" s="14"/>
      <c r="H35" s="22"/>
      <c r="I35" s="21"/>
      <c r="J35" s="21"/>
      <c r="K35" s="292">
        <v>6000</v>
      </c>
      <c r="L35" s="293">
        <f>'[2]통장내역(환율표)'!$D$246</f>
        <v>7.3190999922785887</v>
      </c>
      <c r="M35" s="303">
        <f t="shared" si="9"/>
        <v>819.77292376519028</v>
      </c>
      <c r="N35" s="295">
        <f t="shared" si="5"/>
        <v>452119.39000000019</v>
      </c>
      <c r="O35" s="295">
        <f t="shared" si="6"/>
        <v>61776.170036446078</v>
      </c>
      <c r="P35" s="296" t="s">
        <v>56</v>
      </c>
      <c r="Q35" s="297"/>
      <c r="R35" s="297"/>
      <c r="S35" s="298">
        <f t="shared" si="10"/>
        <v>61776.168974193111</v>
      </c>
      <c r="T35" s="187"/>
      <c r="U35" s="189"/>
      <c r="V35" s="187"/>
      <c r="W35" s="187"/>
      <c r="X35" s="187"/>
      <c r="Y35" s="187"/>
      <c r="Z35" s="187"/>
      <c r="AA35" s="187"/>
      <c r="AB35" s="187"/>
      <c r="AC35" s="187"/>
    </row>
    <row r="36" spans="1:29" s="188" customFormat="1" ht="11.25" customHeight="1">
      <c r="A36" s="13"/>
      <c r="B36" s="290">
        <v>45674</v>
      </c>
      <c r="C36" s="19" t="s">
        <v>58</v>
      </c>
      <c r="D36" s="32"/>
      <c r="E36" s="35">
        <v>10</v>
      </c>
      <c r="F36" s="35" t="s">
        <v>32</v>
      </c>
      <c r="G36" s="14"/>
      <c r="H36" s="22"/>
      <c r="I36" s="21"/>
      <c r="J36" s="21"/>
      <c r="K36" s="292">
        <v>510</v>
      </c>
      <c r="L36" s="293">
        <f>'[2]통장내역(환율표)'!$D$246</f>
        <v>7.3190999922785887</v>
      </c>
      <c r="M36" s="303">
        <f t="shared" si="9"/>
        <v>69.680698520041176</v>
      </c>
      <c r="N36" s="295">
        <f t="shared" si="5"/>
        <v>451609.39000000019</v>
      </c>
      <c r="O36" s="295">
        <f t="shared" si="6"/>
        <v>61706.489337926039</v>
      </c>
      <c r="P36" s="296" t="s">
        <v>56</v>
      </c>
      <c r="Q36" s="297"/>
      <c r="R36" s="297"/>
      <c r="S36" s="298">
        <f t="shared" si="10"/>
        <v>61706.488275673073</v>
      </c>
      <c r="T36" s="187"/>
      <c r="U36" s="189"/>
      <c r="V36" s="187"/>
      <c r="W36" s="187"/>
      <c r="X36" s="187"/>
      <c r="Y36" s="187"/>
      <c r="Z36" s="187"/>
      <c r="AA36" s="187"/>
      <c r="AB36" s="187"/>
      <c r="AC36" s="187"/>
    </row>
    <row r="37" spans="1:29" s="188" customFormat="1" ht="11.25" customHeight="1">
      <c r="A37" s="13"/>
      <c r="B37" s="290">
        <v>45674</v>
      </c>
      <c r="C37" s="19" t="s">
        <v>49</v>
      </c>
      <c r="D37" s="32"/>
      <c r="E37" s="35">
        <v>11</v>
      </c>
      <c r="F37" s="35" t="s">
        <v>32</v>
      </c>
      <c r="G37" s="14"/>
      <c r="H37" s="22"/>
      <c r="I37" s="21"/>
      <c r="J37" s="21"/>
      <c r="K37" s="292">
        <v>7.2</v>
      </c>
      <c r="L37" s="293">
        <f>'[2]통장내역(환율표)'!$D$246</f>
        <v>7.3190999922785887</v>
      </c>
      <c r="M37" s="303">
        <f t="shared" si="9"/>
        <v>0.98372750851822832</v>
      </c>
      <c r="N37" s="295">
        <f t="shared" si="5"/>
        <v>451602.19000000018</v>
      </c>
      <c r="O37" s="295">
        <f t="shared" si="6"/>
        <v>61705.505610417524</v>
      </c>
      <c r="P37" s="296" t="s">
        <v>56</v>
      </c>
      <c r="Q37" s="297"/>
      <c r="R37" s="297"/>
      <c r="S37" s="298">
        <f t="shared" si="10"/>
        <v>61705.504548164557</v>
      </c>
      <c r="T37" s="187"/>
      <c r="U37" s="189"/>
      <c r="V37" s="187"/>
      <c r="W37" s="187"/>
      <c r="X37" s="187"/>
      <c r="Y37" s="187"/>
      <c r="Z37" s="187"/>
      <c r="AA37" s="187"/>
      <c r="AB37" s="187"/>
      <c r="AC37" s="187"/>
    </row>
    <row r="38" spans="1:29" s="188" customFormat="1" ht="11.25" customHeight="1">
      <c r="A38" s="13"/>
      <c r="B38" s="290">
        <v>45674</v>
      </c>
      <c r="C38" s="19" t="s">
        <v>59</v>
      </c>
      <c r="D38" s="32"/>
      <c r="E38" s="35">
        <v>12</v>
      </c>
      <c r="F38" s="35" t="s">
        <v>30</v>
      </c>
      <c r="G38" s="14" t="s">
        <v>31</v>
      </c>
      <c r="H38" s="22"/>
      <c r="I38" s="21"/>
      <c r="J38" s="21"/>
      <c r="K38" s="292">
        <v>417.84</v>
      </c>
      <c r="L38" s="293">
        <f>'[2]통장내역(환율표)'!$D$246</f>
        <v>7.3190999922785887</v>
      </c>
      <c r="M38" s="303">
        <f t="shared" si="9"/>
        <v>57.088986411007845</v>
      </c>
      <c r="N38" s="295">
        <f t="shared" si="5"/>
        <v>451184.35000000015</v>
      </c>
      <c r="O38" s="295">
        <f t="shared" si="6"/>
        <v>61648.416624006517</v>
      </c>
      <c r="P38" s="296" t="s">
        <v>56</v>
      </c>
      <c r="Q38" s="297"/>
      <c r="R38" s="297" t="s">
        <v>60</v>
      </c>
      <c r="S38" s="298">
        <f t="shared" si="10"/>
        <v>61648.415561753551</v>
      </c>
      <c r="T38" s="187"/>
      <c r="U38" s="189"/>
      <c r="V38" s="187"/>
      <c r="W38" s="187"/>
      <c r="X38" s="187"/>
      <c r="Y38" s="187"/>
      <c r="Z38" s="187"/>
      <c r="AA38" s="187"/>
      <c r="AB38" s="187"/>
      <c r="AC38" s="187"/>
    </row>
    <row r="39" spans="1:29" s="188" customFormat="1" ht="11.25" customHeight="1">
      <c r="A39" s="13"/>
      <c r="B39" s="290">
        <v>45674</v>
      </c>
      <c r="C39" s="19" t="s">
        <v>49</v>
      </c>
      <c r="D39" s="32"/>
      <c r="E39" s="35">
        <v>13</v>
      </c>
      <c r="F39" s="35" t="s">
        <v>32</v>
      </c>
      <c r="G39" s="14"/>
      <c r="H39" s="22"/>
      <c r="I39" s="21"/>
      <c r="J39" s="21"/>
      <c r="K39" s="292">
        <v>3.6</v>
      </c>
      <c r="L39" s="293">
        <f>'[2]통장내역(환율표)'!$D$246</f>
        <v>7.3190999922785887</v>
      </c>
      <c r="M39" s="303">
        <f t="shared" si="9"/>
        <v>0.49186375425911416</v>
      </c>
      <c r="N39" s="295">
        <f t="shared" si="5"/>
        <v>451180.75000000017</v>
      </c>
      <c r="O39" s="295">
        <f t="shared" si="6"/>
        <v>61647.924760252259</v>
      </c>
      <c r="P39" s="296" t="s">
        <v>56</v>
      </c>
      <c r="Q39" s="297"/>
      <c r="R39" s="297" t="s">
        <v>60</v>
      </c>
      <c r="S39" s="298">
        <f t="shared" si="10"/>
        <v>61647.923697999293</v>
      </c>
      <c r="T39" s="187"/>
      <c r="U39" s="189"/>
      <c r="V39" s="187"/>
      <c r="W39" s="187"/>
      <c r="X39" s="187"/>
      <c r="Y39" s="187"/>
      <c r="Z39" s="187"/>
      <c r="AA39" s="187"/>
      <c r="AB39" s="187"/>
      <c r="AC39" s="187"/>
    </row>
    <row r="40" spans="1:29" s="188" customFormat="1" ht="11.25" customHeight="1">
      <c r="A40" s="13"/>
      <c r="B40" s="290">
        <v>45674</v>
      </c>
      <c r="C40" s="19" t="s">
        <v>61</v>
      </c>
      <c r="D40" s="32"/>
      <c r="E40" s="35">
        <v>14</v>
      </c>
      <c r="F40" s="35" t="s">
        <v>25</v>
      </c>
      <c r="G40" s="14" t="s">
        <v>26</v>
      </c>
      <c r="H40" s="22"/>
      <c r="I40" s="21"/>
      <c r="J40" s="21"/>
      <c r="K40" s="292">
        <v>2579.69</v>
      </c>
      <c r="L40" s="293">
        <f>'[2]통장내역(환율표)'!$D$246</f>
        <v>7.3190999922785887</v>
      </c>
      <c r="M40" s="303">
        <f t="shared" si="9"/>
        <v>352.46000228463726</v>
      </c>
      <c r="N40" s="295">
        <f t="shared" si="5"/>
        <v>448601.06000000017</v>
      </c>
      <c r="O40" s="295">
        <f t="shared" si="6"/>
        <v>61295.464757967624</v>
      </c>
      <c r="P40" s="296" t="s">
        <v>56</v>
      </c>
      <c r="Q40" s="297"/>
      <c r="R40" s="297" t="s">
        <v>62</v>
      </c>
      <c r="S40" s="298">
        <f t="shared" si="10"/>
        <v>61295.463695714658</v>
      </c>
      <c r="T40" s="187"/>
      <c r="U40" s="189"/>
      <c r="V40" s="187"/>
      <c r="W40" s="187"/>
      <c r="X40" s="187"/>
      <c r="Y40" s="187"/>
      <c r="Z40" s="187"/>
      <c r="AA40" s="187"/>
      <c r="AB40" s="187"/>
      <c r="AC40" s="187"/>
    </row>
    <row r="41" spans="1:29" s="188" customFormat="1" ht="11.25" customHeight="1">
      <c r="A41" s="13"/>
      <c r="B41" s="290">
        <v>45674</v>
      </c>
      <c r="C41" s="19" t="s">
        <v>63</v>
      </c>
      <c r="D41" s="32"/>
      <c r="E41" s="35">
        <v>15</v>
      </c>
      <c r="F41" s="35" t="s">
        <v>25</v>
      </c>
      <c r="G41" s="14" t="s">
        <v>26</v>
      </c>
      <c r="H41" s="22"/>
      <c r="I41" s="21"/>
      <c r="J41" s="21"/>
      <c r="K41" s="292">
        <v>178.26</v>
      </c>
      <c r="L41" s="293">
        <f>'[2]통장내역(환율표)'!$D$246</f>
        <v>7.3190999922785887</v>
      </c>
      <c r="M41" s="303">
        <f t="shared" si="9"/>
        <v>24.355453565063801</v>
      </c>
      <c r="N41" s="295">
        <f t="shared" si="5"/>
        <v>448422.80000000016</v>
      </c>
      <c r="O41" s="295">
        <f t="shared" si="6"/>
        <v>61271.109304402562</v>
      </c>
      <c r="P41" s="296" t="s">
        <v>56</v>
      </c>
      <c r="Q41" s="297"/>
      <c r="R41" s="297" t="s">
        <v>62</v>
      </c>
      <c r="S41" s="298">
        <f t="shared" si="10"/>
        <v>61271.108242149596</v>
      </c>
      <c r="T41" s="187"/>
      <c r="U41" s="189"/>
      <c r="V41" s="187"/>
      <c r="W41" s="187"/>
      <c r="X41" s="187"/>
      <c r="Y41" s="187"/>
      <c r="Z41" s="187"/>
      <c r="AA41" s="187"/>
      <c r="AB41" s="187"/>
      <c r="AC41" s="187"/>
    </row>
    <row r="42" spans="1:29" s="188" customFormat="1" ht="11.25" customHeight="1">
      <c r="A42" s="13"/>
      <c r="B42" s="290">
        <v>45674</v>
      </c>
      <c r="C42" s="19" t="s">
        <v>64</v>
      </c>
      <c r="D42" s="32"/>
      <c r="E42" s="20">
        <v>16</v>
      </c>
      <c r="F42" s="14" t="s">
        <v>32</v>
      </c>
      <c r="G42" s="14"/>
      <c r="H42" s="22"/>
      <c r="I42" s="21"/>
      <c r="J42" s="21"/>
      <c r="K42" s="292">
        <v>141.69999999999999</v>
      </c>
      <c r="L42" s="293">
        <f>'[2]통장내역(환율표)'!$D$246</f>
        <v>7.3190999922785887</v>
      </c>
      <c r="M42" s="303">
        <f t="shared" si="9"/>
        <v>19.36030388292124</v>
      </c>
      <c r="N42" s="295">
        <f t="shared" si="5"/>
        <v>448281.10000000015</v>
      </c>
      <c r="O42" s="295">
        <f t="shared" si="6"/>
        <v>61251.749000519638</v>
      </c>
      <c r="P42" s="296" t="s">
        <v>56</v>
      </c>
      <c r="Q42" s="297"/>
      <c r="R42" s="297" t="s">
        <v>62</v>
      </c>
      <c r="S42" s="298">
        <f t="shared" si="10"/>
        <v>61251.747938266672</v>
      </c>
      <c r="T42" s="187"/>
      <c r="U42" s="189"/>
      <c r="V42" s="187"/>
      <c r="W42" s="187"/>
      <c r="X42" s="187"/>
      <c r="Y42" s="187"/>
      <c r="Z42" s="187"/>
      <c r="AA42" s="187"/>
      <c r="AB42" s="187"/>
      <c r="AC42" s="187"/>
    </row>
    <row r="43" spans="1:29" s="188" customFormat="1" ht="11.25" customHeight="1">
      <c r="A43" s="13"/>
      <c r="B43" s="290">
        <v>45674</v>
      </c>
      <c r="C43" s="19" t="s">
        <v>30</v>
      </c>
      <c r="D43" s="32"/>
      <c r="E43" s="20">
        <v>17</v>
      </c>
      <c r="F43" s="14" t="s">
        <v>30</v>
      </c>
      <c r="G43" s="14" t="s">
        <v>31</v>
      </c>
      <c r="H43" s="22"/>
      <c r="I43" s="21"/>
      <c r="J43" s="21"/>
      <c r="K43" s="292">
        <v>98.8</v>
      </c>
      <c r="L43" s="293">
        <f>'[2]통장내역(환율표)'!$D$246</f>
        <v>7.3190999922785887</v>
      </c>
      <c r="M43" s="303">
        <f t="shared" si="9"/>
        <v>13.498927478000132</v>
      </c>
      <c r="N43" s="295">
        <f t="shared" si="5"/>
        <v>448182.30000000016</v>
      </c>
      <c r="O43" s="295">
        <f t="shared" si="6"/>
        <v>61238.250073041636</v>
      </c>
      <c r="P43" s="296" t="s">
        <v>56</v>
      </c>
      <c r="Q43" s="297"/>
      <c r="R43" s="297" t="s">
        <v>62</v>
      </c>
      <c r="S43" s="298">
        <f t="shared" si="10"/>
        <v>61238.24901078867</v>
      </c>
      <c r="T43" s="187"/>
      <c r="U43" s="189"/>
      <c r="V43" s="187"/>
      <c r="W43" s="187"/>
      <c r="X43" s="187"/>
      <c r="Y43" s="187"/>
      <c r="Z43" s="187"/>
      <c r="AA43" s="187"/>
      <c r="AB43" s="187"/>
      <c r="AC43" s="187"/>
    </row>
    <row r="44" spans="1:29" s="188" customFormat="1" ht="11.25" customHeight="1">
      <c r="A44" s="13"/>
      <c r="B44" s="290">
        <v>45674</v>
      </c>
      <c r="C44" s="19" t="s">
        <v>49</v>
      </c>
      <c r="D44" s="32"/>
      <c r="E44" s="20">
        <v>18</v>
      </c>
      <c r="F44" s="14" t="s">
        <v>32</v>
      </c>
      <c r="G44" s="14"/>
      <c r="H44" s="22"/>
      <c r="I44" s="21"/>
      <c r="J44" s="21"/>
      <c r="K44" s="292">
        <v>3.6</v>
      </c>
      <c r="L44" s="293">
        <f>'[2]통장내역(환율표)'!$D$246</f>
        <v>7.3190999922785887</v>
      </c>
      <c r="M44" s="303">
        <f t="shared" si="9"/>
        <v>0.49186375425911416</v>
      </c>
      <c r="N44" s="295">
        <f t="shared" si="5"/>
        <v>448178.70000000019</v>
      </c>
      <c r="O44" s="295">
        <f t="shared" si="6"/>
        <v>61237.758209287378</v>
      </c>
      <c r="P44" s="296" t="s">
        <v>56</v>
      </c>
      <c r="Q44" s="297"/>
      <c r="R44" s="297" t="s">
        <v>62</v>
      </c>
      <c r="S44" s="298">
        <f t="shared" si="10"/>
        <v>61237.757147034412</v>
      </c>
      <c r="T44" s="187"/>
      <c r="U44" s="189"/>
      <c r="V44" s="187"/>
      <c r="W44" s="187"/>
      <c r="X44" s="187"/>
      <c r="Y44" s="187"/>
      <c r="Z44" s="187"/>
      <c r="AA44" s="187"/>
      <c r="AB44" s="187"/>
      <c r="AC44" s="187"/>
    </row>
    <row r="45" spans="1:29" s="188" customFormat="1" ht="11.25" customHeight="1">
      <c r="A45" s="13"/>
      <c r="B45" s="290">
        <v>45674</v>
      </c>
      <c r="C45" s="19" t="s">
        <v>30</v>
      </c>
      <c r="D45" s="32"/>
      <c r="E45" s="20">
        <v>19</v>
      </c>
      <c r="F45" s="14" t="s">
        <v>30</v>
      </c>
      <c r="G45" s="14" t="s">
        <v>31</v>
      </c>
      <c r="H45" s="22"/>
      <c r="I45" s="21"/>
      <c r="J45" s="21"/>
      <c r="K45" s="292">
        <v>300</v>
      </c>
      <c r="L45" s="293">
        <f>'[2]통장내역(환율표)'!$D$246</f>
        <v>7.3190999922785887</v>
      </c>
      <c r="M45" s="303">
        <f t="shared" si="9"/>
        <v>40.988646188259516</v>
      </c>
      <c r="N45" s="295">
        <f t="shared" si="5"/>
        <v>447878.70000000019</v>
      </c>
      <c r="O45" s="295">
        <f t="shared" si="6"/>
        <v>61196.769563099122</v>
      </c>
      <c r="P45" s="296" t="s">
        <v>56</v>
      </c>
      <c r="Q45" s="297"/>
      <c r="R45" s="297" t="s">
        <v>65</v>
      </c>
      <c r="S45" s="298">
        <f t="shared" si="10"/>
        <v>61196.768500846156</v>
      </c>
      <c r="T45" s="187"/>
      <c r="U45" s="189"/>
      <c r="V45" s="187"/>
      <c r="W45" s="187"/>
      <c r="X45" s="187"/>
      <c r="Y45" s="187"/>
      <c r="Z45" s="187"/>
      <c r="AA45" s="187"/>
      <c r="AB45" s="187"/>
      <c r="AC45" s="187"/>
    </row>
    <row r="46" spans="1:29" s="188" customFormat="1" ht="11.25" customHeight="1">
      <c r="A46" s="13"/>
      <c r="B46" s="290">
        <v>45674</v>
      </c>
      <c r="C46" s="19" t="s">
        <v>66</v>
      </c>
      <c r="D46" s="32"/>
      <c r="E46" s="14">
        <v>20</v>
      </c>
      <c r="F46" s="14" t="s">
        <v>25</v>
      </c>
      <c r="G46" s="14" t="s">
        <v>26</v>
      </c>
      <c r="H46" s="14"/>
      <c r="I46" s="14"/>
      <c r="J46" s="14"/>
      <c r="K46" s="292">
        <v>133.68</v>
      </c>
      <c r="L46" s="293">
        <f>'[2]통장내역(환율표)'!$D$246</f>
        <v>7.3190999922785887</v>
      </c>
      <c r="M46" s="303">
        <f t="shared" si="9"/>
        <v>18.264540741488439</v>
      </c>
      <c r="N46" s="295">
        <f t="shared" si="5"/>
        <v>447745.02000000019</v>
      </c>
      <c r="O46" s="295">
        <f t="shared" si="6"/>
        <v>61178.505022357633</v>
      </c>
      <c r="P46" s="296" t="s">
        <v>56</v>
      </c>
      <c r="Q46" s="297"/>
      <c r="R46" s="297" t="s">
        <v>65</v>
      </c>
      <c r="S46" s="298">
        <f t="shared" si="10"/>
        <v>61178.503960104666</v>
      </c>
      <c r="T46" s="187"/>
      <c r="U46" s="189"/>
      <c r="V46" s="187"/>
      <c r="W46" s="187"/>
      <c r="X46" s="187"/>
      <c r="Y46" s="187"/>
      <c r="Z46" s="187"/>
      <c r="AA46" s="187"/>
      <c r="AB46" s="187"/>
      <c r="AC46" s="187"/>
    </row>
    <row r="47" spans="1:29" s="188" customFormat="1" ht="11.25" customHeight="1">
      <c r="A47" s="13"/>
      <c r="B47" s="290">
        <v>45674</v>
      </c>
      <c r="C47" s="19" t="s">
        <v>64</v>
      </c>
      <c r="D47" s="32"/>
      <c r="E47" s="14">
        <v>21</v>
      </c>
      <c r="F47" s="14" t="s">
        <v>32</v>
      </c>
      <c r="G47" s="14"/>
      <c r="H47" s="14"/>
      <c r="I47" s="14"/>
      <c r="J47" s="14"/>
      <c r="K47" s="292">
        <v>436.9</v>
      </c>
      <c r="L47" s="293">
        <f>'[2]통장내역(환율표)'!$D$246</f>
        <v>7.3190999922785887</v>
      </c>
      <c r="M47" s="303">
        <f t="shared" si="9"/>
        <v>59.693131732168602</v>
      </c>
      <c r="N47" s="295">
        <f t="shared" si="5"/>
        <v>447308.12000000017</v>
      </c>
      <c r="O47" s="295">
        <f t="shared" si="6"/>
        <v>61118.811890625468</v>
      </c>
      <c r="P47" s="296" t="s">
        <v>56</v>
      </c>
      <c r="Q47" s="297"/>
      <c r="R47" s="297" t="s">
        <v>65</v>
      </c>
      <c r="S47" s="298">
        <f t="shared" si="10"/>
        <v>61118.810828372501</v>
      </c>
      <c r="T47" s="187"/>
      <c r="U47" s="189"/>
      <c r="V47" s="187"/>
      <c r="W47" s="187"/>
      <c r="X47" s="187"/>
      <c r="Y47" s="187"/>
      <c r="Z47" s="187"/>
      <c r="AA47" s="187"/>
      <c r="AB47" s="187"/>
      <c r="AC47" s="187"/>
    </row>
    <row r="48" spans="1:29" s="188" customFormat="1" ht="11.25" customHeight="1">
      <c r="A48" s="13"/>
      <c r="B48" s="290">
        <v>45674</v>
      </c>
      <c r="C48" s="19" t="s">
        <v>67</v>
      </c>
      <c r="D48" s="32"/>
      <c r="E48" s="14">
        <v>22</v>
      </c>
      <c r="F48" s="14" t="s">
        <v>32</v>
      </c>
      <c r="G48" s="14"/>
      <c r="H48" s="14"/>
      <c r="I48" s="14"/>
      <c r="J48" s="14"/>
      <c r="K48" s="292">
        <v>265.7</v>
      </c>
      <c r="L48" s="293">
        <f>'[2]통장내역(환율표)'!$D$246</f>
        <v>7.3190999922785887</v>
      </c>
      <c r="M48" s="303">
        <f t="shared" si="9"/>
        <v>36.30227764073517</v>
      </c>
      <c r="N48" s="295">
        <f t="shared" si="5"/>
        <v>447042.42000000016</v>
      </c>
      <c r="O48" s="295">
        <f t="shared" si="6"/>
        <v>61082.50961298473</v>
      </c>
      <c r="P48" s="296" t="s">
        <v>56</v>
      </c>
      <c r="Q48" s="297"/>
      <c r="R48" s="297" t="s">
        <v>65</v>
      </c>
      <c r="S48" s="298">
        <f t="shared" si="10"/>
        <v>61082.508550731764</v>
      </c>
      <c r="T48" s="187"/>
      <c r="U48" s="189"/>
      <c r="V48" s="187"/>
      <c r="W48" s="187"/>
      <c r="X48" s="187"/>
      <c r="Y48" s="187"/>
      <c r="Z48" s="187"/>
      <c r="AA48" s="187"/>
      <c r="AB48" s="187"/>
      <c r="AC48" s="187"/>
    </row>
    <row r="49" spans="1:29" s="188" customFormat="1" ht="11.25" customHeight="1">
      <c r="A49" s="13"/>
      <c r="B49" s="290">
        <v>45674</v>
      </c>
      <c r="C49" s="19" t="s">
        <v>49</v>
      </c>
      <c r="D49" s="32"/>
      <c r="E49" s="14">
        <v>23</v>
      </c>
      <c r="F49" s="14" t="s">
        <v>32</v>
      </c>
      <c r="G49" s="14"/>
      <c r="H49" s="14"/>
      <c r="I49" s="14"/>
      <c r="J49" s="14"/>
      <c r="K49" s="292">
        <v>3.6</v>
      </c>
      <c r="L49" s="293">
        <f>'[2]통장내역(환율표)'!$D$246</f>
        <v>7.3190999922785887</v>
      </c>
      <c r="M49" s="303">
        <f t="shared" si="9"/>
        <v>0.49186375425911416</v>
      </c>
      <c r="N49" s="295">
        <f t="shared" si="5"/>
        <v>447038.82000000018</v>
      </c>
      <c r="O49" s="295">
        <f t="shared" si="6"/>
        <v>61082.017749230472</v>
      </c>
      <c r="P49" s="296" t="s">
        <v>56</v>
      </c>
      <c r="Q49" s="297"/>
      <c r="R49" s="297" t="s">
        <v>65</v>
      </c>
      <c r="S49" s="298">
        <f t="shared" si="10"/>
        <v>61082.016686977506</v>
      </c>
      <c r="T49" s="187"/>
      <c r="U49" s="189"/>
      <c r="V49" s="187"/>
      <c r="W49" s="187"/>
      <c r="X49" s="187"/>
      <c r="Y49" s="187"/>
      <c r="Z49" s="187"/>
      <c r="AA49" s="187"/>
      <c r="AB49" s="187"/>
      <c r="AC49" s="187"/>
    </row>
    <row r="50" spans="1:29" s="188" customFormat="1" ht="11.25" customHeight="1">
      <c r="A50" s="13"/>
      <c r="B50" s="290">
        <v>45674</v>
      </c>
      <c r="C50" s="27" t="s">
        <v>68</v>
      </c>
      <c r="D50" s="32"/>
      <c r="E50" s="14">
        <v>24</v>
      </c>
      <c r="F50" s="14" t="s">
        <v>25</v>
      </c>
      <c r="G50" s="14" t="s">
        <v>26</v>
      </c>
      <c r="H50" s="14"/>
      <c r="I50" s="14"/>
      <c r="J50" s="14"/>
      <c r="K50" s="292">
        <v>175.6</v>
      </c>
      <c r="L50" s="293">
        <f>'[2]통장내역(환율표)'!$D$246</f>
        <v>7.3190999922785887</v>
      </c>
      <c r="M50" s="303">
        <f t="shared" si="9"/>
        <v>23.992020902194568</v>
      </c>
      <c r="N50" s="295">
        <f t="shared" si="5"/>
        <v>446863.2200000002</v>
      </c>
      <c r="O50" s="295">
        <f t="shared" si="6"/>
        <v>61058.025728328277</v>
      </c>
      <c r="P50" s="296" t="s">
        <v>56</v>
      </c>
      <c r="Q50" s="297"/>
      <c r="R50" s="297" t="s">
        <v>69</v>
      </c>
      <c r="S50" s="298">
        <f t="shared" si="10"/>
        <v>61058.024666075311</v>
      </c>
      <c r="T50" s="187"/>
      <c r="U50" s="189"/>
      <c r="V50" s="187"/>
      <c r="W50" s="187"/>
      <c r="X50" s="187"/>
      <c r="Y50" s="187"/>
      <c r="Z50" s="187"/>
      <c r="AA50" s="187"/>
      <c r="AB50" s="187"/>
      <c r="AC50" s="187"/>
    </row>
    <row r="51" spans="1:29" s="188" customFormat="1" ht="11.25" customHeight="1">
      <c r="A51" s="13"/>
      <c r="B51" s="290">
        <v>45674</v>
      </c>
      <c r="C51" s="27" t="s">
        <v>30</v>
      </c>
      <c r="D51" s="32"/>
      <c r="E51" s="14">
        <v>25</v>
      </c>
      <c r="F51" s="14" t="s">
        <v>30</v>
      </c>
      <c r="G51" s="14" t="s">
        <v>31</v>
      </c>
      <c r="H51" s="14"/>
      <c r="I51" s="14"/>
      <c r="J51" s="14"/>
      <c r="K51" s="292">
        <v>299.2</v>
      </c>
      <c r="L51" s="293">
        <f>'[2]통장내역(환율표)'!$D$246</f>
        <v>7.3190999922785887</v>
      </c>
      <c r="M51" s="303">
        <f t="shared" si="9"/>
        <v>40.879343131757487</v>
      </c>
      <c r="N51" s="295">
        <f t="shared" si="5"/>
        <v>446564.02000000019</v>
      </c>
      <c r="O51" s="295">
        <f t="shared" si="6"/>
        <v>61017.146385196516</v>
      </c>
      <c r="P51" s="296" t="s">
        <v>56</v>
      </c>
      <c r="Q51" s="297"/>
      <c r="R51" s="297" t="s">
        <v>69</v>
      </c>
      <c r="S51" s="298">
        <f t="shared" si="10"/>
        <v>61017.14532294355</v>
      </c>
      <c r="T51" s="187"/>
      <c r="U51" s="189"/>
      <c r="V51" s="187"/>
      <c r="W51" s="187"/>
      <c r="X51" s="187"/>
      <c r="Y51" s="187"/>
      <c r="Z51" s="187"/>
      <c r="AA51" s="187"/>
      <c r="AB51" s="187"/>
      <c r="AC51" s="187"/>
    </row>
    <row r="52" spans="1:29" ht="11.25" customHeight="1">
      <c r="B52" s="290">
        <v>45674</v>
      </c>
      <c r="C52" s="27" t="s">
        <v>64</v>
      </c>
      <c r="D52" s="32"/>
      <c r="E52" s="20">
        <v>26</v>
      </c>
      <c r="F52" s="14" t="s">
        <v>32</v>
      </c>
      <c r="G52" s="14"/>
      <c r="H52" s="14"/>
      <c r="I52" s="14"/>
      <c r="J52" s="14"/>
      <c r="K52" s="292">
        <v>36</v>
      </c>
      <c r="L52" s="293">
        <f>'[2]통장내역(환율표)'!$D$246</f>
        <v>7.3190999922785887</v>
      </c>
      <c r="M52" s="303">
        <f t="shared" si="9"/>
        <v>4.9186375425911413</v>
      </c>
      <c r="N52" s="295">
        <f t="shared" ref="N52:N83" si="11">N51+H52-K52</f>
        <v>446528.02000000019</v>
      </c>
      <c r="O52" s="295">
        <f t="shared" ref="O52:O83" si="12">O51+J52-M52</f>
        <v>61012.227747653924</v>
      </c>
      <c r="P52" s="296" t="s">
        <v>56</v>
      </c>
      <c r="Q52" s="297"/>
      <c r="R52" s="297" t="s">
        <v>69</v>
      </c>
      <c r="S52" s="298">
        <f t="shared" si="10"/>
        <v>61012.226685400958</v>
      </c>
    </row>
    <row r="53" spans="1:29" ht="11.25" customHeight="1">
      <c r="B53" s="290">
        <v>45674</v>
      </c>
      <c r="C53" s="27" t="s">
        <v>23</v>
      </c>
      <c r="D53" s="32"/>
      <c r="E53" s="20">
        <v>27</v>
      </c>
      <c r="F53" s="14" t="s">
        <v>23</v>
      </c>
      <c r="G53" s="14" t="s">
        <v>24</v>
      </c>
      <c r="H53" s="14"/>
      <c r="I53" s="14"/>
      <c r="J53" s="14"/>
      <c r="K53" s="292">
        <v>16527.080000000002</v>
      </c>
      <c r="L53" s="293">
        <f>'[2]통장내역(환율표)'!$D$246</f>
        <v>7.3190999922785887</v>
      </c>
      <c r="M53" s="303">
        <f t="shared" si="9"/>
        <v>2258.0754488168668</v>
      </c>
      <c r="N53" s="295">
        <f t="shared" si="11"/>
        <v>430000.94000000018</v>
      </c>
      <c r="O53" s="295">
        <f t="shared" si="12"/>
        <v>58754.152298837056</v>
      </c>
      <c r="P53" s="296" t="s">
        <v>56</v>
      </c>
      <c r="Q53" s="297"/>
      <c r="R53" s="297" t="s">
        <v>69</v>
      </c>
      <c r="S53" s="298">
        <f t="shared" si="10"/>
        <v>58754.15123658409</v>
      </c>
    </row>
    <row r="54" spans="1:29" ht="11.25" customHeight="1">
      <c r="B54" s="290">
        <v>45674</v>
      </c>
      <c r="C54" s="27" t="s">
        <v>52</v>
      </c>
      <c r="D54" s="32"/>
      <c r="E54" s="20">
        <v>28</v>
      </c>
      <c r="F54" s="14" t="s">
        <v>32</v>
      </c>
      <c r="G54" s="29"/>
      <c r="H54" s="29"/>
      <c r="I54" s="29"/>
      <c r="J54" s="29"/>
      <c r="K54" s="292">
        <v>5746.98</v>
      </c>
      <c r="L54" s="293">
        <f>'[2]통장내역(환율표)'!$D$246</f>
        <v>7.3190999922785887</v>
      </c>
      <c r="M54" s="303">
        <f t="shared" si="9"/>
        <v>785.20309957001211</v>
      </c>
      <c r="N54" s="295">
        <f t="shared" si="11"/>
        <v>424253.9600000002</v>
      </c>
      <c r="O54" s="295">
        <f t="shared" si="12"/>
        <v>57968.949199267045</v>
      </c>
      <c r="P54" s="296" t="s">
        <v>56</v>
      </c>
      <c r="Q54" s="297"/>
      <c r="R54" s="297" t="s">
        <v>70</v>
      </c>
      <c r="S54" s="298">
        <f t="shared" si="10"/>
        <v>57968.948137014078</v>
      </c>
    </row>
    <row r="55" spans="1:29" ht="11.25" customHeight="1">
      <c r="B55" s="290">
        <v>45674</v>
      </c>
      <c r="C55" s="19" t="s">
        <v>49</v>
      </c>
      <c r="D55" s="32"/>
      <c r="E55" s="20">
        <v>29</v>
      </c>
      <c r="F55" s="14" t="s">
        <v>32</v>
      </c>
      <c r="G55" s="29"/>
      <c r="H55" s="29"/>
      <c r="I55" s="29"/>
      <c r="J55" s="29"/>
      <c r="K55" s="292">
        <v>7.2</v>
      </c>
      <c r="L55" s="293">
        <f>'[2]통장내역(환율표)'!$D$246</f>
        <v>7.3190999922785887</v>
      </c>
      <c r="M55" s="303">
        <f t="shared" si="9"/>
        <v>0.98372750851822832</v>
      </c>
      <c r="N55" s="295">
        <f t="shared" si="11"/>
        <v>424246.76000000018</v>
      </c>
      <c r="O55" s="295">
        <f t="shared" si="12"/>
        <v>57967.965471758529</v>
      </c>
      <c r="P55" s="296" t="s">
        <v>56</v>
      </c>
      <c r="Q55" s="297"/>
      <c r="R55" s="297" t="s">
        <v>69</v>
      </c>
      <c r="S55" s="298">
        <f t="shared" si="10"/>
        <v>57967.964409505563</v>
      </c>
    </row>
    <row r="56" spans="1:29" ht="11.25" customHeight="1">
      <c r="B56" s="290">
        <v>45674</v>
      </c>
      <c r="C56" s="27" t="s">
        <v>71</v>
      </c>
      <c r="D56" s="32"/>
      <c r="E56" s="20">
        <v>30</v>
      </c>
      <c r="F56" s="14" t="s">
        <v>25</v>
      </c>
      <c r="G56" s="29" t="s">
        <v>26</v>
      </c>
      <c r="H56" s="29"/>
      <c r="I56" s="29"/>
      <c r="J56" s="29"/>
      <c r="K56" s="292">
        <v>2151</v>
      </c>
      <c r="L56" s="293">
        <f>'[2]통장내역(환율표)'!$D$246</f>
        <v>7.3190999922785887</v>
      </c>
      <c r="M56" s="303">
        <f t="shared" si="9"/>
        <v>293.88859316982069</v>
      </c>
      <c r="N56" s="295">
        <f t="shared" si="11"/>
        <v>422095.76000000018</v>
      </c>
      <c r="O56" s="295">
        <f t="shared" si="12"/>
        <v>57674.076878588705</v>
      </c>
      <c r="P56" s="296" t="s">
        <v>56</v>
      </c>
      <c r="Q56" s="297"/>
      <c r="R56" s="297" t="s">
        <v>72</v>
      </c>
      <c r="S56" s="298">
        <f t="shared" si="10"/>
        <v>57674.075816335739</v>
      </c>
    </row>
    <row r="57" spans="1:29" ht="11.25" customHeight="1">
      <c r="B57" s="290">
        <v>45674</v>
      </c>
      <c r="C57" s="27" t="s">
        <v>73</v>
      </c>
      <c r="D57" s="32"/>
      <c r="E57" s="29">
        <v>31</v>
      </c>
      <c r="F57" s="29" t="s">
        <v>25</v>
      </c>
      <c r="G57" s="29" t="s">
        <v>26</v>
      </c>
      <c r="H57" s="29"/>
      <c r="I57" s="29"/>
      <c r="J57" s="29"/>
      <c r="K57" s="292">
        <v>177</v>
      </c>
      <c r="L57" s="293">
        <f>'[2]통장내역(환율표)'!$D$246</f>
        <v>7.3190999922785887</v>
      </c>
      <c r="M57" s="303">
        <f t="shared" si="9"/>
        <v>24.183301251073111</v>
      </c>
      <c r="N57" s="295">
        <f t="shared" si="11"/>
        <v>421918.76000000018</v>
      </c>
      <c r="O57" s="295">
        <f t="shared" si="12"/>
        <v>57649.893577337629</v>
      </c>
      <c r="P57" s="296" t="s">
        <v>56</v>
      </c>
      <c r="Q57" s="297"/>
      <c r="R57" s="297" t="s">
        <v>72</v>
      </c>
      <c r="S57" s="298">
        <f t="shared" si="10"/>
        <v>57649.892515084663</v>
      </c>
    </row>
    <row r="58" spans="1:29" ht="11.25" customHeight="1">
      <c r="B58" s="290">
        <v>45674</v>
      </c>
      <c r="C58" s="27" t="s">
        <v>74</v>
      </c>
      <c r="D58" s="32"/>
      <c r="E58" s="20">
        <v>32</v>
      </c>
      <c r="F58" s="29" t="s">
        <v>25</v>
      </c>
      <c r="G58" s="29" t="s">
        <v>26</v>
      </c>
      <c r="H58" s="29"/>
      <c r="I58" s="29"/>
      <c r="J58" s="29"/>
      <c r="K58" s="292">
        <v>308</v>
      </c>
      <c r="L58" s="293">
        <f>'[2]통장내역(환율표)'!$D$246</f>
        <v>7.3190999922785887</v>
      </c>
      <c r="M58" s="303">
        <f t="shared" si="9"/>
        <v>42.081676753279766</v>
      </c>
      <c r="N58" s="295">
        <f t="shared" si="11"/>
        <v>421610.76000000018</v>
      </c>
      <c r="O58" s="295">
        <f t="shared" si="12"/>
        <v>57607.811900584347</v>
      </c>
      <c r="P58" s="296" t="s">
        <v>56</v>
      </c>
      <c r="Q58" s="297"/>
      <c r="R58" s="297" t="s">
        <v>72</v>
      </c>
      <c r="S58" s="298">
        <f t="shared" si="10"/>
        <v>57607.810838331381</v>
      </c>
    </row>
    <row r="59" spans="1:29" ht="11.25" customHeight="1">
      <c r="B59" s="290">
        <v>45674</v>
      </c>
      <c r="C59" s="19" t="s">
        <v>49</v>
      </c>
      <c r="D59" s="32"/>
      <c r="E59" s="20">
        <v>33</v>
      </c>
      <c r="F59" s="29" t="s">
        <v>32</v>
      </c>
      <c r="G59" s="29"/>
      <c r="H59" s="29"/>
      <c r="I59" s="29"/>
      <c r="J59" s="29"/>
      <c r="K59" s="292">
        <v>3.6</v>
      </c>
      <c r="L59" s="293">
        <f>'[2]통장내역(환율표)'!$D$246</f>
        <v>7.3190999922785887</v>
      </c>
      <c r="M59" s="303">
        <f t="shared" si="9"/>
        <v>0.49186375425911416</v>
      </c>
      <c r="N59" s="295">
        <f t="shared" si="11"/>
        <v>421607.16000000021</v>
      </c>
      <c r="O59" s="295">
        <f t="shared" si="12"/>
        <v>57607.32003683009</v>
      </c>
      <c r="P59" s="296" t="s">
        <v>56</v>
      </c>
      <c r="Q59" s="297"/>
      <c r="R59" s="297" t="s">
        <v>72</v>
      </c>
      <c r="S59" s="298">
        <f t="shared" si="10"/>
        <v>57607.318974577123</v>
      </c>
    </row>
    <row r="60" spans="1:29" ht="11.25" customHeight="1">
      <c r="B60" s="290">
        <v>45674</v>
      </c>
      <c r="C60" s="27" t="s">
        <v>71</v>
      </c>
      <c r="D60" s="32"/>
      <c r="E60" s="20">
        <v>34</v>
      </c>
      <c r="F60" s="29" t="s">
        <v>25</v>
      </c>
      <c r="G60" s="29" t="s">
        <v>26</v>
      </c>
      <c r="H60" s="29"/>
      <c r="I60" s="29"/>
      <c r="J60" s="29"/>
      <c r="K60" s="292">
        <v>1050</v>
      </c>
      <c r="L60" s="293">
        <f>'[2]통장내역(환율표)'!$D$246</f>
        <v>7.3190999922785887</v>
      </c>
      <c r="M60" s="303">
        <f t="shared" si="9"/>
        <v>143.46026165890828</v>
      </c>
      <c r="N60" s="295">
        <f t="shared" si="11"/>
        <v>420557.16000000021</v>
      </c>
      <c r="O60" s="295">
        <f t="shared" si="12"/>
        <v>57463.859775171179</v>
      </c>
      <c r="P60" s="296" t="s">
        <v>56</v>
      </c>
      <c r="Q60" s="297"/>
      <c r="R60" s="297" t="s">
        <v>75</v>
      </c>
      <c r="S60" s="298">
        <f t="shared" si="10"/>
        <v>57463.858712918212</v>
      </c>
    </row>
    <row r="61" spans="1:29" ht="11.25" customHeight="1">
      <c r="B61" s="290">
        <v>45674</v>
      </c>
      <c r="C61" s="27" t="s">
        <v>74</v>
      </c>
      <c r="D61" s="32"/>
      <c r="E61" s="20">
        <v>35</v>
      </c>
      <c r="F61" s="29" t="s">
        <v>25</v>
      </c>
      <c r="G61" s="29" t="s">
        <v>26</v>
      </c>
      <c r="H61" s="29"/>
      <c r="I61" s="29"/>
      <c r="J61" s="29"/>
      <c r="K61" s="292">
        <v>212</v>
      </c>
      <c r="L61" s="293">
        <f>'[2]통장내역(환율표)'!$D$246</f>
        <v>7.3190999922785887</v>
      </c>
      <c r="M61" s="303">
        <f t="shared" si="9"/>
        <v>28.965309973036721</v>
      </c>
      <c r="N61" s="295">
        <f t="shared" si="11"/>
        <v>420345.16000000021</v>
      </c>
      <c r="O61" s="295">
        <f t="shared" si="12"/>
        <v>57434.894465198144</v>
      </c>
      <c r="P61" s="296" t="s">
        <v>56</v>
      </c>
      <c r="Q61" s="297"/>
      <c r="R61" s="297" t="s">
        <v>75</v>
      </c>
      <c r="S61" s="298">
        <f t="shared" si="10"/>
        <v>57434.893402945178</v>
      </c>
    </row>
    <row r="62" spans="1:29" ht="11.25" customHeight="1">
      <c r="B62" s="290">
        <v>45674</v>
      </c>
      <c r="C62" s="27" t="s">
        <v>73</v>
      </c>
      <c r="D62" s="32"/>
      <c r="E62" s="29">
        <v>36</v>
      </c>
      <c r="F62" s="29" t="s">
        <v>25</v>
      </c>
      <c r="G62" s="29" t="s">
        <v>26</v>
      </c>
      <c r="H62" s="29"/>
      <c r="I62" s="29"/>
      <c r="J62" s="29"/>
      <c r="K62" s="292">
        <v>103</v>
      </c>
      <c r="L62" s="293">
        <f>'[2]통장내역(환율표)'!$D$246</f>
        <v>7.3190999922785887</v>
      </c>
      <c r="M62" s="303">
        <f t="shared" si="9"/>
        <v>14.072768524635766</v>
      </c>
      <c r="N62" s="295">
        <f t="shared" si="11"/>
        <v>420242.16000000021</v>
      </c>
      <c r="O62" s="295">
        <f t="shared" si="12"/>
        <v>57420.821696673505</v>
      </c>
      <c r="P62" s="296" t="s">
        <v>56</v>
      </c>
      <c r="Q62" s="297"/>
      <c r="R62" s="297" t="s">
        <v>75</v>
      </c>
      <c r="S62" s="298">
        <f t="shared" si="10"/>
        <v>57420.820634420539</v>
      </c>
    </row>
    <row r="63" spans="1:29" ht="11.25" customHeight="1">
      <c r="B63" s="290">
        <v>45674</v>
      </c>
      <c r="C63" s="19" t="s">
        <v>49</v>
      </c>
      <c r="D63" s="32"/>
      <c r="E63" s="20">
        <v>37</v>
      </c>
      <c r="F63" s="29" t="s">
        <v>32</v>
      </c>
      <c r="G63" s="29"/>
      <c r="H63" s="29"/>
      <c r="I63" s="29"/>
      <c r="J63" s="29"/>
      <c r="K63" s="292">
        <v>3.6</v>
      </c>
      <c r="L63" s="293">
        <f>'[2]통장내역(환율표)'!$D$246</f>
        <v>7.3190999922785887</v>
      </c>
      <c r="M63" s="303">
        <f t="shared" ref="M63:M94" si="13">K63/L63</f>
        <v>0.49186375425911416</v>
      </c>
      <c r="N63" s="295">
        <f t="shared" si="11"/>
        <v>420238.56000000023</v>
      </c>
      <c r="O63" s="295">
        <f t="shared" si="12"/>
        <v>57420.329832919248</v>
      </c>
      <c r="P63" s="296" t="s">
        <v>56</v>
      </c>
      <c r="Q63" s="297"/>
      <c r="R63" s="297" t="s">
        <v>75</v>
      </c>
      <c r="S63" s="298">
        <f t="shared" si="10"/>
        <v>57420.328770666281</v>
      </c>
    </row>
    <row r="64" spans="1:29" ht="11.25" customHeight="1">
      <c r="B64" s="290">
        <v>45677</v>
      </c>
      <c r="C64" s="27" t="s">
        <v>61</v>
      </c>
      <c r="D64" s="32"/>
      <c r="E64" s="20">
        <v>38</v>
      </c>
      <c r="F64" s="29" t="s">
        <v>25</v>
      </c>
      <c r="G64" s="29" t="s">
        <v>26</v>
      </c>
      <c r="H64" s="29"/>
      <c r="I64" s="29"/>
      <c r="J64" s="29"/>
      <c r="K64" s="292">
        <v>5580.13</v>
      </c>
      <c r="L64" s="293">
        <f>'[2]통장내역(환율표)'!$D$246</f>
        <v>7.3190999922785887</v>
      </c>
      <c r="M64" s="303">
        <f t="shared" si="13"/>
        <v>762.40658084830852</v>
      </c>
      <c r="N64" s="295">
        <f t="shared" si="11"/>
        <v>414658.43000000023</v>
      </c>
      <c r="O64" s="295">
        <f t="shared" si="12"/>
        <v>56657.923252070941</v>
      </c>
      <c r="P64" s="296" t="s">
        <v>56</v>
      </c>
      <c r="Q64" s="297"/>
      <c r="R64" s="297" t="s">
        <v>76</v>
      </c>
      <c r="S64" s="298">
        <f t="shared" ref="S64:S95" si="14">S63-M64</f>
        <v>56657.922189817975</v>
      </c>
    </row>
    <row r="65" spans="2:19" ht="11.25" customHeight="1">
      <c r="B65" s="290">
        <v>45677</v>
      </c>
      <c r="C65" s="27" t="s">
        <v>23</v>
      </c>
      <c r="D65" s="32"/>
      <c r="E65" s="20">
        <v>39</v>
      </c>
      <c r="F65" s="29" t="s">
        <v>23</v>
      </c>
      <c r="G65" s="29" t="s">
        <v>24</v>
      </c>
      <c r="H65" s="29"/>
      <c r="I65" s="29"/>
      <c r="J65" s="29"/>
      <c r="K65" s="292">
        <v>13597</v>
      </c>
      <c r="L65" s="293">
        <f>'[2]통장내역(환율표)'!$D$246</f>
        <v>7.3190999922785887</v>
      </c>
      <c r="M65" s="303">
        <f t="shared" si="13"/>
        <v>1857.7420740725486</v>
      </c>
      <c r="N65" s="295">
        <f t="shared" si="11"/>
        <v>401061.43000000023</v>
      </c>
      <c r="O65" s="295">
        <f t="shared" si="12"/>
        <v>54800.181177998391</v>
      </c>
      <c r="P65" s="296" t="s">
        <v>56</v>
      </c>
      <c r="Q65" s="297"/>
      <c r="R65" s="297" t="s">
        <v>76</v>
      </c>
      <c r="S65" s="298">
        <f t="shared" si="14"/>
        <v>54800.180115745425</v>
      </c>
    </row>
    <row r="66" spans="2:19" ht="11.25" customHeight="1">
      <c r="B66" s="290">
        <v>45677</v>
      </c>
      <c r="C66" s="27" t="s">
        <v>30</v>
      </c>
      <c r="D66" s="32"/>
      <c r="E66" s="20">
        <v>40</v>
      </c>
      <c r="F66" s="29" t="s">
        <v>30</v>
      </c>
      <c r="G66" s="29" t="s">
        <v>31</v>
      </c>
      <c r="H66" s="29"/>
      <c r="I66" s="29"/>
      <c r="J66" s="29"/>
      <c r="K66" s="292">
        <v>297</v>
      </c>
      <c r="L66" s="293">
        <f>'[2]통장내역(환율표)'!$D$246</f>
        <v>7.3190999922785887</v>
      </c>
      <c r="M66" s="303">
        <f t="shared" si="13"/>
        <v>40.578759726376916</v>
      </c>
      <c r="N66" s="295">
        <f t="shared" si="11"/>
        <v>400764.43000000023</v>
      </c>
      <c r="O66" s="295">
        <f t="shared" si="12"/>
        <v>54759.602418272014</v>
      </c>
      <c r="P66" s="296" t="s">
        <v>56</v>
      </c>
      <c r="Q66" s="297"/>
      <c r="R66" s="297" t="s">
        <v>76</v>
      </c>
      <c r="S66" s="298">
        <f t="shared" si="14"/>
        <v>54759.601356019048</v>
      </c>
    </row>
    <row r="67" spans="2:19" ht="11.25" customHeight="1">
      <c r="B67" s="290">
        <v>45677</v>
      </c>
      <c r="C67" s="27" t="s">
        <v>49</v>
      </c>
      <c r="D67" s="32"/>
      <c r="E67" s="14">
        <v>41</v>
      </c>
      <c r="F67" s="14" t="s">
        <v>32</v>
      </c>
      <c r="G67" s="14"/>
      <c r="H67" s="14"/>
      <c r="I67" s="14"/>
      <c r="J67" s="14"/>
      <c r="K67" s="292">
        <v>7.2</v>
      </c>
      <c r="L67" s="293">
        <f>'[2]통장내역(환율표)'!$D$246</f>
        <v>7.3190999922785887</v>
      </c>
      <c r="M67" s="303">
        <f t="shared" si="13"/>
        <v>0.98372750851822832</v>
      </c>
      <c r="N67" s="295">
        <f t="shared" si="11"/>
        <v>400757.23000000021</v>
      </c>
      <c r="O67" s="295">
        <f t="shared" si="12"/>
        <v>54758.618690763498</v>
      </c>
      <c r="P67" s="296" t="s">
        <v>56</v>
      </c>
      <c r="Q67" s="297"/>
      <c r="R67" s="297" t="s">
        <v>76</v>
      </c>
      <c r="S67" s="298">
        <f t="shared" si="14"/>
        <v>54758.617628510532</v>
      </c>
    </row>
    <row r="68" spans="2:19" ht="11.25" customHeight="1">
      <c r="B68" s="290">
        <v>45677</v>
      </c>
      <c r="C68" s="27" t="s">
        <v>61</v>
      </c>
      <c r="D68" s="32"/>
      <c r="E68" s="20">
        <v>42</v>
      </c>
      <c r="F68" s="14" t="s">
        <v>25</v>
      </c>
      <c r="G68" s="14" t="s">
        <v>26</v>
      </c>
      <c r="H68" s="14"/>
      <c r="I68" s="14"/>
      <c r="J68" s="14"/>
      <c r="K68" s="292">
        <v>10595.86</v>
      </c>
      <c r="L68" s="293">
        <f>'[2]통장내역(환율표)'!$D$246</f>
        <v>7.3190999922785887</v>
      </c>
      <c r="M68" s="303">
        <f t="shared" si="13"/>
        <v>1447.6998553344381</v>
      </c>
      <c r="N68" s="295">
        <f t="shared" si="11"/>
        <v>390161.37000000023</v>
      </c>
      <c r="O68" s="295">
        <f t="shared" si="12"/>
        <v>53310.91883542906</v>
      </c>
      <c r="P68" s="296" t="s">
        <v>56</v>
      </c>
      <c r="Q68" s="297"/>
      <c r="R68" s="297" t="s">
        <v>77</v>
      </c>
      <c r="S68" s="298">
        <f t="shared" si="14"/>
        <v>53310.917773176094</v>
      </c>
    </row>
    <row r="69" spans="2:19" ht="11.25" customHeight="1">
      <c r="B69" s="290">
        <v>45677</v>
      </c>
      <c r="C69" s="27" t="s">
        <v>63</v>
      </c>
      <c r="D69" s="32"/>
      <c r="E69" s="20">
        <v>43</v>
      </c>
      <c r="F69" s="14" t="s">
        <v>25</v>
      </c>
      <c r="G69" s="14" t="s">
        <v>26</v>
      </c>
      <c r="H69" s="14"/>
      <c r="I69" s="14"/>
      <c r="J69" s="14"/>
      <c r="K69" s="292">
        <v>163.86</v>
      </c>
      <c r="L69" s="293">
        <f>'[2]통장내역(환율표)'!$D$246</f>
        <v>7.3190999922785887</v>
      </c>
      <c r="M69" s="303">
        <f t="shared" si="13"/>
        <v>22.387998548027348</v>
      </c>
      <c r="N69" s="295">
        <f t="shared" si="11"/>
        <v>389997.51000000024</v>
      </c>
      <c r="O69" s="295">
        <f t="shared" si="12"/>
        <v>53288.530836881029</v>
      </c>
      <c r="P69" s="296" t="s">
        <v>56</v>
      </c>
      <c r="Q69" s="297"/>
      <c r="R69" s="297" t="s">
        <v>77</v>
      </c>
      <c r="S69" s="298">
        <f t="shared" si="14"/>
        <v>53288.529774628063</v>
      </c>
    </row>
    <row r="70" spans="2:19" ht="11.25" customHeight="1">
      <c r="B70" s="290">
        <v>45677</v>
      </c>
      <c r="C70" s="27" t="s">
        <v>78</v>
      </c>
      <c r="D70" s="32"/>
      <c r="E70" s="14">
        <v>44</v>
      </c>
      <c r="F70" s="14" t="s">
        <v>32</v>
      </c>
      <c r="G70" s="14"/>
      <c r="H70" s="14"/>
      <c r="I70" s="14"/>
      <c r="J70" s="14"/>
      <c r="K70" s="292">
        <v>59</v>
      </c>
      <c r="L70" s="293">
        <f>'[2]통장내역(환율표)'!$D$246</f>
        <v>7.3190999922785887</v>
      </c>
      <c r="M70" s="303">
        <f t="shared" si="13"/>
        <v>8.0611004170243703</v>
      </c>
      <c r="N70" s="295">
        <f t="shared" si="11"/>
        <v>389938.51000000024</v>
      </c>
      <c r="O70" s="295">
        <f t="shared" si="12"/>
        <v>53280.469736464001</v>
      </c>
      <c r="P70" s="296" t="s">
        <v>56</v>
      </c>
      <c r="Q70" s="297"/>
      <c r="R70" s="297" t="s">
        <v>77</v>
      </c>
      <c r="S70" s="298">
        <f t="shared" si="14"/>
        <v>53280.468674211035</v>
      </c>
    </row>
    <row r="71" spans="2:19" ht="11.25" customHeight="1">
      <c r="B71" s="290">
        <v>45677</v>
      </c>
      <c r="C71" s="27" t="s">
        <v>49</v>
      </c>
      <c r="D71" s="32"/>
      <c r="E71" s="20">
        <v>45</v>
      </c>
      <c r="F71" s="14" t="s">
        <v>32</v>
      </c>
      <c r="G71" s="14"/>
      <c r="H71" s="14"/>
      <c r="I71" s="14"/>
      <c r="J71" s="14"/>
      <c r="K71" s="292">
        <v>7.2</v>
      </c>
      <c r="L71" s="293">
        <f>'[2]통장내역(환율표)'!$D$246</f>
        <v>7.3190999922785887</v>
      </c>
      <c r="M71" s="303">
        <f t="shared" si="13"/>
        <v>0.98372750851822832</v>
      </c>
      <c r="N71" s="295">
        <f t="shared" si="11"/>
        <v>389931.31000000023</v>
      </c>
      <c r="O71" s="295">
        <f t="shared" si="12"/>
        <v>53279.486008955486</v>
      </c>
      <c r="P71" s="296" t="s">
        <v>56</v>
      </c>
      <c r="Q71" s="297"/>
      <c r="R71" s="297" t="s">
        <v>77</v>
      </c>
      <c r="S71" s="298">
        <f t="shared" si="14"/>
        <v>53279.48494670252</v>
      </c>
    </row>
    <row r="72" spans="2:19" ht="11.25" customHeight="1">
      <c r="B72" s="290">
        <v>45679</v>
      </c>
      <c r="C72" s="27" t="s">
        <v>79</v>
      </c>
      <c r="D72" s="30"/>
      <c r="E72" s="20">
        <v>46</v>
      </c>
      <c r="F72" s="14" t="s">
        <v>32</v>
      </c>
      <c r="G72" s="14"/>
      <c r="H72" s="14"/>
      <c r="I72" s="14"/>
      <c r="J72" s="14"/>
      <c r="K72" s="292">
        <v>15000</v>
      </c>
      <c r="L72" s="293">
        <f>'[2]통장내역(환율표)'!$D$246</f>
        <v>7.3190999922785887</v>
      </c>
      <c r="M72" s="303">
        <f t="shared" si="13"/>
        <v>2049.4323094129754</v>
      </c>
      <c r="N72" s="295">
        <f t="shared" si="11"/>
        <v>374931.31000000023</v>
      </c>
      <c r="O72" s="295">
        <f t="shared" si="12"/>
        <v>51230.053699542514</v>
      </c>
      <c r="P72" s="296" t="s">
        <v>56</v>
      </c>
      <c r="Q72" s="297"/>
      <c r="R72" s="297"/>
      <c r="S72" s="298">
        <f t="shared" si="14"/>
        <v>51230.052637289547</v>
      </c>
    </row>
    <row r="73" spans="2:19" ht="11.25" customHeight="1">
      <c r="B73" s="290">
        <v>45679</v>
      </c>
      <c r="C73" s="19" t="s">
        <v>49</v>
      </c>
      <c r="D73" s="30"/>
      <c r="E73" s="20">
        <v>47</v>
      </c>
      <c r="F73" s="14" t="s">
        <v>32</v>
      </c>
      <c r="G73" s="14"/>
      <c r="H73" s="14"/>
      <c r="I73" s="14"/>
      <c r="J73" s="14"/>
      <c r="K73" s="292">
        <v>7.2</v>
      </c>
      <c r="L73" s="293">
        <f>'[2]통장내역(환율표)'!$D$246</f>
        <v>7.3190999922785887</v>
      </c>
      <c r="M73" s="303">
        <f t="shared" si="13"/>
        <v>0.98372750851822832</v>
      </c>
      <c r="N73" s="295">
        <f t="shared" si="11"/>
        <v>374924.11000000022</v>
      </c>
      <c r="O73" s="295">
        <f t="shared" si="12"/>
        <v>51229.069972033998</v>
      </c>
      <c r="P73" s="296" t="s">
        <v>56</v>
      </c>
      <c r="Q73" s="297"/>
      <c r="R73" s="297"/>
      <c r="S73" s="298">
        <f t="shared" si="14"/>
        <v>51229.068909781032</v>
      </c>
    </row>
    <row r="74" spans="2:19" ht="11.25" customHeight="1">
      <c r="B74" s="290">
        <v>45680</v>
      </c>
      <c r="C74" s="27" t="s">
        <v>80</v>
      </c>
      <c r="D74" s="30"/>
      <c r="E74" s="20">
        <v>48</v>
      </c>
      <c r="F74" s="14" t="s">
        <v>32</v>
      </c>
      <c r="G74" s="14"/>
      <c r="H74" s="14"/>
      <c r="I74" s="14"/>
      <c r="J74" s="14"/>
      <c r="K74" s="292">
        <v>16000</v>
      </c>
      <c r="L74" s="293">
        <f>'[2]통장내역(환율표)'!$D$246</f>
        <v>7.3190999922785887</v>
      </c>
      <c r="M74" s="303">
        <f t="shared" si="13"/>
        <v>2186.0611300405071</v>
      </c>
      <c r="N74" s="295">
        <f t="shared" si="11"/>
        <v>358924.11000000022</v>
      </c>
      <c r="O74" s="295">
        <f t="shared" si="12"/>
        <v>49043.008841993491</v>
      </c>
      <c r="P74" s="296" t="s">
        <v>56</v>
      </c>
      <c r="Q74" s="297"/>
      <c r="R74" s="297" t="s">
        <v>76</v>
      </c>
      <c r="S74" s="298">
        <f t="shared" si="14"/>
        <v>49043.007779740525</v>
      </c>
    </row>
    <row r="75" spans="2:19" ht="11.25" customHeight="1">
      <c r="B75" s="290">
        <v>45680</v>
      </c>
      <c r="C75" s="27" t="s">
        <v>81</v>
      </c>
      <c r="D75" s="30"/>
      <c r="E75" s="20">
        <v>48</v>
      </c>
      <c r="F75" s="14" t="s">
        <v>32</v>
      </c>
      <c r="G75" s="14"/>
      <c r="H75" s="14"/>
      <c r="I75" s="14"/>
      <c r="J75" s="14"/>
      <c r="K75" s="292">
        <v>24000</v>
      </c>
      <c r="L75" s="293">
        <f>'[2]통장내역(환율표)'!$D$246</f>
        <v>7.3190999922785887</v>
      </c>
      <c r="M75" s="303">
        <f t="shared" si="13"/>
        <v>3279.0916950607611</v>
      </c>
      <c r="N75" s="295">
        <f t="shared" si="11"/>
        <v>334924.11000000022</v>
      </c>
      <c r="O75" s="295">
        <f t="shared" si="12"/>
        <v>45763.917146932727</v>
      </c>
      <c r="P75" s="296" t="s">
        <v>56</v>
      </c>
      <c r="Q75" s="297"/>
      <c r="R75" s="297" t="s">
        <v>76</v>
      </c>
      <c r="S75" s="298">
        <f t="shared" si="14"/>
        <v>45763.91608467976</v>
      </c>
    </row>
    <row r="76" spans="2:19" ht="11.25" customHeight="1">
      <c r="B76" s="290">
        <v>45680</v>
      </c>
      <c r="C76" s="27" t="s">
        <v>82</v>
      </c>
      <c r="D76" s="312"/>
      <c r="E76" s="20">
        <v>48</v>
      </c>
      <c r="F76" s="14" t="s">
        <v>32</v>
      </c>
      <c r="G76" s="14"/>
      <c r="H76" s="14"/>
      <c r="I76" s="14"/>
      <c r="J76" s="14"/>
      <c r="K76" s="292">
        <v>5305.19</v>
      </c>
      <c r="L76" s="293">
        <f>'[2]통장내역(환율표)'!$D$246</f>
        <v>7.3190999922785887</v>
      </c>
      <c r="M76" s="303">
        <f t="shared" si="13"/>
        <v>724.84185290497487</v>
      </c>
      <c r="N76" s="295">
        <f t="shared" si="11"/>
        <v>329618.92000000022</v>
      </c>
      <c r="O76" s="295">
        <f t="shared" si="12"/>
        <v>45039.075294027753</v>
      </c>
      <c r="P76" s="296" t="s">
        <v>56</v>
      </c>
      <c r="Q76" s="297"/>
      <c r="R76" s="297" t="s">
        <v>76</v>
      </c>
      <c r="S76" s="298">
        <f t="shared" si="14"/>
        <v>45039.074231774786</v>
      </c>
    </row>
    <row r="77" spans="2:19" ht="11.25" customHeight="1">
      <c r="B77" s="290">
        <v>45680</v>
      </c>
      <c r="C77" s="27" t="s">
        <v>83</v>
      </c>
      <c r="D77" s="312"/>
      <c r="E77" s="20">
        <v>48</v>
      </c>
      <c r="F77" s="14" t="s">
        <v>32</v>
      </c>
      <c r="G77" s="14"/>
      <c r="H77" s="14"/>
      <c r="I77" s="14"/>
      <c r="J77" s="14"/>
      <c r="K77" s="292">
        <v>1001.04</v>
      </c>
      <c r="L77" s="293">
        <f>'[2]통장내역(환율표)'!$D$246</f>
        <v>7.3190999922785887</v>
      </c>
      <c r="M77" s="303">
        <f t="shared" si="13"/>
        <v>136.77091460098433</v>
      </c>
      <c r="N77" s="295">
        <f t="shared" si="11"/>
        <v>328617.88000000024</v>
      </c>
      <c r="O77" s="295">
        <f t="shared" si="12"/>
        <v>44902.304379426765</v>
      </c>
      <c r="P77" s="296" t="s">
        <v>56</v>
      </c>
      <c r="Q77" s="297"/>
      <c r="R77" s="297" t="s">
        <v>76</v>
      </c>
      <c r="S77" s="298">
        <f t="shared" si="14"/>
        <v>44902.303317173799</v>
      </c>
    </row>
    <row r="78" spans="2:19" ht="11.25" customHeight="1">
      <c r="B78" s="290">
        <v>45680</v>
      </c>
      <c r="C78" s="27" t="s">
        <v>84</v>
      </c>
      <c r="D78" s="312"/>
      <c r="E78" s="20">
        <v>48</v>
      </c>
      <c r="F78" s="14" t="s">
        <v>32</v>
      </c>
      <c r="G78" s="14"/>
      <c r="H78" s="14"/>
      <c r="I78" s="14"/>
      <c r="J78" s="14"/>
      <c r="K78" s="292">
        <v>300</v>
      </c>
      <c r="L78" s="293">
        <f>'[2]통장내역(환율표)'!$D$246</f>
        <v>7.3190999922785887</v>
      </c>
      <c r="M78" s="303">
        <f t="shared" si="13"/>
        <v>40.988646188259516</v>
      </c>
      <c r="N78" s="295">
        <f t="shared" si="11"/>
        <v>328317.88000000024</v>
      </c>
      <c r="O78" s="295">
        <f t="shared" si="12"/>
        <v>44861.315733238509</v>
      </c>
      <c r="P78" s="296" t="s">
        <v>56</v>
      </c>
      <c r="Q78" s="297"/>
      <c r="R78" s="297" t="s">
        <v>76</v>
      </c>
      <c r="S78" s="298">
        <f t="shared" si="14"/>
        <v>44861.314670985543</v>
      </c>
    </row>
    <row r="79" spans="2:19" ht="11.25" customHeight="1">
      <c r="B79" s="290">
        <v>45680</v>
      </c>
      <c r="C79" s="27" t="s">
        <v>80</v>
      </c>
      <c r="D79" s="312"/>
      <c r="E79" s="20">
        <v>48</v>
      </c>
      <c r="F79" s="14" t="s">
        <v>32</v>
      </c>
      <c r="G79" s="14"/>
      <c r="H79" s="14"/>
      <c r="I79" s="14"/>
      <c r="J79" s="14"/>
      <c r="K79" s="292">
        <v>16000</v>
      </c>
      <c r="L79" s="293">
        <f>'[2]통장내역(환율표)'!$D$246</f>
        <v>7.3190999922785887</v>
      </c>
      <c r="M79" s="303">
        <f t="shared" si="13"/>
        <v>2186.0611300405071</v>
      </c>
      <c r="N79" s="295">
        <f t="shared" si="11"/>
        <v>312317.88000000024</v>
      </c>
      <c r="O79" s="295">
        <f t="shared" si="12"/>
        <v>42675.254603198002</v>
      </c>
      <c r="P79" s="296" t="s">
        <v>56</v>
      </c>
      <c r="Q79" s="297"/>
      <c r="R79" s="297" t="s">
        <v>60</v>
      </c>
      <c r="S79" s="298">
        <f t="shared" si="14"/>
        <v>42675.253540945036</v>
      </c>
    </row>
    <row r="80" spans="2:19" ht="11.25" customHeight="1">
      <c r="B80" s="290">
        <v>45680</v>
      </c>
      <c r="C80" s="27" t="s">
        <v>81</v>
      </c>
      <c r="D80" s="312"/>
      <c r="E80" s="20">
        <v>48</v>
      </c>
      <c r="F80" s="14" t="s">
        <v>32</v>
      </c>
      <c r="G80" s="14"/>
      <c r="H80" s="14"/>
      <c r="I80" s="14"/>
      <c r="J80" s="14"/>
      <c r="K80" s="292">
        <v>24000</v>
      </c>
      <c r="L80" s="293">
        <f>'[2]통장내역(환율표)'!$D$246</f>
        <v>7.3190999922785887</v>
      </c>
      <c r="M80" s="303">
        <f t="shared" si="13"/>
        <v>3279.0916950607611</v>
      </c>
      <c r="N80" s="295">
        <f t="shared" si="11"/>
        <v>288317.88000000024</v>
      </c>
      <c r="O80" s="295">
        <f t="shared" si="12"/>
        <v>39396.162908137238</v>
      </c>
      <c r="P80" s="296" t="s">
        <v>56</v>
      </c>
      <c r="Q80" s="297"/>
      <c r="R80" s="297" t="s">
        <v>60</v>
      </c>
      <c r="S80" s="298">
        <f t="shared" si="14"/>
        <v>39396.161845884271</v>
      </c>
    </row>
    <row r="81" spans="2:19" ht="11.25" customHeight="1">
      <c r="B81" s="290">
        <v>45680</v>
      </c>
      <c r="C81" s="27" t="s">
        <v>82</v>
      </c>
      <c r="D81" s="312"/>
      <c r="E81" s="20">
        <v>48</v>
      </c>
      <c r="F81" s="14" t="s">
        <v>32</v>
      </c>
      <c r="G81" s="14"/>
      <c r="H81" s="14"/>
      <c r="I81" s="14"/>
      <c r="J81" s="14"/>
      <c r="K81" s="292">
        <v>8726.19</v>
      </c>
      <c r="L81" s="293">
        <f>'[2]통장내역(환율표)'!$D$246</f>
        <v>7.3190999922785887</v>
      </c>
      <c r="M81" s="303">
        <f t="shared" si="13"/>
        <v>1192.249048271761</v>
      </c>
      <c r="N81" s="295">
        <f t="shared" si="11"/>
        <v>279591.69000000024</v>
      </c>
      <c r="O81" s="295">
        <f t="shared" si="12"/>
        <v>38203.913859865475</v>
      </c>
      <c r="P81" s="296" t="s">
        <v>56</v>
      </c>
      <c r="Q81" s="297"/>
      <c r="R81" s="297" t="s">
        <v>60</v>
      </c>
      <c r="S81" s="298">
        <f t="shared" si="14"/>
        <v>38203.912797612509</v>
      </c>
    </row>
    <row r="82" spans="2:19" ht="11.25" customHeight="1">
      <c r="B82" s="290">
        <v>45680</v>
      </c>
      <c r="C82" s="27" t="s">
        <v>83</v>
      </c>
      <c r="D82" s="312"/>
      <c r="E82" s="20">
        <v>48</v>
      </c>
      <c r="F82" s="14" t="s">
        <v>32</v>
      </c>
      <c r="G82" s="14"/>
      <c r="H82" s="14"/>
      <c r="I82" s="14"/>
      <c r="J82" s="14"/>
      <c r="K82" s="292">
        <v>950.1</v>
      </c>
      <c r="L82" s="293">
        <f>'[2]통장내역(환율표)'!$D$246</f>
        <v>7.3190999922785887</v>
      </c>
      <c r="M82" s="303">
        <f t="shared" si="13"/>
        <v>129.81104247821787</v>
      </c>
      <c r="N82" s="295">
        <f t="shared" si="11"/>
        <v>278641.59000000026</v>
      </c>
      <c r="O82" s="295">
        <f t="shared" si="12"/>
        <v>38074.102817387255</v>
      </c>
      <c r="P82" s="296" t="s">
        <v>56</v>
      </c>
      <c r="Q82" s="297"/>
      <c r="R82" s="297" t="s">
        <v>60</v>
      </c>
      <c r="S82" s="298">
        <f t="shared" si="14"/>
        <v>38074.101755134288</v>
      </c>
    </row>
    <row r="83" spans="2:19" ht="11.25" customHeight="1">
      <c r="B83" s="290">
        <v>45680</v>
      </c>
      <c r="C83" s="27" t="s">
        <v>84</v>
      </c>
      <c r="D83" s="312"/>
      <c r="E83" s="20">
        <v>48</v>
      </c>
      <c r="F83" s="14" t="s">
        <v>32</v>
      </c>
      <c r="G83" s="14"/>
      <c r="H83" s="14"/>
      <c r="I83" s="14"/>
      <c r="J83" s="14"/>
      <c r="K83" s="292">
        <v>300</v>
      </c>
      <c r="L83" s="293">
        <f>'[2]통장내역(환율표)'!$D$246</f>
        <v>7.3190999922785887</v>
      </c>
      <c r="M83" s="303">
        <f t="shared" si="13"/>
        <v>40.988646188259516</v>
      </c>
      <c r="N83" s="295">
        <f t="shared" si="11"/>
        <v>278341.59000000026</v>
      </c>
      <c r="O83" s="295">
        <f t="shared" si="12"/>
        <v>38033.114171198999</v>
      </c>
      <c r="P83" s="296" t="s">
        <v>56</v>
      </c>
      <c r="Q83" s="297"/>
      <c r="R83" s="297" t="s">
        <v>60</v>
      </c>
      <c r="S83" s="298">
        <f t="shared" si="14"/>
        <v>38033.113108946032</v>
      </c>
    </row>
    <row r="84" spans="2:19" ht="11.25" customHeight="1">
      <c r="B84" s="290">
        <v>45680</v>
      </c>
      <c r="C84" s="27" t="s">
        <v>85</v>
      </c>
      <c r="D84" s="312"/>
      <c r="E84" s="20">
        <v>48</v>
      </c>
      <c r="F84" s="14" t="s">
        <v>32</v>
      </c>
      <c r="G84" s="14"/>
      <c r="H84" s="14"/>
      <c r="I84" s="14"/>
      <c r="J84" s="14"/>
      <c r="K84" s="292">
        <v>25750</v>
      </c>
      <c r="L84" s="293">
        <f>'[2]통장내역(환율표)'!$D$246</f>
        <v>7.3190999922785887</v>
      </c>
      <c r="M84" s="303">
        <f t="shared" si="13"/>
        <v>3518.1921311589413</v>
      </c>
      <c r="N84" s="295">
        <f t="shared" ref="N84:N105" si="15">N83+H84-K84</f>
        <v>252591.59000000026</v>
      </c>
      <c r="O84" s="295">
        <f t="shared" ref="O84:O105" si="16">O83+J84-M84</f>
        <v>34514.922040040059</v>
      </c>
      <c r="P84" s="296" t="s">
        <v>56</v>
      </c>
      <c r="Q84" s="297"/>
      <c r="R84" s="297" t="s">
        <v>86</v>
      </c>
      <c r="S84" s="298">
        <f t="shared" si="14"/>
        <v>34514.920977787093</v>
      </c>
    </row>
    <row r="85" spans="2:19" ht="11.25" customHeight="1">
      <c r="B85" s="290">
        <v>45680</v>
      </c>
      <c r="C85" s="27" t="s">
        <v>87</v>
      </c>
      <c r="D85" s="312"/>
      <c r="E85" s="20">
        <v>48</v>
      </c>
      <c r="F85" s="14" t="s">
        <v>32</v>
      </c>
      <c r="G85" s="14"/>
      <c r="H85" s="292"/>
      <c r="I85" s="293"/>
      <c r="J85" s="313"/>
      <c r="K85" s="314">
        <v>66500</v>
      </c>
      <c r="L85" s="293">
        <f>'[2]통장내역(환율표)'!$D$246</f>
        <v>7.3190999922785887</v>
      </c>
      <c r="M85" s="303">
        <f t="shared" si="13"/>
        <v>9085.8165717308584</v>
      </c>
      <c r="N85" s="295">
        <f t="shared" si="15"/>
        <v>186091.59000000026</v>
      </c>
      <c r="O85" s="295">
        <f t="shared" si="16"/>
        <v>25429.105468309201</v>
      </c>
      <c r="P85" s="296" t="s">
        <v>56</v>
      </c>
      <c r="Q85" s="297"/>
      <c r="R85" s="297" t="s">
        <v>86</v>
      </c>
      <c r="S85" s="298">
        <f t="shared" si="14"/>
        <v>25429.104406056234</v>
      </c>
    </row>
    <row r="86" spans="2:19" ht="11.25" customHeight="1">
      <c r="B86" s="290">
        <v>45680</v>
      </c>
      <c r="C86" s="27" t="s">
        <v>88</v>
      </c>
      <c r="D86" s="312"/>
      <c r="E86" s="20">
        <v>48</v>
      </c>
      <c r="F86" s="14" t="s">
        <v>32</v>
      </c>
      <c r="G86" s="14"/>
      <c r="H86" s="14"/>
      <c r="I86" s="14"/>
      <c r="J86" s="14"/>
      <c r="K86" s="292">
        <v>7431.44</v>
      </c>
      <c r="L86" s="293">
        <f>'[2]통장내역(환율표)'!$D$246</f>
        <v>7.3190999922785887</v>
      </c>
      <c r="M86" s="303">
        <f t="shared" si="13"/>
        <v>1015.3488827642642</v>
      </c>
      <c r="N86" s="295">
        <f t="shared" si="15"/>
        <v>178660.15000000026</v>
      </c>
      <c r="O86" s="295">
        <f t="shared" si="16"/>
        <v>24413.756585544936</v>
      </c>
      <c r="P86" s="296" t="s">
        <v>56</v>
      </c>
      <c r="Q86" s="297"/>
      <c r="R86" s="297" t="s">
        <v>86</v>
      </c>
      <c r="S86" s="298">
        <f t="shared" si="14"/>
        <v>24413.755523291969</v>
      </c>
    </row>
    <row r="87" spans="2:19" ht="11.25" customHeight="1">
      <c r="B87" s="290">
        <v>45680</v>
      </c>
      <c r="C87" s="27" t="s">
        <v>84</v>
      </c>
      <c r="D87" s="312"/>
      <c r="E87" s="20">
        <v>48</v>
      </c>
      <c r="F87" s="14" t="s">
        <v>32</v>
      </c>
      <c r="G87" s="14"/>
      <c r="H87" s="14"/>
      <c r="I87" s="14"/>
      <c r="J87" s="14"/>
      <c r="K87" s="292">
        <v>300</v>
      </c>
      <c r="L87" s="293">
        <f>'[2]통장내역(환율표)'!$D$246</f>
        <v>7.3190999922785887</v>
      </c>
      <c r="M87" s="303">
        <f t="shared" si="13"/>
        <v>40.988646188259516</v>
      </c>
      <c r="N87" s="295">
        <f t="shared" si="15"/>
        <v>178360.15000000026</v>
      </c>
      <c r="O87" s="295">
        <f t="shared" si="16"/>
        <v>24372.767939356676</v>
      </c>
      <c r="P87" s="296" t="s">
        <v>56</v>
      </c>
      <c r="Q87" s="297"/>
      <c r="R87" s="297" t="s">
        <v>86</v>
      </c>
      <c r="S87" s="298">
        <f t="shared" si="14"/>
        <v>24372.76687710371</v>
      </c>
    </row>
    <row r="88" spans="2:19" ht="11.25" customHeight="1">
      <c r="B88" s="290">
        <v>45680</v>
      </c>
      <c r="C88" s="27" t="s">
        <v>89</v>
      </c>
      <c r="D88" s="312"/>
      <c r="E88" s="20">
        <v>48</v>
      </c>
      <c r="F88" s="14" t="s">
        <v>32</v>
      </c>
      <c r="G88" s="14"/>
      <c r="H88" s="14"/>
      <c r="I88" s="14"/>
      <c r="J88" s="14"/>
      <c r="K88" s="292">
        <v>200</v>
      </c>
      <c r="L88" s="293">
        <f>'[2]통장내역(환율표)'!$D$246</f>
        <v>7.3190999922785887</v>
      </c>
      <c r="M88" s="303">
        <f t="shared" si="13"/>
        <v>27.325764125506343</v>
      </c>
      <c r="N88" s="295">
        <f t="shared" si="15"/>
        <v>178160.15000000026</v>
      </c>
      <c r="O88" s="295">
        <f t="shared" si="16"/>
        <v>24345.442175231168</v>
      </c>
      <c r="P88" s="296" t="s">
        <v>56</v>
      </c>
      <c r="Q88" s="297"/>
      <c r="R88" s="297" t="s">
        <v>86</v>
      </c>
      <c r="S88" s="298">
        <f t="shared" si="14"/>
        <v>24345.441112978202</v>
      </c>
    </row>
    <row r="89" spans="2:19" ht="11.25" customHeight="1">
      <c r="B89" s="290">
        <v>45680</v>
      </c>
      <c r="C89" s="27" t="s">
        <v>85</v>
      </c>
      <c r="D89" s="312"/>
      <c r="E89" s="20">
        <v>48</v>
      </c>
      <c r="F89" s="14" t="s">
        <v>32</v>
      </c>
      <c r="G89" s="14"/>
      <c r="H89" s="14"/>
      <c r="I89" s="14"/>
      <c r="J89" s="14"/>
      <c r="K89" s="292">
        <v>13390</v>
      </c>
      <c r="L89" s="293">
        <f>'[2]통장내역(환율표)'!$D$246</f>
        <v>7.3190999922785887</v>
      </c>
      <c r="M89" s="303">
        <f t="shared" si="13"/>
        <v>1829.4599082026496</v>
      </c>
      <c r="N89" s="295">
        <f t="shared" si="15"/>
        <v>164770.15000000026</v>
      </c>
      <c r="O89" s="295">
        <f t="shared" si="16"/>
        <v>22515.982267028518</v>
      </c>
      <c r="P89" s="296" t="s">
        <v>56</v>
      </c>
      <c r="Q89" s="297"/>
      <c r="R89" s="297" t="s">
        <v>90</v>
      </c>
      <c r="S89" s="298">
        <f t="shared" si="14"/>
        <v>22515.981204775551</v>
      </c>
    </row>
    <row r="90" spans="2:19" ht="11.25" customHeight="1">
      <c r="B90" s="290">
        <v>45680</v>
      </c>
      <c r="C90" s="27" t="s">
        <v>87</v>
      </c>
      <c r="D90" s="312"/>
      <c r="E90" s="20">
        <v>48</v>
      </c>
      <c r="F90" s="14" t="s">
        <v>32</v>
      </c>
      <c r="G90" s="14"/>
      <c r="H90" s="14"/>
      <c r="I90" s="14"/>
      <c r="J90" s="14"/>
      <c r="K90" s="292">
        <v>6500</v>
      </c>
      <c r="L90" s="293">
        <f>'[2]통장내역(환율표)'!$D$246</f>
        <v>7.3190999922785887</v>
      </c>
      <c r="M90" s="303">
        <f t="shared" si="13"/>
        <v>888.08733407895613</v>
      </c>
      <c r="N90" s="295">
        <f t="shared" si="15"/>
        <v>158270.15000000026</v>
      </c>
      <c r="O90" s="295">
        <f t="shared" si="16"/>
        <v>21627.894932949563</v>
      </c>
      <c r="P90" s="296" t="s">
        <v>56</v>
      </c>
      <c r="Q90" s="297"/>
      <c r="R90" s="297" t="s">
        <v>90</v>
      </c>
      <c r="S90" s="298">
        <f t="shared" si="14"/>
        <v>21627.893870696596</v>
      </c>
    </row>
    <row r="91" spans="2:19" ht="11.25" customHeight="1">
      <c r="B91" s="290">
        <v>45680</v>
      </c>
      <c r="C91" s="27" t="s">
        <v>88</v>
      </c>
      <c r="D91" s="312"/>
      <c r="E91" s="20">
        <v>48</v>
      </c>
      <c r="F91" s="14" t="s">
        <v>32</v>
      </c>
      <c r="G91" s="14"/>
      <c r="H91" s="14"/>
      <c r="I91" s="14"/>
      <c r="J91" s="14"/>
      <c r="K91" s="292">
        <v>3281.57</v>
      </c>
      <c r="L91" s="293">
        <f>'[2]통장내역(환율표)'!$D$246</f>
        <v>7.3190999922785887</v>
      </c>
      <c r="M91" s="303">
        <f t="shared" si="13"/>
        <v>448.35703890668924</v>
      </c>
      <c r="N91" s="295">
        <f t="shared" si="15"/>
        <v>154988.58000000025</v>
      </c>
      <c r="O91" s="295">
        <f t="shared" si="16"/>
        <v>21179.537894042875</v>
      </c>
      <c r="P91" s="296" t="s">
        <v>56</v>
      </c>
      <c r="Q91" s="297"/>
      <c r="R91" s="297" t="s">
        <v>90</v>
      </c>
      <c r="S91" s="298">
        <f t="shared" si="14"/>
        <v>21179.536831789908</v>
      </c>
    </row>
    <row r="92" spans="2:19" ht="11.25" customHeight="1">
      <c r="B92" s="290">
        <v>45680</v>
      </c>
      <c r="C92" s="27" t="s">
        <v>84</v>
      </c>
      <c r="D92" s="312"/>
      <c r="E92" s="20">
        <v>48</v>
      </c>
      <c r="F92" s="14" t="s">
        <v>32</v>
      </c>
      <c r="G92" s="14"/>
      <c r="H92" s="14"/>
      <c r="I92" s="14"/>
      <c r="J92" s="14"/>
      <c r="K92" s="292">
        <v>300</v>
      </c>
      <c r="L92" s="293">
        <f>'[2]통장내역(환율표)'!$D$246</f>
        <v>7.3190999922785887</v>
      </c>
      <c r="M92" s="303">
        <f t="shared" si="13"/>
        <v>40.988646188259516</v>
      </c>
      <c r="N92" s="295">
        <f t="shared" si="15"/>
        <v>154688.58000000025</v>
      </c>
      <c r="O92" s="295">
        <f t="shared" si="16"/>
        <v>21138.549247854615</v>
      </c>
      <c r="P92" s="296" t="s">
        <v>56</v>
      </c>
      <c r="Q92" s="297"/>
      <c r="R92" s="297" t="s">
        <v>90</v>
      </c>
      <c r="S92" s="298">
        <f t="shared" si="14"/>
        <v>21138.548185601649</v>
      </c>
    </row>
    <row r="93" spans="2:19" ht="11.25" customHeight="1">
      <c r="B93" s="290">
        <v>45680</v>
      </c>
      <c r="C93" s="27" t="s">
        <v>89</v>
      </c>
      <c r="D93" s="312"/>
      <c r="E93" s="20">
        <v>48</v>
      </c>
      <c r="F93" s="14" t="s">
        <v>32</v>
      </c>
      <c r="G93" s="14"/>
      <c r="H93" s="14"/>
      <c r="I93" s="14"/>
      <c r="J93" s="14"/>
      <c r="K93" s="292">
        <v>200</v>
      </c>
      <c r="L93" s="293">
        <f>'[2]통장내역(환율표)'!$D$246</f>
        <v>7.3190999922785887</v>
      </c>
      <c r="M93" s="303">
        <f t="shared" si="13"/>
        <v>27.325764125506343</v>
      </c>
      <c r="N93" s="295">
        <f t="shared" si="15"/>
        <v>154488.58000000025</v>
      </c>
      <c r="O93" s="295">
        <f t="shared" si="16"/>
        <v>21111.223483729107</v>
      </c>
      <c r="P93" s="296" t="s">
        <v>56</v>
      </c>
      <c r="Q93" s="297"/>
      <c r="R93" s="297" t="s">
        <v>90</v>
      </c>
      <c r="S93" s="298">
        <f t="shared" si="14"/>
        <v>21111.222421476141</v>
      </c>
    </row>
    <row r="94" spans="2:19" ht="11.25" customHeight="1">
      <c r="B94" s="290">
        <v>45680</v>
      </c>
      <c r="C94" s="27" t="s">
        <v>85</v>
      </c>
      <c r="D94" s="312"/>
      <c r="E94" s="20">
        <v>48</v>
      </c>
      <c r="F94" s="14" t="s">
        <v>32</v>
      </c>
      <c r="G94" s="14"/>
      <c r="H94" s="14"/>
      <c r="I94" s="14"/>
      <c r="J94" s="14"/>
      <c r="K94" s="292">
        <v>25750</v>
      </c>
      <c r="L94" s="293">
        <f>'[2]통장내역(환율표)'!$D$246</f>
        <v>7.3190999922785887</v>
      </c>
      <c r="M94" s="303">
        <f t="shared" si="13"/>
        <v>3518.1921311589413</v>
      </c>
      <c r="N94" s="295">
        <f t="shared" si="15"/>
        <v>128738.58000000025</v>
      </c>
      <c r="O94" s="295">
        <f t="shared" si="16"/>
        <v>17593.031352570164</v>
      </c>
      <c r="P94" s="296" t="s">
        <v>56</v>
      </c>
      <c r="Q94" s="297"/>
      <c r="R94" s="297" t="s">
        <v>91</v>
      </c>
      <c r="S94" s="298">
        <f t="shared" si="14"/>
        <v>17593.030290317198</v>
      </c>
    </row>
    <row r="95" spans="2:19" ht="11.25" customHeight="1">
      <c r="B95" s="290">
        <v>45680</v>
      </c>
      <c r="C95" s="27" t="s">
        <v>87</v>
      </c>
      <c r="D95" s="312"/>
      <c r="E95" s="20">
        <v>48</v>
      </c>
      <c r="F95" s="14" t="s">
        <v>32</v>
      </c>
      <c r="G95" s="14"/>
      <c r="H95" s="14"/>
      <c r="I95" s="14"/>
      <c r="J95" s="14"/>
      <c r="K95" s="292">
        <v>12500</v>
      </c>
      <c r="L95" s="293">
        <f>'[2]통장내역(환율표)'!$D$246</f>
        <v>7.3190999922785887</v>
      </c>
      <c r="M95" s="303">
        <f t="shared" ref="M95:M126" si="17">K95/L95</f>
        <v>1707.8602578441464</v>
      </c>
      <c r="N95" s="295">
        <f t="shared" si="15"/>
        <v>116238.58000000025</v>
      </c>
      <c r="O95" s="295">
        <f t="shared" si="16"/>
        <v>15885.171094726018</v>
      </c>
      <c r="P95" s="296" t="s">
        <v>56</v>
      </c>
      <c r="Q95" s="297"/>
      <c r="R95" s="297" t="s">
        <v>91</v>
      </c>
      <c r="S95" s="298">
        <f t="shared" si="14"/>
        <v>15885.170032473052</v>
      </c>
    </row>
    <row r="96" spans="2:19" ht="11.25" customHeight="1">
      <c r="B96" s="290">
        <v>45680</v>
      </c>
      <c r="C96" s="27" t="s">
        <v>88</v>
      </c>
      <c r="D96" s="312"/>
      <c r="E96" s="20">
        <v>48</v>
      </c>
      <c r="F96" s="14" t="s">
        <v>32</v>
      </c>
      <c r="G96" s="14"/>
      <c r="H96" s="14"/>
      <c r="I96" s="14"/>
      <c r="J96" s="14"/>
      <c r="K96" s="292">
        <v>7431.44</v>
      </c>
      <c r="L96" s="293">
        <f>'[2]통장내역(환율표)'!$D$246</f>
        <v>7.3190999922785887</v>
      </c>
      <c r="M96" s="303">
        <f t="shared" si="17"/>
        <v>1015.3488827642642</v>
      </c>
      <c r="N96" s="295">
        <f t="shared" si="15"/>
        <v>108807.14000000025</v>
      </c>
      <c r="O96" s="295">
        <f t="shared" si="16"/>
        <v>14869.822211961753</v>
      </c>
      <c r="P96" s="296" t="s">
        <v>56</v>
      </c>
      <c r="Q96" s="297"/>
      <c r="R96" s="297" t="s">
        <v>91</v>
      </c>
      <c r="S96" s="298">
        <f t="shared" ref="S96:S103" si="18">S95-M96</f>
        <v>14869.821149708787</v>
      </c>
    </row>
    <row r="97" spans="2:19" ht="11.25" customHeight="1">
      <c r="B97" s="290">
        <v>45680</v>
      </c>
      <c r="C97" s="27" t="s">
        <v>84</v>
      </c>
      <c r="D97" s="312"/>
      <c r="E97" s="20">
        <v>48</v>
      </c>
      <c r="F97" s="14" t="s">
        <v>32</v>
      </c>
      <c r="G97" s="14"/>
      <c r="H97" s="14"/>
      <c r="I97" s="14"/>
      <c r="J97" s="14"/>
      <c r="K97" s="292">
        <v>300</v>
      </c>
      <c r="L97" s="293">
        <f>'[2]통장내역(환율표)'!$D$246</f>
        <v>7.3190999922785887</v>
      </c>
      <c r="M97" s="303">
        <f t="shared" si="17"/>
        <v>40.988646188259516</v>
      </c>
      <c r="N97" s="295">
        <f t="shared" si="15"/>
        <v>108507.14000000025</v>
      </c>
      <c r="O97" s="295">
        <f t="shared" si="16"/>
        <v>14828.833565773493</v>
      </c>
      <c r="P97" s="296" t="s">
        <v>56</v>
      </c>
      <c r="Q97" s="297"/>
      <c r="R97" s="297" t="s">
        <v>91</v>
      </c>
      <c r="S97" s="298">
        <f t="shared" si="18"/>
        <v>14828.832503520527</v>
      </c>
    </row>
    <row r="98" spans="2:19" ht="11.25" customHeight="1">
      <c r="B98" s="290">
        <v>45680</v>
      </c>
      <c r="C98" s="27" t="s">
        <v>85</v>
      </c>
      <c r="D98" s="312"/>
      <c r="E98" s="20">
        <v>48</v>
      </c>
      <c r="F98" s="14" t="s">
        <v>32</v>
      </c>
      <c r="G98" s="14"/>
      <c r="H98" s="14"/>
      <c r="I98" s="14"/>
      <c r="J98" s="14"/>
      <c r="K98" s="292">
        <v>21300</v>
      </c>
      <c r="L98" s="293">
        <f>'[2]통장내역(환율표)'!$D$246</f>
        <v>7.3190999922785887</v>
      </c>
      <c r="M98" s="303">
        <f t="shared" si="17"/>
        <v>2910.1938793664253</v>
      </c>
      <c r="N98" s="295">
        <f t="shared" si="15"/>
        <v>87207.140000000247</v>
      </c>
      <c r="O98" s="295">
        <f t="shared" si="16"/>
        <v>11918.639686407068</v>
      </c>
      <c r="P98" s="296" t="s">
        <v>56</v>
      </c>
      <c r="Q98" s="297"/>
      <c r="R98" s="297" t="s">
        <v>92</v>
      </c>
      <c r="S98" s="298">
        <f t="shared" si="18"/>
        <v>11918.638624154102</v>
      </c>
    </row>
    <row r="99" spans="2:19" ht="11.25" customHeight="1">
      <c r="B99" s="290">
        <v>45680</v>
      </c>
      <c r="C99" s="27" t="s">
        <v>87</v>
      </c>
      <c r="D99" s="312"/>
      <c r="E99" s="20">
        <v>48</v>
      </c>
      <c r="F99" s="14" t="s">
        <v>32</v>
      </c>
      <c r="G99" s="14"/>
      <c r="H99" s="14"/>
      <c r="I99" s="14"/>
      <c r="J99" s="14"/>
      <c r="K99" s="292">
        <v>2500</v>
      </c>
      <c r="L99" s="293">
        <f>'[2]통장내역(환율표)'!$D$246</f>
        <v>7.3190999922785887</v>
      </c>
      <c r="M99" s="303">
        <f t="shared" si="17"/>
        <v>341.57205156882929</v>
      </c>
      <c r="N99" s="295">
        <f t="shared" si="15"/>
        <v>84707.140000000247</v>
      </c>
      <c r="O99" s="295">
        <f t="shared" si="16"/>
        <v>11577.067634838239</v>
      </c>
      <c r="P99" s="296" t="s">
        <v>56</v>
      </c>
      <c r="Q99" s="297"/>
      <c r="R99" s="297" t="s">
        <v>92</v>
      </c>
      <c r="S99" s="298">
        <f t="shared" si="18"/>
        <v>11577.066572585272</v>
      </c>
    </row>
    <row r="100" spans="2:19" ht="11.25" customHeight="1">
      <c r="B100" s="290">
        <v>45680</v>
      </c>
      <c r="C100" s="27" t="s">
        <v>88</v>
      </c>
      <c r="D100" s="312"/>
      <c r="E100" s="20">
        <v>48</v>
      </c>
      <c r="F100" s="14" t="s">
        <v>32</v>
      </c>
      <c r="G100" s="14"/>
      <c r="H100" s="14"/>
      <c r="I100" s="14"/>
      <c r="J100" s="14"/>
      <c r="K100" s="292">
        <v>5941.29</v>
      </c>
      <c r="L100" s="293">
        <f>'[2]통장내역(환율표)'!$D$246</f>
        <v>7.3190999922785887</v>
      </c>
      <c r="M100" s="303">
        <f t="shared" si="17"/>
        <v>811.75144570614782</v>
      </c>
      <c r="N100" s="295">
        <f t="shared" si="15"/>
        <v>78765.850000000253</v>
      </c>
      <c r="O100" s="295">
        <f t="shared" si="16"/>
        <v>10765.316189132091</v>
      </c>
      <c r="P100" s="296" t="s">
        <v>56</v>
      </c>
      <c r="Q100" s="297"/>
      <c r="R100" s="297" t="s">
        <v>92</v>
      </c>
      <c r="S100" s="298">
        <f t="shared" si="18"/>
        <v>10765.315126879124</v>
      </c>
    </row>
    <row r="101" spans="2:19" ht="11.25" customHeight="1">
      <c r="B101" s="290">
        <v>45680</v>
      </c>
      <c r="C101" s="27" t="s">
        <v>84</v>
      </c>
      <c r="D101" s="312"/>
      <c r="E101" s="20">
        <v>48</v>
      </c>
      <c r="F101" s="14" t="s">
        <v>32</v>
      </c>
      <c r="G101" s="14"/>
      <c r="H101" s="14"/>
      <c r="I101" s="14"/>
      <c r="J101" s="14"/>
      <c r="K101" s="292">
        <v>300</v>
      </c>
      <c r="L101" s="293">
        <f>'[2]통장내역(환율표)'!$D$246</f>
        <v>7.3190999922785887</v>
      </c>
      <c r="M101" s="303">
        <f t="shared" si="17"/>
        <v>40.988646188259516</v>
      </c>
      <c r="N101" s="295">
        <f t="shared" si="15"/>
        <v>78465.850000000253</v>
      </c>
      <c r="O101" s="295">
        <f t="shared" si="16"/>
        <v>10724.327542943831</v>
      </c>
      <c r="P101" s="296" t="s">
        <v>56</v>
      </c>
      <c r="Q101" s="297"/>
      <c r="R101" s="297" t="s">
        <v>92</v>
      </c>
      <c r="S101" s="298">
        <f t="shared" si="18"/>
        <v>10724.326480690865</v>
      </c>
    </row>
    <row r="102" spans="2:19" ht="11.25" customHeight="1">
      <c r="B102" s="290">
        <v>45680</v>
      </c>
      <c r="C102" s="27" t="s">
        <v>89</v>
      </c>
      <c r="D102" s="312"/>
      <c r="E102" s="20">
        <v>48</v>
      </c>
      <c r="F102" s="14" t="s">
        <v>32</v>
      </c>
      <c r="G102" s="14"/>
      <c r="H102" s="14"/>
      <c r="I102" s="14"/>
      <c r="J102" s="14"/>
      <c r="K102" s="292">
        <v>600</v>
      </c>
      <c r="L102" s="293">
        <f>'[2]통장내역(환율표)'!$D$246</f>
        <v>7.3190999922785887</v>
      </c>
      <c r="M102" s="303">
        <f t="shared" si="17"/>
        <v>81.977292376519031</v>
      </c>
      <c r="N102" s="295">
        <f t="shared" si="15"/>
        <v>77865.850000000253</v>
      </c>
      <c r="O102" s="295">
        <f t="shared" si="16"/>
        <v>10642.350250567311</v>
      </c>
      <c r="P102" s="296" t="s">
        <v>56</v>
      </c>
      <c r="Q102" s="297"/>
      <c r="R102" s="297" t="s">
        <v>92</v>
      </c>
      <c r="S102" s="298">
        <f t="shared" si="18"/>
        <v>10642.349188314345</v>
      </c>
    </row>
    <row r="103" spans="2:19" ht="11.25" customHeight="1">
      <c r="B103" s="290">
        <v>45680</v>
      </c>
      <c r="C103" s="19" t="s">
        <v>49</v>
      </c>
      <c r="D103" s="312"/>
      <c r="E103" s="20">
        <v>49</v>
      </c>
      <c r="F103" s="14" t="s">
        <v>32</v>
      </c>
      <c r="G103" s="14"/>
      <c r="H103" s="14"/>
      <c r="I103" s="14"/>
      <c r="J103" s="14"/>
      <c r="K103" s="292">
        <v>12</v>
      </c>
      <c r="L103" s="293">
        <f>'[2]통장내역(환율표)'!$D$246</f>
        <v>7.3190999922785887</v>
      </c>
      <c r="M103" s="303">
        <f t="shared" si="17"/>
        <v>1.6395458475303806</v>
      </c>
      <c r="N103" s="295">
        <f t="shared" si="15"/>
        <v>77853.850000000253</v>
      </c>
      <c r="O103" s="295">
        <f t="shared" si="16"/>
        <v>10640.710704719781</v>
      </c>
      <c r="P103" s="296" t="s">
        <v>56</v>
      </c>
      <c r="Q103" s="297"/>
      <c r="R103" s="297"/>
      <c r="S103" s="298">
        <f t="shared" si="18"/>
        <v>10640.709642466814</v>
      </c>
    </row>
    <row r="104" spans="2:19" ht="11.25" customHeight="1">
      <c r="B104" s="315">
        <v>45682</v>
      </c>
      <c r="C104" s="51" t="s">
        <v>48</v>
      </c>
      <c r="D104" s="316"/>
      <c r="E104" s="52">
        <v>50</v>
      </c>
      <c r="F104" s="53" t="s">
        <v>32</v>
      </c>
      <c r="G104" s="53"/>
      <c r="H104" s="53">
        <v>56133.42</v>
      </c>
      <c r="I104" s="53"/>
      <c r="J104" s="317">
        <v>7802</v>
      </c>
      <c r="K104" s="318"/>
      <c r="L104" s="319"/>
      <c r="M104" s="320"/>
      <c r="N104" s="320">
        <f t="shared" si="15"/>
        <v>133987.27000000025</v>
      </c>
      <c r="O104" s="320">
        <f t="shared" si="16"/>
        <v>18442.710704719779</v>
      </c>
      <c r="P104" s="321" t="s">
        <v>93</v>
      </c>
      <c r="Q104" s="322"/>
      <c r="R104" s="322"/>
      <c r="S104" s="298"/>
    </row>
    <row r="105" spans="2:19" ht="11.25" customHeight="1">
      <c r="B105" s="315">
        <v>45682</v>
      </c>
      <c r="C105" s="51" t="s">
        <v>48</v>
      </c>
      <c r="D105" s="316"/>
      <c r="E105" s="52">
        <v>50</v>
      </c>
      <c r="F105" s="53" t="s">
        <v>32</v>
      </c>
      <c r="G105" s="53"/>
      <c r="H105" s="53"/>
      <c r="I105" s="53"/>
      <c r="J105" s="53"/>
      <c r="K105" s="318"/>
      <c r="L105" s="319"/>
      <c r="M105" s="320">
        <v>36</v>
      </c>
      <c r="N105" s="320">
        <f t="shared" si="15"/>
        <v>133987.27000000025</v>
      </c>
      <c r="O105" s="320">
        <f t="shared" si="16"/>
        <v>18406.710704719779</v>
      </c>
      <c r="P105" s="321" t="s">
        <v>93</v>
      </c>
      <c r="Q105" s="322"/>
      <c r="R105" s="322"/>
      <c r="S105" s="298"/>
    </row>
  </sheetData>
  <autoFilter ref="B18:R105" xr:uid="{00000000-0009-0000-0000-000001000000}">
    <filterColumn colId="14" showButton="0"/>
    <sortState xmlns:xlrd2="http://schemas.microsoft.com/office/spreadsheetml/2017/richdata2" ref="B20:R21">
      <sortCondition sortBy="cellColor" ref="M18:M20" dxfId="5"/>
    </sortState>
  </autoFilter>
  <mergeCells count="5">
    <mergeCell ref="N17:O17"/>
    <mergeCell ref="P18:Q18"/>
    <mergeCell ref="P17:Q17"/>
    <mergeCell ref="K17:M17"/>
    <mergeCell ref="H17:J17"/>
  </mergeCells>
  <phoneticPr fontId="3" type="noConversion"/>
  <pageMargins left="0.7" right="0.7" top="0.75" bottom="0.75" header="0.3" footer="0.3"/>
  <pageSetup paperSize="256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13" customWidth="1"/>
    <col min="2" max="2" width="9.75" style="186" customWidth="1"/>
    <col min="3" max="3" width="24" style="198" customWidth="1"/>
    <col min="4" max="4" width="9.75" style="198" customWidth="1"/>
    <col min="5" max="5" width="12.125" style="198" customWidth="1"/>
    <col min="6" max="6" width="11.125" style="198" customWidth="1"/>
    <col min="7" max="7" width="9.875" style="188" customWidth="1"/>
    <col min="8" max="8" width="9.75" style="198" customWidth="1"/>
    <col min="9" max="9" width="9.875" style="198" customWidth="1"/>
    <col min="10" max="10" width="10.5" style="188" customWidth="1"/>
    <col min="11" max="11" width="11" style="188" customWidth="1"/>
    <col min="12" max="12" width="11.125" style="198" customWidth="1"/>
    <col min="13" max="13" width="9.75" style="198" customWidth="1"/>
    <col min="14" max="14" width="12.375" style="198" customWidth="1"/>
    <col min="15" max="15" width="9.875" style="198" customWidth="1"/>
    <col min="16" max="16" width="10.75" style="198" customWidth="1"/>
    <col min="17" max="17" width="9.625" style="198" customWidth="1"/>
    <col min="18" max="18" width="31.5" style="188" customWidth="1"/>
    <col min="19" max="19" width="10.5" style="12" bestFit="1" customWidth="1"/>
    <col min="20" max="20" width="9" style="198" customWidth="1"/>
    <col min="21" max="21" width="9" style="323" customWidth="1"/>
    <col min="22" max="22" width="9" style="198" customWidth="1"/>
    <col min="23" max="16384" width="9" style="198"/>
  </cols>
  <sheetData>
    <row r="1" spans="1:29" ht="4.5" customHeight="1">
      <c r="A1" s="9"/>
      <c r="B1" s="324"/>
      <c r="C1" s="325"/>
      <c r="D1" s="325"/>
      <c r="E1" s="326"/>
      <c r="F1" s="326"/>
      <c r="G1" s="327"/>
      <c r="H1" s="326"/>
      <c r="I1" s="326"/>
      <c r="J1" s="328"/>
      <c r="K1" s="328"/>
      <c r="L1" s="326"/>
      <c r="M1" s="329"/>
      <c r="N1" s="329"/>
      <c r="O1" s="325"/>
      <c r="P1" s="330"/>
      <c r="Q1" s="330"/>
      <c r="R1" s="331"/>
      <c r="S1" s="10"/>
    </row>
    <row r="2" spans="1:29" ht="15" customHeight="1">
      <c r="B2" s="332" t="s">
        <v>94</v>
      </c>
      <c r="C2" s="200"/>
      <c r="D2" s="200"/>
      <c r="F2" s="201"/>
      <c r="G2" s="188" t="s">
        <v>13</v>
      </c>
      <c r="H2" s="40" t="s">
        <v>14</v>
      </c>
      <c r="I2" s="202"/>
      <c r="J2" s="202"/>
      <c r="K2" s="203"/>
      <c r="L2" s="202"/>
      <c r="M2" s="202"/>
      <c r="N2" s="204"/>
      <c r="O2" s="205"/>
      <c r="Q2" s="202"/>
    </row>
    <row r="3" spans="1:29" s="206" customFormat="1" ht="11.25" customHeight="1">
      <c r="A3" s="11"/>
      <c r="B3" s="207" t="s">
        <v>16</v>
      </c>
      <c r="C3" s="208"/>
      <c r="D3" s="208"/>
      <c r="E3" s="208"/>
      <c r="F3" s="31">
        <v>1458.2</v>
      </c>
      <c r="G3" s="209"/>
      <c r="H3" s="207" t="s">
        <v>17</v>
      </c>
      <c r="I3" s="208"/>
      <c r="K3" s="210"/>
      <c r="L3" s="31">
        <v>1434.3</v>
      </c>
      <c r="N3" s="207" t="s">
        <v>95</v>
      </c>
      <c r="O3" s="208"/>
      <c r="Q3" s="210"/>
      <c r="R3" s="31">
        <v>1447.4</v>
      </c>
      <c r="T3" s="207"/>
      <c r="U3" s="208"/>
      <c r="V3" s="210"/>
      <c r="W3" s="210"/>
      <c r="X3" s="211">
        <v>1327.2</v>
      </c>
    </row>
    <row r="4" spans="1:29" ht="11.25" customHeight="1">
      <c r="A4" s="9"/>
      <c r="B4" s="212" t="s">
        <v>18</v>
      </c>
      <c r="C4" s="213" t="s">
        <v>19</v>
      </c>
      <c r="D4" s="213" t="s">
        <v>20</v>
      </c>
      <c r="E4" s="214" t="s">
        <v>21</v>
      </c>
      <c r="F4" s="215" t="s">
        <v>22</v>
      </c>
      <c r="H4" s="212" t="s">
        <v>18</v>
      </c>
      <c r="I4" s="213" t="s">
        <v>19</v>
      </c>
      <c r="J4" s="216" t="s">
        <v>20</v>
      </c>
      <c r="K4" s="217" t="s">
        <v>21</v>
      </c>
      <c r="L4" s="215" t="s">
        <v>22</v>
      </c>
      <c r="M4" s="218"/>
      <c r="N4" s="212" t="s">
        <v>18</v>
      </c>
      <c r="O4" s="213" t="s">
        <v>19</v>
      </c>
      <c r="P4" s="216" t="s">
        <v>20</v>
      </c>
      <c r="Q4" s="217" t="s">
        <v>21</v>
      </c>
      <c r="R4" s="215" t="s">
        <v>22</v>
      </c>
      <c r="U4" s="198"/>
    </row>
    <row r="5" spans="1:29" ht="11.25" customHeight="1">
      <c r="A5" s="12">
        <v>51131050</v>
      </c>
      <c r="B5" s="219" t="s">
        <v>23</v>
      </c>
      <c r="C5" s="220" t="s">
        <v>24</v>
      </c>
      <c r="D5" s="221">
        <v>13162.8</v>
      </c>
      <c r="E5" s="222">
        <v>1798.42</v>
      </c>
      <c r="F5" s="223">
        <f t="shared" ref="F5:F12" si="0">ROUND(E5*$F$3,0)</f>
        <v>2622456</v>
      </c>
      <c r="G5" s="224"/>
      <c r="H5" s="225" t="s">
        <v>23</v>
      </c>
      <c r="I5" s="225" t="s">
        <v>24</v>
      </c>
      <c r="J5" s="226">
        <v>3415.36</v>
      </c>
      <c r="K5" s="226">
        <v>472.51</v>
      </c>
      <c r="L5" s="223">
        <f t="shared" ref="L5:L12" si="1">ROUND(K5*$L$3,0)</f>
        <v>677721</v>
      </c>
      <c r="M5" s="227">
        <f t="shared" ref="M5:M13" si="2">L5+F5</f>
        <v>3300177</v>
      </c>
      <c r="N5" s="225" t="s">
        <v>23</v>
      </c>
      <c r="O5" s="225" t="s">
        <v>24</v>
      </c>
      <c r="P5" s="226"/>
      <c r="Q5" s="226"/>
      <c r="R5" s="223">
        <f t="shared" ref="R5:R12" si="3">ROUND(Q5*$R$3,0)</f>
        <v>0</v>
      </c>
      <c r="S5" s="228">
        <f t="shared" ref="S5:S13" si="4">F5+L5+R5</f>
        <v>3300177</v>
      </c>
      <c r="U5" s="198"/>
    </row>
    <row r="6" spans="1:29" ht="11.25" customHeight="1">
      <c r="A6" s="12">
        <v>51061030</v>
      </c>
      <c r="B6" s="219" t="s">
        <v>25</v>
      </c>
      <c r="C6" s="220" t="s">
        <v>26</v>
      </c>
      <c r="D6" s="221">
        <v>7210.07</v>
      </c>
      <c r="E6" s="221">
        <v>985.1</v>
      </c>
      <c r="F6" s="223">
        <f t="shared" si="0"/>
        <v>1436473</v>
      </c>
      <c r="G6" s="229"/>
      <c r="H6" s="225" t="s">
        <v>25</v>
      </c>
      <c r="I6" s="225" t="s">
        <v>26</v>
      </c>
      <c r="J6" s="226">
        <v>7124.78</v>
      </c>
      <c r="K6" s="226">
        <v>985.71</v>
      </c>
      <c r="L6" s="223">
        <f t="shared" si="1"/>
        <v>1413804</v>
      </c>
      <c r="M6" s="227">
        <f t="shared" si="2"/>
        <v>2850277</v>
      </c>
      <c r="N6" s="225" t="s">
        <v>25</v>
      </c>
      <c r="O6" s="225" t="s">
        <v>26</v>
      </c>
      <c r="P6" s="226"/>
      <c r="Q6" s="226"/>
      <c r="R6" s="223">
        <f t="shared" si="3"/>
        <v>0</v>
      </c>
      <c r="S6" s="228">
        <f t="shared" si="4"/>
        <v>2850277</v>
      </c>
      <c r="U6" s="198"/>
      <c r="AB6" s="202"/>
      <c r="AC6" s="188"/>
    </row>
    <row r="7" spans="1:29" ht="11.25" customHeight="1">
      <c r="A7" s="12">
        <v>51201020</v>
      </c>
      <c r="B7" s="219" t="s">
        <v>27</v>
      </c>
      <c r="C7" s="220" t="s">
        <v>28</v>
      </c>
      <c r="D7" s="221">
        <v>24224</v>
      </c>
      <c r="E7" s="221">
        <v>3309.7</v>
      </c>
      <c r="F7" s="223">
        <f t="shared" si="0"/>
        <v>4826205</v>
      </c>
      <c r="G7" s="230"/>
      <c r="H7" s="225" t="s">
        <v>27</v>
      </c>
      <c r="I7" s="225" t="s">
        <v>28</v>
      </c>
      <c r="J7" s="226"/>
      <c r="K7" s="226"/>
      <c r="L7" s="223">
        <f t="shared" si="1"/>
        <v>0</v>
      </c>
      <c r="M7" s="227">
        <f t="shared" si="2"/>
        <v>4826205</v>
      </c>
      <c r="N7" s="225" t="s">
        <v>27</v>
      </c>
      <c r="O7" s="225" t="s">
        <v>28</v>
      </c>
      <c r="P7" s="226"/>
      <c r="Q7" s="226"/>
      <c r="R7" s="223">
        <f t="shared" si="3"/>
        <v>0</v>
      </c>
      <c r="S7" s="228">
        <f t="shared" si="4"/>
        <v>4826205</v>
      </c>
      <c r="U7" s="198"/>
    </row>
    <row r="8" spans="1:29" ht="15" customHeight="1">
      <c r="A8" s="12">
        <v>51201030</v>
      </c>
      <c r="B8" s="219" t="s">
        <v>27</v>
      </c>
      <c r="C8" s="220" t="s">
        <v>29</v>
      </c>
      <c r="D8" s="221">
        <v>17500</v>
      </c>
      <c r="E8" s="221">
        <v>2391</v>
      </c>
      <c r="F8" s="223">
        <f t="shared" si="0"/>
        <v>3486556</v>
      </c>
      <c r="G8" s="230"/>
      <c r="H8" s="225" t="s">
        <v>27</v>
      </c>
      <c r="I8" s="220" t="s">
        <v>29</v>
      </c>
      <c r="J8" s="226"/>
      <c r="K8" s="226"/>
      <c r="L8" s="223">
        <f t="shared" si="1"/>
        <v>0</v>
      </c>
      <c r="M8" s="227">
        <f t="shared" si="2"/>
        <v>3486556</v>
      </c>
      <c r="N8" s="225" t="s">
        <v>27</v>
      </c>
      <c r="O8" s="333" t="s">
        <v>29</v>
      </c>
      <c r="P8" s="226"/>
      <c r="Q8" s="226"/>
      <c r="R8" s="334">
        <f t="shared" si="3"/>
        <v>0</v>
      </c>
      <c r="S8" s="228">
        <f t="shared" si="4"/>
        <v>3486556</v>
      </c>
      <c r="U8" s="198"/>
    </row>
    <row r="9" spans="1:29" ht="11.25" customHeight="1">
      <c r="A9" s="12">
        <v>51071700</v>
      </c>
      <c r="B9" s="219" t="s">
        <v>30</v>
      </c>
      <c r="C9" s="220" t="s">
        <v>31</v>
      </c>
      <c r="D9" s="221">
        <v>1155.8</v>
      </c>
      <c r="E9" s="221">
        <v>157.91999999999999</v>
      </c>
      <c r="F9" s="223">
        <f t="shared" si="0"/>
        <v>230279</v>
      </c>
      <c r="G9" s="231"/>
      <c r="H9" s="225" t="s">
        <v>30</v>
      </c>
      <c r="I9" s="220" t="s">
        <v>31</v>
      </c>
      <c r="J9" s="226">
        <v>93.06</v>
      </c>
      <c r="K9" s="226">
        <v>12.87</v>
      </c>
      <c r="L9" s="223">
        <f t="shared" si="1"/>
        <v>18459</v>
      </c>
      <c r="M9" s="227">
        <f t="shared" si="2"/>
        <v>248738</v>
      </c>
      <c r="N9" s="225" t="s">
        <v>30</v>
      </c>
      <c r="O9" s="333" t="s">
        <v>31</v>
      </c>
      <c r="P9" s="226"/>
      <c r="Q9" s="226"/>
      <c r="R9" s="334">
        <f t="shared" si="3"/>
        <v>0</v>
      </c>
      <c r="S9" s="228">
        <f t="shared" si="4"/>
        <v>248738</v>
      </c>
      <c r="U9" s="198"/>
    </row>
    <row r="10" spans="1:29" ht="11.25" customHeight="1">
      <c r="A10" s="12">
        <v>51321010</v>
      </c>
      <c r="B10" s="219" t="s">
        <v>32</v>
      </c>
      <c r="C10" s="220"/>
      <c r="D10" s="221">
        <v>14627.75</v>
      </c>
      <c r="E10" s="221">
        <v>1998.57</v>
      </c>
      <c r="F10" s="223">
        <f t="shared" si="0"/>
        <v>2914315</v>
      </c>
      <c r="G10" s="232"/>
      <c r="H10" s="225" t="s">
        <v>32</v>
      </c>
      <c r="I10" s="225"/>
      <c r="J10" s="226">
        <v>45500.22</v>
      </c>
      <c r="K10" s="226">
        <v>6294.91</v>
      </c>
      <c r="L10" s="223">
        <f t="shared" si="1"/>
        <v>9028789</v>
      </c>
      <c r="M10" s="227">
        <f t="shared" si="2"/>
        <v>11943104</v>
      </c>
      <c r="N10" s="225" t="s">
        <v>32</v>
      </c>
      <c r="O10" s="335"/>
      <c r="P10" s="226">
        <v>167290.76</v>
      </c>
      <c r="Q10" s="226">
        <v>22984.82</v>
      </c>
      <c r="R10" s="334">
        <f t="shared" si="3"/>
        <v>33268228</v>
      </c>
      <c r="S10" s="228">
        <f t="shared" si="4"/>
        <v>45211332</v>
      </c>
      <c r="U10" s="198"/>
      <c r="AB10" s="202"/>
      <c r="AC10" s="188"/>
    </row>
    <row r="11" spans="1:29" ht="11.25" customHeight="1">
      <c r="A11" s="12">
        <v>51031020</v>
      </c>
      <c r="B11" s="233" t="s">
        <v>33</v>
      </c>
      <c r="C11" s="233" t="s">
        <v>34</v>
      </c>
      <c r="D11" s="233"/>
      <c r="E11" s="234"/>
      <c r="F11" s="235">
        <f t="shared" si="0"/>
        <v>0</v>
      </c>
      <c r="G11" s="236">
        <f>G13/G12</f>
        <v>1450.1752261687823</v>
      </c>
      <c r="H11" s="233" t="s">
        <v>33</v>
      </c>
      <c r="I11" s="233" t="s">
        <v>35</v>
      </c>
      <c r="J11" s="237"/>
      <c r="K11" s="238"/>
      <c r="L11" s="239">
        <f t="shared" si="1"/>
        <v>0</v>
      </c>
      <c r="M11" s="227">
        <f t="shared" si="2"/>
        <v>0</v>
      </c>
      <c r="N11" s="233" t="s">
        <v>33</v>
      </c>
      <c r="O11" s="336" t="s">
        <v>35</v>
      </c>
      <c r="P11" s="337">
        <v>56779</v>
      </c>
      <c r="Q11" s="337">
        <v>7783.81</v>
      </c>
      <c r="R11" s="338">
        <f t="shared" si="3"/>
        <v>11266287</v>
      </c>
      <c r="S11" s="228">
        <f t="shared" si="4"/>
        <v>11266287</v>
      </c>
      <c r="U11" s="198"/>
      <c r="AB11" s="202"/>
      <c r="AC11" s="188"/>
    </row>
    <row r="12" spans="1:29" ht="11.25" customHeight="1">
      <c r="A12" s="12">
        <v>52981010</v>
      </c>
      <c r="B12" s="225" t="s">
        <v>36</v>
      </c>
      <c r="C12" s="225" t="s">
        <v>37</v>
      </c>
      <c r="D12" s="23"/>
      <c r="E12" s="221"/>
      <c r="F12" s="223">
        <f t="shared" si="0"/>
        <v>0</v>
      </c>
      <c r="G12" s="240">
        <f>E13+Q13+AB13</f>
        <v>41409.339999999997</v>
      </c>
      <c r="H12" s="225" t="s">
        <v>36</v>
      </c>
      <c r="I12" s="225" t="s">
        <v>37</v>
      </c>
      <c r="J12" s="241"/>
      <c r="K12" s="221"/>
      <c r="L12" s="223">
        <f t="shared" si="1"/>
        <v>0</v>
      </c>
      <c r="M12" s="227">
        <f t="shared" si="2"/>
        <v>0</v>
      </c>
      <c r="N12" s="225" t="s">
        <v>36</v>
      </c>
      <c r="O12" s="335" t="s">
        <v>37</v>
      </c>
      <c r="P12" s="339"/>
      <c r="Q12" s="226"/>
      <c r="R12" s="334">
        <f t="shared" si="3"/>
        <v>0</v>
      </c>
      <c r="S12" s="228">
        <f t="shared" si="4"/>
        <v>0</v>
      </c>
      <c r="U12" s="198"/>
      <c r="AB12" s="202"/>
      <c r="AC12" s="188"/>
    </row>
    <row r="13" spans="1:29" s="188" customFormat="1" ht="11.25" customHeight="1">
      <c r="A13" s="17"/>
      <c r="B13" s="242" t="s">
        <v>38</v>
      </c>
      <c r="C13" s="243"/>
      <c r="D13" s="244">
        <f>SUM(D5:D11)-D12</f>
        <v>77880.42</v>
      </c>
      <c r="E13" s="244">
        <f>SUM(E5:E11)-E12</f>
        <v>10640.71</v>
      </c>
      <c r="F13" s="245">
        <f>SUM(F5:F11)-F12</f>
        <v>15516284</v>
      </c>
      <c r="G13" s="246">
        <f>F13+R13+AC13</f>
        <v>60050799</v>
      </c>
      <c r="H13" s="242" t="s">
        <v>38</v>
      </c>
      <c r="I13" s="243"/>
      <c r="J13" s="244">
        <f>SUM(J5:J11)-J12</f>
        <v>56133.42</v>
      </c>
      <c r="K13" s="244">
        <f>SUM(K5:K11)-K12</f>
        <v>7766</v>
      </c>
      <c r="L13" s="245">
        <f>SUM(L5:L11)-L12</f>
        <v>11138773</v>
      </c>
      <c r="M13" s="227">
        <f t="shared" si="2"/>
        <v>26655057</v>
      </c>
      <c r="N13" s="242" t="s">
        <v>38</v>
      </c>
      <c r="O13" s="243"/>
      <c r="P13" s="244">
        <f>SUM(P5:P11)-P12</f>
        <v>224069.76000000001</v>
      </c>
      <c r="Q13" s="244">
        <f>SUM(Q5:Q11)-Q12</f>
        <v>30768.63</v>
      </c>
      <c r="R13" s="245">
        <f>SUM(R5:R11)-R12</f>
        <v>44534515</v>
      </c>
      <c r="S13" s="228">
        <f t="shared" si="4"/>
        <v>71189572</v>
      </c>
      <c r="U13" s="247"/>
      <c r="X13" s="248">
        <f>F13+R13</f>
        <v>60050799</v>
      </c>
      <c r="Y13" s="249"/>
      <c r="Z13" s="250"/>
      <c r="AB13" s="203"/>
    </row>
    <row r="14" spans="1:29" ht="14.25" customHeight="1">
      <c r="A14" s="9"/>
      <c r="C14" s="200"/>
      <c r="D14" s="251">
        <f>SUM(D7:D10)</f>
        <v>57507.55</v>
      </c>
      <c r="E14" s="251">
        <f>SUM(E7:E10)</f>
        <v>7857.19</v>
      </c>
      <c r="F14" s="251">
        <f>SUM(F7:F10)</f>
        <v>11457355</v>
      </c>
      <c r="G14" s="252"/>
      <c r="J14" s="253">
        <f>J13+D13+P13</f>
        <v>358083.6</v>
      </c>
      <c r="K14" s="253">
        <f>K13+E13+Q13</f>
        <v>49175.34</v>
      </c>
      <c r="L14" s="254">
        <f>L13+F13+R13</f>
        <v>71189572</v>
      </c>
      <c r="M14" s="255" t="e">
        <f>M16-E12</f>
        <v>#REF!</v>
      </c>
      <c r="O14" s="202"/>
      <c r="P14" s="248">
        <f>P13+D13+J13</f>
        <v>358083.6</v>
      </c>
      <c r="Q14" s="248">
        <f>Q13+E13+K13</f>
        <v>49175.34</v>
      </c>
      <c r="R14" s="256">
        <f>R13+F13+L13</f>
        <v>71189572</v>
      </c>
      <c r="X14" s="202"/>
      <c r="Y14" s="202"/>
      <c r="AB14" s="202"/>
      <c r="AC14" s="188"/>
    </row>
    <row r="15" spans="1:29" ht="14.25" customHeight="1">
      <c r="A15" s="9"/>
      <c r="C15" s="200"/>
      <c r="D15" s="251"/>
      <c r="E15" s="251"/>
      <c r="F15" s="251"/>
      <c r="G15" s="252"/>
      <c r="K15" s="255" t="e">
        <f>K16-H95</f>
        <v>#REF!</v>
      </c>
      <c r="L15" s="255"/>
      <c r="M15" s="255" t="e">
        <f>M16-J95</f>
        <v>#REF!</v>
      </c>
      <c r="O15" s="202"/>
      <c r="P15" s="248"/>
      <c r="Q15" s="248"/>
      <c r="R15" s="256"/>
      <c r="X15" s="202"/>
      <c r="Y15" s="202"/>
      <c r="AB15" s="202"/>
      <c r="AC15" s="188"/>
    </row>
    <row r="16" spans="1:29" ht="18.75" customHeight="1">
      <c r="A16" s="9"/>
      <c r="C16" s="200"/>
      <c r="D16" s="200"/>
      <c r="E16" s="257"/>
      <c r="F16" s="257"/>
      <c r="G16" s="252"/>
      <c r="I16" s="202"/>
      <c r="J16" s="203"/>
      <c r="K16" s="258" t="e">
        <f>SUBTOTAL(9,K19:K97)</f>
        <v>#REF!</v>
      </c>
      <c r="L16" s="259"/>
      <c r="M16" s="258" t="e">
        <f>SUBTOTAL(9,M19:M97)</f>
        <v>#REF!</v>
      </c>
      <c r="N16" s="202"/>
      <c r="Q16" s="202"/>
    </row>
    <row r="17" spans="1:29" ht="11.25" customHeight="1">
      <c r="A17" s="9"/>
      <c r="B17" s="340" t="s">
        <v>39</v>
      </c>
      <c r="C17" s="341" t="s">
        <v>40</v>
      </c>
      <c r="D17" s="341" t="s">
        <v>41</v>
      </c>
      <c r="E17" s="342" t="s">
        <v>42</v>
      </c>
      <c r="F17" s="341" t="s">
        <v>18</v>
      </c>
      <c r="G17" s="343" t="s">
        <v>19</v>
      </c>
      <c r="H17" s="628" t="s">
        <v>3</v>
      </c>
      <c r="I17" s="629"/>
      <c r="J17" s="625"/>
      <c r="K17" s="628" t="s">
        <v>4</v>
      </c>
      <c r="L17" s="629"/>
      <c r="M17" s="625"/>
      <c r="N17" s="624" t="s">
        <v>5</v>
      </c>
      <c r="O17" s="625"/>
      <c r="P17" s="627"/>
      <c r="Q17" s="625"/>
      <c r="R17" s="343" t="s">
        <v>43</v>
      </c>
    </row>
    <row r="18" spans="1:29" ht="11.25" customHeight="1">
      <c r="A18" s="9"/>
      <c r="B18" s="345" t="s">
        <v>39</v>
      </c>
      <c r="C18" s="346" t="s">
        <v>40</v>
      </c>
      <c r="D18" s="346" t="s">
        <v>41</v>
      </c>
      <c r="E18" s="347" t="s">
        <v>42</v>
      </c>
      <c r="F18" s="346" t="s">
        <v>18</v>
      </c>
      <c r="G18" s="348" t="s">
        <v>19</v>
      </c>
      <c r="H18" s="349" t="s">
        <v>44</v>
      </c>
      <c r="I18" s="349" t="s">
        <v>7</v>
      </c>
      <c r="J18" s="350" t="s">
        <v>9</v>
      </c>
      <c r="K18" s="350" t="s">
        <v>44</v>
      </c>
      <c r="L18" s="349" t="s">
        <v>7</v>
      </c>
      <c r="M18" s="349" t="s">
        <v>9</v>
      </c>
      <c r="N18" s="344" t="s">
        <v>44</v>
      </c>
      <c r="O18" s="344" t="s">
        <v>9</v>
      </c>
      <c r="P18" s="626" t="s">
        <v>45</v>
      </c>
      <c r="Q18" s="625"/>
      <c r="R18" s="348" t="s">
        <v>43</v>
      </c>
    </row>
    <row r="19" spans="1:29" ht="11.25" customHeight="1">
      <c r="B19" s="351">
        <v>45688</v>
      </c>
      <c r="C19" s="352"/>
      <c r="D19" s="352"/>
      <c r="E19" s="353"/>
      <c r="F19" s="354"/>
      <c r="G19" s="355"/>
      <c r="H19" s="356"/>
      <c r="I19" s="352"/>
      <c r="J19" s="355"/>
      <c r="K19" s="357"/>
      <c r="L19" s="358"/>
      <c r="M19" s="359"/>
      <c r="N19" s="360">
        <v>133987.27000000031</v>
      </c>
      <c r="O19" s="360">
        <v>18406.710704719779</v>
      </c>
      <c r="P19" s="361"/>
      <c r="Q19" s="353"/>
      <c r="R19" s="362"/>
      <c r="S19" s="289">
        <v>10640.709642466811</v>
      </c>
    </row>
    <row r="20" spans="1:29" s="323" customFormat="1" ht="12" customHeight="1">
      <c r="A20" s="13"/>
      <c r="B20" s="363">
        <v>45699</v>
      </c>
      <c r="C20" s="54" t="s">
        <v>48</v>
      </c>
      <c r="D20" s="54"/>
      <c r="E20" s="55">
        <v>1</v>
      </c>
      <c r="F20" s="55"/>
      <c r="G20" s="48"/>
      <c r="H20" s="49">
        <v>324926.21000000002</v>
      </c>
      <c r="I20" s="300"/>
      <c r="J20" s="49">
        <v>44595</v>
      </c>
      <c r="K20" s="301"/>
      <c r="L20" s="302"/>
      <c r="M20" s="303"/>
      <c r="N20" s="303">
        <f t="shared" ref="N20:N51" si="5">N19+H20-K20</f>
        <v>458913.48000000033</v>
      </c>
      <c r="O20" s="303">
        <f t="shared" ref="O20:O51" si="6">O19+J20-M20</f>
        <v>63001.710704719779</v>
      </c>
      <c r="P20" s="304"/>
      <c r="Q20" s="305"/>
      <c r="R20" s="305"/>
      <c r="S20" s="298">
        <f>S19-M20</f>
        <v>10640.709642466811</v>
      </c>
      <c r="T20" s="198"/>
      <c r="V20" s="198"/>
      <c r="W20" s="198"/>
      <c r="X20" s="198"/>
      <c r="Y20" s="198"/>
      <c r="Z20" s="198"/>
      <c r="AA20" s="198"/>
      <c r="AB20" s="198"/>
      <c r="AC20" s="198"/>
    </row>
    <row r="21" spans="1:29" s="323" customFormat="1" ht="12" customHeight="1">
      <c r="A21" s="13"/>
      <c r="B21" s="299"/>
      <c r="C21" s="45" t="s">
        <v>49</v>
      </c>
      <c r="D21" s="54"/>
      <c r="E21" s="56"/>
      <c r="F21" s="56" t="s">
        <v>32</v>
      </c>
      <c r="G21" s="48"/>
      <c r="H21" s="49"/>
      <c r="I21" s="300"/>
      <c r="J21" s="49"/>
      <c r="K21" s="301"/>
      <c r="L21" s="302"/>
      <c r="M21" s="364">
        <v>51</v>
      </c>
      <c r="N21" s="303">
        <f t="shared" si="5"/>
        <v>458913.48000000033</v>
      </c>
      <c r="O21" s="303">
        <f t="shared" si="6"/>
        <v>62950.710704719779</v>
      </c>
      <c r="P21" s="304" t="s">
        <v>96</v>
      </c>
      <c r="Q21" s="305"/>
      <c r="R21" s="305"/>
      <c r="S21" s="298"/>
      <c r="T21" s="198"/>
      <c r="V21" s="198"/>
      <c r="W21" s="198"/>
      <c r="X21" s="198"/>
      <c r="Y21" s="198"/>
      <c r="Z21" s="198"/>
      <c r="AA21" s="198"/>
      <c r="AB21" s="198"/>
      <c r="AC21" s="198"/>
    </row>
    <row r="22" spans="1:29" s="323" customFormat="1" ht="12" customHeight="1">
      <c r="A22" s="13"/>
      <c r="B22" s="365">
        <v>45702</v>
      </c>
      <c r="C22" s="19" t="s">
        <v>51</v>
      </c>
      <c r="D22" s="21"/>
      <c r="E22" s="20">
        <v>2</v>
      </c>
      <c r="F22" s="57" t="s">
        <v>27</v>
      </c>
      <c r="G22" s="14" t="s">
        <v>28</v>
      </c>
      <c r="H22" s="34"/>
      <c r="I22" s="291"/>
      <c r="J22" s="34"/>
      <c r="K22" s="292">
        <v>24224</v>
      </c>
      <c r="L22" s="293" t="e">
        <f>#REF!</f>
        <v>#REF!</v>
      </c>
      <c r="M22" s="366" t="e">
        <f t="shared" ref="M22:M52" si="7">K22/L22</f>
        <v>#REF!</v>
      </c>
      <c r="N22" s="295">
        <f t="shared" si="5"/>
        <v>434689.48000000033</v>
      </c>
      <c r="O22" s="295" t="e">
        <f t="shared" si="6"/>
        <v>#REF!</v>
      </c>
      <c r="P22" s="296" t="s">
        <v>56</v>
      </c>
      <c r="Q22" s="297"/>
      <c r="R22" s="297"/>
      <c r="S22" s="298" t="e">
        <f>S20-M22</f>
        <v>#REF!</v>
      </c>
      <c r="T22" s="198"/>
      <c r="V22" s="198"/>
      <c r="W22" s="198"/>
      <c r="X22" s="198"/>
      <c r="Y22" s="198"/>
      <c r="Z22" s="198"/>
      <c r="AA22" s="198"/>
      <c r="AB22" s="198"/>
      <c r="AC22" s="198"/>
    </row>
    <row r="23" spans="1:29" s="323" customFormat="1" ht="12" customHeight="1">
      <c r="A23" s="13"/>
      <c r="B23" s="365">
        <v>45702</v>
      </c>
      <c r="C23" s="19" t="s">
        <v>49</v>
      </c>
      <c r="D23" s="21"/>
      <c r="E23" s="20">
        <v>3</v>
      </c>
      <c r="F23" s="57" t="s">
        <v>32</v>
      </c>
      <c r="G23" s="14"/>
      <c r="H23" s="34"/>
      <c r="I23" s="291"/>
      <c r="J23" s="34"/>
      <c r="K23" s="292">
        <v>7.2</v>
      </c>
      <c r="L23" s="293" t="e">
        <f>#REF!</f>
        <v>#REF!</v>
      </c>
      <c r="M23" s="366" t="e">
        <f t="shared" si="7"/>
        <v>#REF!</v>
      </c>
      <c r="N23" s="295">
        <f t="shared" si="5"/>
        <v>434682.28000000032</v>
      </c>
      <c r="O23" s="295" t="e">
        <f t="shared" si="6"/>
        <v>#REF!</v>
      </c>
      <c r="P23" s="296" t="s">
        <v>56</v>
      </c>
      <c r="Q23" s="297"/>
      <c r="R23" s="297"/>
      <c r="S23" s="298" t="e">
        <f t="shared" ref="S23:S53" si="8">S22-M23</f>
        <v>#REF!</v>
      </c>
      <c r="T23" s="198"/>
      <c r="V23" s="198"/>
      <c r="W23" s="198"/>
      <c r="X23" s="198"/>
      <c r="Y23" s="198"/>
      <c r="Z23" s="198"/>
      <c r="AA23" s="198"/>
      <c r="AB23" s="198"/>
      <c r="AC23" s="198"/>
    </row>
    <row r="24" spans="1:29" s="188" customFormat="1" ht="11.25" customHeight="1">
      <c r="A24" s="13"/>
      <c r="B24" s="365">
        <v>45702</v>
      </c>
      <c r="C24" s="19" t="s">
        <v>53</v>
      </c>
      <c r="D24" s="21"/>
      <c r="E24" s="20">
        <v>4</v>
      </c>
      <c r="F24" s="57" t="s">
        <v>25</v>
      </c>
      <c r="G24" s="14" t="s">
        <v>26</v>
      </c>
      <c r="H24" s="34"/>
      <c r="I24" s="291"/>
      <c r="J24" s="34"/>
      <c r="K24" s="292">
        <v>1600</v>
      </c>
      <c r="L24" s="293" t="e">
        <f>#REF!</f>
        <v>#REF!</v>
      </c>
      <c r="M24" s="366" t="e">
        <f t="shared" si="7"/>
        <v>#REF!</v>
      </c>
      <c r="N24" s="295">
        <f t="shared" si="5"/>
        <v>433082.28000000032</v>
      </c>
      <c r="O24" s="295" t="e">
        <f t="shared" si="6"/>
        <v>#REF!</v>
      </c>
      <c r="P24" s="296" t="s">
        <v>56</v>
      </c>
      <c r="Q24" s="297"/>
      <c r="R24" s="297"/>
      <c r="S24" s="298" t="e">
        <f t="shared" si="8"/>
        <v>#REF!</v>
      </c>
      <c r="T24" s="198"/>
      <c r="U24" s="323"/>
      <c r="V24" s="198"/>
      <c r="W24" s="198"/>
      <c r="X24" s="198"/>
      <c r="Y24" s="198"/>
      <c r="Z24" s="198"/>
      <c r="AA24" s="198"/>
      <c r="AB24" s="198"/>
      <c r="AC24" s="198"/>
    </row>
    <row r="25" spans="1:29" s="188" customFormat="1" ht="11.25" customHeight="1">
      <c r="A25" s="13"/>
      <c r="B25" s="365">
        <v>45702</v>
      </c>
      <c r="C25" s="19" t="s">
        <v>49</v>
      </c>
      <c r="D25" s="21"/>
      <c r="E25" s="20">
        <v>5</v>
      </c>
      <c r="F25" s="57" t="s">
        <v>32</v>
      </c>
      <c r="G25" s="14"/>
      <c r="H25" s="34"/>
      <c r="I25" s="291"/>
      <c r="J25" s="34"/>
      <c r="K25" s="292">
        <v>3.6</v>
      </c>
      <c r="L25" s="293" t="e">
        <f>#REF!</f>
        <v>#REF!</v>
      </c>
      <c r="M25" s="366" t="e">
        <f t="shared" si="7"/>
        <v>#REF!</v>
      </c>
      <c r="N25" s="295">
        <f t="shared" si="5"/>
        <v>433078.68000000034</v>
      </c>
      <c r="O25" s="295" t="e">
        <f t="shared" si="6"/>
        <v>#REF!</v>
      </c>
      <c r="P25" s="296" t="s">
        <v>56</v>
      </c>
      <c r="Q25" s="297"/>
      <c r="R25" s="297"/>
      <c r="S25" s="298" t="e">
        <f t="shared" si="8"/>
        <v>#REF!</v>
      </c>
      <c r="T25" s="198"/>
      <c r="U25" s="323"/>
      <c r="V25" s="198"/>
      <c r="W25" s="198"/>
      <c r="X25" s="198"/>
      <c r="Y25" s="198"/>
      <c r="Z25" s="198"/>
      <c r="AA25" s="198"/>
      <c r="AB25" s="198"/>
      <c r="AC25" s="198"/>
    </row>
    <row r="26" spans="1:29" s="188" customFormat="1" ht="11.25" customHeight="1">
      <c r="A26" s="13"/>
      <c r="B26" s="365">
        <v>45708</v>
      </c>
      <c r="C26" s="19" t="s">
        <v>54</v>
      </c>
      <c r="D26" s="21"/>
      <c r="E26" s="20">
        <v>6</v>
      </c>
      <c r="F26" s="57" t="s">
        <v>32</v>
      </c>
      <c r="G26" s="14"/>
      <c r="H26" s="34"/>
      <c r="I26" s="291"/>
      <c r="J26" s="34"/>
      <c r="K26" s="292">
        <v>1010</v>
      </c>
      <c r="L26" s="293" t="e">
        <f>#REF!</f>
        <v>#REF!</v>
      </c>
      <c r="M26" s="366" t="e">
        <f t="shared" si="7"/>
        <v>#REF!</v>
      </c>
      <c r="N26" s="295">
        <f t="shared" si="5"/>
        <v>432068.68000000034</v>
      </c>
      <c r="O26" s="295" t="e">
        <f t="shared" si="6"/>
        <v>#REF!</v>
      </c>
      <c r="P26" s="296" t="s">
        <v>56</v>
      </c>
      <c r="Q26" s="297"/>
      <c r="R26" s="297"/>
      <c r="S26" s="298" t="e">
        <f t="shared" si="8"/>
        <v>#REF!</v>
      </c>
      <c r="T26" s="198"/>
      <c r="U26" s="323"/>
      <c r="V26" s="198"/>
      <c r="W26" s="198"/>
      <c r="X26" s="198"/>
      <c r="Y26" s="198"/>
      <c r="Z26" s="198"/>
      <c r="AA26" s="198"/>
      <c r="AB26" s="198"/>
      <c r="AC26" s="198"/>
    </row>
    <row r="27" spans="1:29" s="188" customFormat="1" ht="11.25" customHeight="1">
      <c r="A27" s="13"/>
      <c r="B27" s="365">
        <v>45708</v>
      </c>
      <c r="C27" s="19" t="s">
        <v>49</v>
      </c>
      <c r="D27" s="21"/>
      <c r="E27" s="20">
        <v>7</v>
      </c>
      <c r="F27" s="57" t="s">
        <v>32</v>
      </c>
      <c r="G27" s="14"/>
      <c r="H27" s="34"/>
      <c r="I27" s="291"/>
      <c r="J27" s="34"/>
      <c r="K27" s="292">
        <v>3.6</v>
      </c>
      <c r="L27" s="293" t="e">
        <f>#REF!</f>
        <v>#REF!</v>
      </c>
      <c r="M27" s="366" t="e">
        <f t="shared" si="7"/>
        <v>#REF!</v>
      </c>
      <c r="N27" s="295">
        <f t="shared" si="5"/>
        <v>432065.08000000037</v>
      </c>
      <c r="O27" s="295" t="e">
        <f t="shared" si="6"/>
        <v>#REF!</v>
      </c>
      <c r="P27" s="296" t="s">
        <v>56</v>
      </c>
      <c r="Q27" s="297"/>
      <c r="R27" s="297"/>
      <c r="S27" s="298" t="e">
        <f t="shared" si="8"/>
        <v>#REF!</v>
      </c>
      <c r="T27" s="198"/>
      <c r="U27" s="323"/>
      <c r="V27" s="198"/>
      <c r="W27" s="198"/>
      <c r="X27" s="198"/>
      <c r="Y27" s="198"/>
      <c r="Z27" s="198"/>
      <c r="AA27" s="198"/>
      <c r="AB27" s="198"/>
      <c r="AC27" s="198"/>
    </row>
    <row r="28" spans="1:29" s="188" customFormat="1" ht="11.25" customHeight="1">
      <c r="A28" s="13"/>
      <c r="B28" s="365">
        <v>45708</v>
      </c>
      <c r="C28" s="19" t="s">
        <v>55</v>
      </c>
      <c r="D28" s="21"/>
      <c r="E28" s="21">
        <v>8</v>
      </c>
      <c r="F28" s="57" t="s">
        <v>27</v>
      </c>
      <c r="G28" s="14" t="s">
        <v>29</v>
      </c>
      <c r="H28" s="22"/>
      <c r="I28" s="36"/>
      <c r="J28" s="36"/>
      <c r="K28" s="292">
        <v>10500</v>
      </c>
      <c r="L28" s="293" t="e">
        <f>#REF!</f>
        <v>#REF!</v>
      </c>
      <c r="M28" s="366" t="e">
        <f t="shared" si="7"/>
        <v>#REF!</v>
      </c>
      <c r="N28" s="295">
        <f t="shared" si="5"/>
        <v>421565.08000000037</v>
      </c>
      <c r="O28" s="295" t="e">
        <f t="shared" si="6"/>
        <v>#REF!</v>
      </c>
      <c r="P28" s="296" t="s">
        <v>56</v>
      </c>
      <c r="Q28" s="297"/>
      <c r="R28" s="297"/>
      <c r="S28" s="298" t="e">
        <f t="shared" si="8"/>
        <v>#REF!</v>
      </c>
      <c r="T28" s="198"/>
      <c r="U28" s="323"/>
      <c r="V28" s="198"/>
      <c r="W28" s="198"/>
      <c r="X28" s="198"/>
      <c r="Y28" s="198"/>
      <c r="Z28" s="198"/>
      <c r="AA28" s="198"/>
      <c r="AB28" s="198"/>
      <c r="AC28" s="198"/>
    </row>
    <row r="29" spans="1:29" s="188" customFormat="1" ht="11.25" customHeight="1">
      <c r="A29" s="13"/>
      <c r="B29" s="365">
        <v>45708</v>
      </c>
      <c r="C29" s="19" t="s">
        <v>57</v>
      </c>
      <c r="D29" s="21"/>
      <c r="E29" s="21">
        <v>8</v>
      </c>
      <c r="F29" s="57" t="s">
        <v>32</v>
      </c>
      <c r="G29" s="14"/>
      <c r="H29" s="22"/>
      <c r="I29" s="36"/>
      <c r="J29" s="36"/>
      <c r="K29" s="292">
        <v>6000</v>
      </c>
      <c r="L29" s="293" t="e">
        <f>#REF!</f>
        <v>#REF!</v>
      </c>
      <c r="M29" s="366" t="e">
        <f t="shared" si="7"/>
        <v>#REF!</v>
      </c>
      <c r="N29" s="295">
        <f t="shared" si="5"/>
        <v>415565.08000000037</v>
      </c>
      <c r="O29" s="295" t="e">
        <f t="shared" si="6"/>
        <v>#REF!</v>
      </c>
      <c r="P29" s="296" t="s">
        <v>56</v>
      </c>
      <c r="Q29" s="297"/>
      <c r="R29" s="297"/>
      <c r="S29" s="298" t="e">
        <f t="shared" si="8"/>
        <v>#REF!</v>
      </c>
      <c r="T29" s="198"/>
      <c r="U29" s="323"/>
      <c r="V29" s="198"/>
      <c r="W29" s="198"/>
      <c r="X29" s="198"/>
      <c r="Y29" s="198"/>
      <c r="Z29" s="198"/>
      <c r="AA29" s="198"/>
      <c r="AB29" s="198"/>
      <c r="AC29" s="198"/>
    </row>
    <row r="30" spans="1:29" s="188" customFormat="1" ht="11.25" customHeight="1">
      <c r="A30" s="13"/>
      <c r="B30" s="365">
        <v>45708</v>
      </c>
      <c r="C30" s="19" t="s">
        <v>58</v>
      </c>
      <c r="D30" s="21"/>
      <c r="E30" s="21">
        <v>8</v>
      </c>
      <c r="F30" s="57" t="s">
        <v>32</v>
      </c>
      <c r="G30" s="14"/>
      <c r="H30" s="22"/>
      <c r="I30" s="36"/>
      <c r="J30" s="36"/>
      <c r="K30" s="292">
        <v>680</v>
      </c>
      <c r="L30" s="293" t="e">
        <f>#REF!</f>
        <v>#REF!</v>
      </c>
      <c r="M30" s="366" t="e">
        <f t="shared" si="7"/>
        <v>#REF!</v>
      </c>
      <c r="N30" s="295">
        <f t="shared" si="5"/>
        <v>414885.08000000037</v>
      </c>
      <c r="O30" s="295" t="e">
        <f t="shared" si="6"/>
        <v>#REF!</v>
      </c>
      <c r="P30" s="296" t="s">
        <v>56</v>
      </c>
      <c r="Q30" s="297"/>
      <c r="R30" s="297"/>
      <c r="S30" s="298" t="e">
        <f t="shared" si="8"/>
        <v>#REF!</v>
      </c>
      <c r="T30" s="198"/>
      <c r="U30" s="323"/>
      <c r="V30" s="198"/>
      <c r="W30" s="198"/>
      <c r="X30" s="198"/>
      <c r="Y30" s="198"/>
      <c r="Z30" s="198"/>
      <c r="AA30" s="198"/>
      <c r="AB30" s="198"/>
      <c r="AC30" s="198"/>
    </row>
    <row r="31" spans="1:29" s="188" customFormat="1" ht="11.25" customHeight="1">
      <c r="A31" s="13"/>
      <c r="B31" s="365">
        <v>45708</v>
      </c>
      <c r="C31" s="19" t="s">
        <v>55</v>
      </c>
      <c r="D31" s="21"/>
      <c r="E31" s="21">
        <v>8</v>
      </c>
      <c r="F31" s="57" t="s">
        <v>27</v>
      </c>
      <c r="G31" s="14" t="s">
        <v>29</v>
      </c>
      <c r="H31" s="22"/>
      <c r="I31" s="36"/>
      <c r="J31" s="36"/>
      <c r="K31" s="292">
        <v>7000</v>
      </c>
      <c r="L31" s="293" t="e">
        <f>#REF!</f>
        <v>#REF!</v>
      </c>
      <c r="M31" s="366" t="e">
        <f t="shared" si="7"/>
        <v>#REF!</v>
      </c>
      <c r="N31" s="295">
        <f t="shared" si="5"/>
        <v>407885.08000000037</v>
      </c>
      <c r="O31" s="295" t="e">
        <f t="shared" si="6"/>
        <v>#REF!</v>
      </c>
      <c r="P31" s="296" t="s">
        <v>56</v>
      </c>
      <c r="Q31" s="297"/>
      <c r="R31" s="297"/>
      <c r="S31" s="298" t="e">
        <f t="shared" si="8"/>
        <v>#REF!</v>
      </c>
      <c r="T31" s="198"/>
      <c r="U31" s="323"/>
      <c r="V31" s="198"/>
      <c r="W31" s="198"/>
      <c r="X31" s="198"/>
      <c r="Y31" s="198"/>
      <c r="Z31" s="198"/>
      <c r="AA31" s="198"/>
      <c r="AB31" s="198"/>
      <c r="AC31" s="198"/>
    </row>
    <row r="32" spans="1:29" s="188" customFormat="1" ht="11.25" customHeight="1">
      <c r="A32" s="13"/>
      <c r="B32" s="365">
        <v>45708</v>
      </c>
      <c r="C32" s="19" t="s">
        <v>57</v>
      </c>
      <c r="D32" s="21"/>
      <c r="E32" s="21">
        <v>8</v>
      </c>
      <c r="F32" s="57" t="s">
        <v>32</v>
      </c>
      <c r="G32" s="14"/>
      <c r="H32" s="22"/>
      <c r="I32" s="36"/>
      <c r="J32" s="36"/>
      <c r="K32" s="292">
        <v>6000</v>
      </c>
      <c r="L32" s="293" t="e">
        <f>#REF!</f>
        <v>#REF!</v>
      </c>
      <c r="M32" s="366" t="e">
        <f t="shared" si="7"/>
        <v>#REF!</v>
      </c>
      <c r="N32" s="295">
        <f t="shared" si="5"/>
        <v>401885.08000000037</v>
      </c>
      <c r="O32" s="295" t="e">
        <f t="shared" si="6"/>
        <v>#REF!</v>
      </c>
      <c r="P32" s="296" t="s">
        <v>56</v>
      </c>
      <c r="Q32" s="297"/>
      <c r="R32" s="297"/>
      <c r="S32" s="298" t="e">
        <f t="shared" si="8"/>
        <v>#REF!</v>
      </c>
      <c r="T32" s="198"/>
      <c r="U32" s="323"/>
      <c r="V32" s="198"/>
      <c r="W32" s="198"/>
      <c r="X32" s="198"/>
      <c r="Y32" s="198"/>
      <c r="Z32" s="198"/>
      <c r="AA32" s="198"/>
      <c r="AB32" s="198"/>
      <c r="AC32" s="198"/>
    </row>
    <row r="33" spans="1:29" s="188" customFormat="1" ht="11.25" customHeight="1">
      <c r="A33" s="13"/>
      <c r="B33" s="365">
        <v>45708</v>
      </c>
      <c r="C33" s="19" t="s">
        <v>58</v>
      </c>
      <c r="D33" s="21"/>
      <c r="E33" s="21">
        <v>8</v>
      </c>
      <c r="F33" s="57" t="s">
        <v>32</v>
      </c>
      <c r="G33" s="14"/>
      <c r="H33" s="22"/>
      <c r="I33" s="36"/>
      <c r="J33" s="36"/>
      <c r="K33" s="292">
        <v>230</v>
      </c>
      <c r="L33" s="293" t="e">
        <f>#REF!</f>
        <v>#REF!</v>
      </c>
      <c r="M33" s="366" t="e">
        <f t="shared" si="7"/>
        <v>#REF!</v>
      </c>
      <c r="N33" s="295">
        <f t="shared" si="5"/>
        <v>401655.08000000037</v>
      </c>
      <c r="O33" s="295" t="e">
        <f t="shared" si="6"/>
        <v>#REF!</v>
      </c>
      <c r="P33" s="296" t="s">
        <v>56</v>
      </c>
      <c r="Q33" s="297"/>
      <c r="R33" s="297"/>
      <c r="S33" s="298" t="e">
        <f t="shared" si="8"/>
        <v>#REF!</v>
      </c>
      <c r="T33" s="198"/>
      <c r="U33" s="323"/>
      <c r="V33" s="198"/>
      <c r="W33" s="198"/>
      <c r="X33" s="198"/>
      <c r="Y33" s="198"/>
      <c r="Z33" s="198"/>
      <c r="AA33" s="198"/>
      <c r="AB33" s="198"/>
      <c r="AC33" s="198"/>
    </row>
    <row r="34" spans="1:29" s="188" customFormat="1" ht="11.25" customHeight="1">
      <c r="A34" s="13"/>
      <c r="B34" s="365">
        <v>45708</v>
      </c>
      <c r="C34" s="19" t="s">
        <v>49</v>
      </c>
      <c r="D34" s="21"/>
      <c r="E34" s="21">
        <v>9</v>
      </c>
      <c r="F34" s="57" t="s">
        <v>32</v>
      </c>
      <c r="G34" s="14"/>
      <c r="H34" s="22"/>
      <c r="I34" s="36"/>
      <c r="J34" s="36"/>
      <c r="K34" s="292">
        <v>7.2</v>
      </c>
      <c r="L34" s="293" t="e">
        <f>#REF!</f>
        <v>#REF!</v>
      </c>
      <c r="M34" s="366" t="e">
        <f t="shared" si="7"/>
        <v>#REF!</v>
      </c>
      <c r="N34" s="295">
        <f t="shared" si="5"/>
        <v>401647.88000000035</v>
      </c>
      <c r="O34" s="295" t="e">
        <f t="shared" si="6"/>
        <v>#REF!</v>
      </c>
      <c r="P34" s="296" t="s">
        <v>56</v>
      </c>
      <c r="Q34" s="297"/>
      <c r="R34" s="297"/>
      <c r="S34" s="298" t="e">
        <f t="shared" si="8"/>
        <v>#REF!</v>
      </c>
      <c r="T34" s="198"/>
      <c r="U34" s="323"/>
      <c r="V34" s="198"/>
      <c r="W34" s="198"/>
      <c r="X34" s="198"/>
      <c r="Y34" s="198"/>
      <c r="Z34" s="198"/>
      <c r="AA34" s="198"/>
      <c r="AB34" s="198"/>
      <c r="AC34" s="198"/>
    </row>
    <row r="35" spans="1:29" s="188" customFormat="1" ht="11.25" customHeight="1">
      <c r="A35" s="13"/>
      <c r="B35" s="365">
        <v>45708</v>
      </c>
      <c r="C35" s="19" t="s">
        <v>97</v>
      </c>
      <c r="D35" s="367"/>
      <c r="E35" s="21">
        <v>10</v>
      </c>
      <c r="F35" s="20" t="s">
        <v>30</v>
      </c>
      <c r="G35" s="14" t="s">
        <v>31</v>
      </c>
      <c r="H35" s="22"/>
      <c r="I35" s="21"/>
      <c r="J35" s="21"/>
      <c r="K35" s="292">
        <v>397.8</v>
      </c>
      <c r="L35" s="293" t="e">
        <f>#REF!</f>
        <v>#REF!</v>
      </c>
      <c r="M35" s="366" t="e">
        <f t="shared" si="7"/>
        <v>#REF!</v>
      </c>
      <c r="N35" s="295">
        <f t="shared" si="5"/>
        <v>401250.08000000037</v>
      </c>
      <c r="O35" s="295" t="e">
        <f t="shared" si="6"/>
        <v>#REF!</v>
      </c>
      <c r="P35" s="296" t="s">
        <v>56</v>
      </c>
      <c r="Q35" s="297"/>
      <c r="R35" s="297"/>
      <c r="S35" s="298" t="e">
        <f t="shared" si="8"/>
        <v>#REF!</v>
      </c>
      <c r="T35" s="198"/>
      <c r="U35" s="323"/>
      <c r="V35" s="198"/>
      <c r="W35" s="198"/>
      <c r="X35" s="198"/>
      <c r="Y35" s="198"/>
      <c r="Z35" s="198"/>
      <c r="AA35" s="198"/>
      <c r="AB35" s="198"/>
      <c r="AC35" s="198"/>
    </row>
    <row r="36" spans="1:29" s="188" customFormat="1" ht="11.25" customHeight="1">
      <c r="A36" s="13"/>
      <c r="B36" s="365">
        <v>45708</v>
      </c>
      <c r="C36" s="19" t="s">
        <v>49</v>
      </c>
      <c r="D36" s="367"/>
      <c r="E36" s="21">
        <v>11</v>
      </c>
      <c r="F36" s="20" t="s">
        <v>32</v>
      </c>
      <c r="G36" s="14"/>
      <c r="H36" s="22"/>
      <c r="I36" s="21"/>
      <c r="J36" s="21"/>
      <c r="K36" s="292">
        <v>3.6</v>
      </c>
      <c r="L36" s="293" t="e">
        <f>#REF!</f>
        <v>#REF!</v>
      </c>
      <c r="M36" s="366" t="e">
        <f t="shared" si="7"/>
        <v>#REF!</v>
      </c>
      <c r="N36" s="295">
        <f t="shared" si="5"/>
        <v>401246.48000000039</v>
      </c>
      <c r="O36" s="295" t="e">
        <f t="shared" si="6"/>
        <v>#REF!</v>
      </c>
      <c r="P36" s="296" t="s">
        <v>56</v>
      </c>
      <c r="Q36" s="297"/>
      <c r="R36" s="297"/>
      <c r="S36" s="298" t="e">
        <f t="shared" si="8"/>
        <v>#REF!</v>
      </c>
      <c r="T36" s="198"/>
      <c r="U36" s="323"/>
      <c r="V36" s="198"/>
      <c r="W36" s="198"/>
      <c r="X36" s="198"/>
      <c r="Y36" s="198"/>
      <c r="Z36" s="198"/>
      <c r="AA36" s="198"/>
      <c r="AB36" s="198"/>
      <c r="AC36" s="198"/>
    </row>
    <row r="37" spans="1:29" s="188" customFormat="1" ht="11.25" customHeight="1">
      <c r="A37" s="13"/>
      <c r="B37" s="365">
        <v>45708</v>
      </c>
      <c r="C37" s="19" t="s">
        <v>98</v>
      </c>
      <c r="D37" s="21"/>
      <c r="E37" s="20">
        <v>12</v>
      </c>
      <c r="F37" s="20" t="s">
        <v>25</v>
      </c>
      <c r="G37" s="14" t="s">
        <v>26</v>
      </c>
      <c r="H37" s="22"/>
      <c r="I37" s="21"/>
      <c r="J37" s="21"/>
      <c r="K37" s="292">
        <v>1231.33</v>
      </c>
      <c r="L37" s="293" t="e">
        <f>#REF!</f>
        <v>#REF!</v>
      </c>
      <c r="M37" s="366" t="e">
        <f t="shared" si="7"/>
        <v>#REF!</v>
      </c>
      <c r="N37" s="295">
        <f t="shared" si="5"/>
        <v>400015.15000000037</v>
      </c>
      <c r="O37" s="295" t="e">
        <f t="shared" si="6"/>
        <v>#REF!</v>
      </c>
      <c r="P37" s="296" t="s">
        <v>56</v>
      </c>
      <c r="Q37" s="297"/>
      <c r="R37" s="297"/>
      <c r="S37" s="298" t="e">
        <f t="shared" si="8"/>
        <v>#REF!</v>
      </c>
      <c r="T37" s="198"/>
      <c r="U37" s="323"/>
      <c r="V37" s="198"/>
      <c r="W37" s="198"/>
      <c r="X37" s="198"/>
      <c r="Y37" s="198"/>
      <c r="Z37" s="198"/>
      <c r="AA37" s="198"/>
      <c r="AB37" s="198"/>
      <c r="AC37" s="198"/>
    </row>
    <row r="38" spans="1:29" s="188" customFormat="1" ht="11.25" customHeight="1">
      <c r="A38" s="13"/>
      <c r="B38" s="365">
        <v>45708</v>
      </c>
      <c r="C38" s="19" t="s">
        <v>99</v>
      </c>
      <c r="D38" s="21"/>
      <c r="E38" s="20">
        <v>13</v>
      </c>
      <c r="F38" s="20" t="s">
        <v>30</v>
      </c>
      <c r="G38" s="14" t="s">
        <v>31</v>
      </c>
      <c r="H38" s="22"/>
      <c r="I38" s="21"/>
      <c r="J38" s="21"/>
      <c r="K38" s="292">
        <v>108.9</v>
      </c>
      <c r="L38" s="293" t="e">
        <f>#REF!</f>
        <v>#REF!</v>
      </c>
      <c r="M38" s="366" t="e">
        <f t="shared" si="7"/>
        <v>#REF!</v>
      </c>
      <c r="N38" s="295">
        <f t="shared" si="5"/>
        <v>399906.25000000035</v>
      </c>
      <c r="O38" s="295" t="e">
        <f t="shared" si="6"/>
        <v>#REF!</v>
      </c>
      <c r="P38" s="296" t="s">
        <v>56</v>
      </c>
      <c r="Q38" s="297"/>
      <c r="R38" s="297"/>
      <c r="S38" s="298" t="e">
        <f t="shared" si="8"/>
        <v>#REF!</v>
      </c>
      <c r="T38" s="198"/>
      <c r="U38" s="323"/>
      <c r="V38" s="198"/>
      <c r="W38" s="198"/>
      <c r="X38" s="198"/>
      <c r="Y38" s="198"/>
      <c r="Z38" s="198"/>
      <c r="AA38" s="198"/>
      <c r="AB38" s="198"/>
      <c r="AC38" s="198"/>
    </row>
    <row r="39" spans="1:29" s="188" customFormat="1" ht="11.25" customHeight="1">
      <c r="A39" s="13"/>
      <c r="B39" s="365">
        <v>45708</v>
      </c>
      <c r="C39" s="19" t="s">
        <v>49</v>
      </c>
      <c r="D39" s="21"/>
      <c r="E39" s="20">
        <v>14</v>
      </c>
      <c r="F39" s="20" t="s">
        <v>32</v>
      </c>
      <c r="G39" s="14"/>
      <c r="H39" s="22"/>
      <c r="I39" s="21"/>
      <c r="J39" s="21"/>
      <c r="K39" s="292">
        <v>3.6</v>
      </c>
      <c r="L39" s="293" t="e">
        <f>#REF!</f>
        <v>#REF!</v>
      </c>
      <c r="M39" s="366" t="e">
        <f t="shared" si="7"/>
        <v>#REF!</v>
      </c>
      <c r="N39" s="295">
        <f t="shared" si="5"/>
        <v>399902.65000000037</v>
      </c>
      <c r="O39" s="295" t="e">
        <f t="shared" si="6"/>
        <v>#REF!</v>
      </c>
      <c r="P39" s="296" t="s">
        <v>56</v>
      </c>
      <c r="Q39" s="297"/>
      <c r="R39" s="297"/>
      <c r="S39" s="298" t="e">
        <f t="shared" si="8"/>
        <v>#REF!</v>
      </c>
      <c r="T39" s="198"/>
      <c r="U39" s="323"/>
      <c r="V39" s="198"/>
      <c r="W39" s="198"/>
      <c r="X39" s="198"/>
      <c r="Y39" s="198"/>
      <c r="Z39" s="198"/>
      <c r="AA39" s="198"/>
      <c r="AB39" s="198"/>
      <c r="AC39" s="198"/>
    </row>
    <row r="40" spans="1:29" s="188" customFormat="1" ht="11.25" customHeight="1">
      <c r="A40" s="13"/>
      <c r="B40" s="365">
        <v>45708</v>
      </c>
      <c r="C40" s="19" t="s">
        <v>100</v>
      </c>
      <c r="D40" s="21"/>
      <c r="E40" s="20">
        <v>15</v>
      </c>
      <c r="F40" s="20" t="s">
        <v>25</v>
      </c>
      <c r="G40" s="14" t="s">
        <v>26</v>
      </c>
      <c r="H40" s="22"/>
      <c r="I40" s="21"/>
      <c r="J40" s="21"/>
      <c r="K40" s="368">
        <v>503.6</v>
      </c>
      <c r="L40" s="293" t="e">
        <f>#REF!</f>
        <v>#REF!</v>
      </c>
      <c r="M40" s="366" t="e">
        <f t="shared" si="7"/>
        <v>#REF!</v>
      </c>
      <c r="N40" s="295">
        <f t="shared" si="5"/>
        <v>399399.0500000004</v>
      </c>
      <c r="O40" s="295" t="e">
        <f t="shared" si="6"/>
        <v>#REF!</v>
      </c>
      <c r="P40" s="296" t="s">
        <v>56</v>
      </c>
      <c r="Q40" s="297"/>
      <c r="R40" s="297"/>
      <c r="S40" s="298" t="e">
        <f t="shared" si="8"/>
        <v>#REF!</v>
      </c>
      <c r="T40" s="198"/>
      <c r="U40" s="323"/>
      <c r="V40" s="198"/>
      <c r="W40" s="198"/>
      <c r="X40" s="198"/>
      <c r="Y40" s="198"/>
      <c r="Z40" s="198"/>
      <c r="AA40" s="198"/>
      <c r="AB40" s="198"/>
      <c r="AC40" s="198"/>
    </row>
    <row r="41" spans="1:29" s="188" customFormat="1" ht="11.25" customHeight="1">
      <c r="A41" s="13"/>
      <c r="B41" s="365">
        <v>45708</v>
      </c>
      <c r="C41" s="19" t="s">
        <v>101</v>
      </c>
      <c r="D41" s="21"/>
      <c r="E41" s="20">
        <v>16</v>
      </c>
      <c r="F41" s="20" t="s">
        <v>25</v>
      </c>
      <c r="G41" s="14" t="s">
        <v>26</v>
      </c>
      <c r="H41" s="22"/>
      <c r="I41" s="21"/>
      <c r="J41" s="21"/>
      <c r="K41" s="368">
        <v>617.75</v>
      </c>
      <c r="L41" s="293" t="e">
        <f>#REF!</f>
        <v>#REF!</v>
      </c>
      <c r="M41" s="366" t="e">
        <f t="shared" si="7"/>
        <v>#REF!</v>
      </c>
      <c r="N41" s="295">
        <f t="shared" si="5"/>
        <v>398781.3000000004</v>
      </c>
      <c r="O41" s="295" t="e">
        <f t="shared" si="6"/>
        <v>#REF!</v>
      </c>
      <c r="P41" s="296" t="s">
        <v>56</v>
      </c>
      <c r="Q41" s="297"/>
      <c r="R41" s="297"/>
      <c r="S41" s="298" t="e">
        <f t="shared" si="8"/>
        <v>#REF!</v>
      </c>
      <c r="T41" s="198"/>
      <c r="U41" s="323"/>
      <c r="V41" s="198"/>
      <c r="W41" s="198"/>
      <c r="X41" s="198"/>
      <c r="Y41" s="198"/>
      <c r="Z41" s="198"/>
      <c r="AA41" s="198"/>
      <c r="AB41" s="198"/>
      <c r="AC41" s="198"/>
    </row>
    <row r="42" spans="1:29" s="188" customFormat="1" ht="11.25" customHeight="1">
      <c r="A42" s="13"/>
      <c r="B42" s="365">
        <v>45708</v>
      </c>
      <c r="C42" s="19" t="s">
        <v>102</v>
      </c>
      <c r="D42" s="21"/>
      <c r="E42" s="20">
        <v>17</v>
      </c>
      <c r="F42" s="20" t="s">
        <v>30</v>
      </c>
      <c r="G42" s="14" t="s">
        <v>31</v>
      </c>
      <c r="H42" s="22"/>
      <c r="I42" s="21"/>
      <c r="J42" s="21"/>
      <c r="K42" s="292">
        <v>350</v>
      </c>
      <c r="L42" s="293" t="e">
        <f>#REF!</f>
        <v>#REF!</v>
      </c>
      <c r="M42" s="366" t="e">
        <f t="shared" si="7"/>
        <v>#REF!</v>
      </c>
      <c r="N42" s="295">
        <f t="shared" si="5"/>
        <v>398431.3000000004</v>
      </c>
      <c r="O42" s="295" t="e">
        <f t="shared" si="6"/>
        <v>#REF!</v>
      </c>
      <c r="P42" s="296" t="s">
        <v>56</v>
      </c>
      <c r="Q42" s="297"/>
      <c r="R42" s="297"/>
      <c r="S42" s="298" t="e">
        <f t="shared" si="8"/>
        <v>#REF!</v>
      </c>
      <c r="T42" s="198"/>
      <c r="U42" s="323"/>
      <c r="V42" s="198"/>
      <c r="W42" s="198"/>
      <c r="X42" s="198"/>
      <c r="Y42" s="198"/>
      <c r="Z42" s="198"/>
      <c r="AA42" s="198"/>
      <c r="AB42" s="198"/>
      <c r="AC42" s="198"/>
    </row>
    <row r="43" spans="1:29" s="188" customFormat="1" ht="11.25" customHeight="1">
      <c r="A43" s="13"/>
      <c r="B43" s="365">
        <v>45708</v>
      </c>
      <c r="C43" s="19" t="s">
        <v>103</v>
      </c>
      <c r="D43" s="21"/>
      <c r="E43" s="20">
        <v>18</v>
      </c>
      <c r="F43" s="20" t="s">
        <v>32</v>
      </c>
      <c r="G43" s="14"/>
      <c r="H43" s="22"/>
      <c r="I43" s="21"/>
      <c r="J43" s="21"/>
      <c r="K43" s="368">
        <v>133.15</v>
      </c>
      <c r="L43" s="293" t="e">
        <f>#REF!</f>
        <v>#REF!</v>
      </c>
      <c r="M43" s="366" t="e">
        <f t="shared" si="7"/>
        <v>#REF!</v>
      </c>
      <c r="N43" s="295">
        <f t="shared" si="5"/>
        <v>398298.15000000037</v>
      </c>
      <c r="O43" s="295" t="e">
        <f t="shared" si="6"/>
        <v>#REF!</v>
      </c>
      <c r="P43" s="296" t="s">
        <v>56</v>
      </c>
      <c r="Q43" s="297"/>
      <c r="R43" s="297"/>
      <c r="S43" s="298" t="e">
        <f t="shared" si="8"/>
        <v>#REF!</v>
      </c>
      <c r="T43" s="198"/>
      <c r="U43" s="323"/>
      <c r="V43" s="198"/>
      <c r="W43" s="198"/>
      <c r="X43" s="198"/>
      <c r="Y43" s="198"/>
      <c r="Z43" s="198"/>
      <c r="AA43" s="198"/>
      <c r="AB43" s="198"/>
      <c r="AC43" s="198"/>
    </row>
    <row r="44" spans="1:29" s="188" customFormat="1" ht="11.25" customHeight="1">
      <c r="A44" s="13"/>
      <c r="B44" s="365">
        <v>45708</v>
      </c>
      <c r="C44" s="19" t="s">
        <v>104</v>
      </c>
      <c r="D44" s="21"/>
      <c r="E44" s="20">
        <v>19</v>
      </c>
      <c r="F44" s="20" t="s">
        <v>32</v>
      </c>
      <c r="G44" s="14"/>
      <c r="H44" s="22"/>
      <c r="I44" s="21"/>
      <c r="J44" s="21"/>
      <c r="K44" s="368">
        <v>369.6</v>
      </c>
      <c r="L44" s="293" t="e">
        <f>#REF!</f>
        <v>#REF!</v>
      </c>
      <c r="M44" s="366" t="e">
        <f t="shared" si="7"/>
        <v>#REF!</v>
      </c>
      <c r="N44" s="295">
        <f t="shared" si="5"/>
        <v>397928.5500000004</v>
      </c>
      <c r="O44" s="295" t="e">
        <f t="shared" si="6"/>
        <v>#REF!</v>
      </c>
      <c r="P44" s="296" t="s">
        <v>56</v>
      </c>
      <c r="Q44" s="297"/>
      <c r="R44" s="297"/>
      <c r="S44" s="298" t="e">
        <f t="shared" si="8"/>
        <v>#REF!</v>
      </c>
      <c r="T44" s="198"/>
      <c r="U44" s="323"/>
      <c r="V44" s="198"/>
      <c r="W44" s="198"/>
      <c r="X44" s="198"/>
      <c r="Y44" s="198"/>
      <c r="Z44" s="198"/>
      <c r="AA44" s="198"/>
      <c r="AB44" s="198"/>
      <c r="AC44" s="198"/>
    </row>
    <row r="45" spans="1:29" s="188" customFormat="1" ht="11.25" customHeight="1">
      <c r="A45" s="13"/>
      <c r="B45" s="365">
        <v>45708</v>
      </c>
      <c r="C45" s="19" t="s">
        <v>49</v>
      </c>
      <c r="D45" s="21"/>
      <c r="E45" s="20">
        <v>20</v>
      </c>
      <c r="F45" s="20" t="s">
        <v>32</v>
      </c>
      <c r="G45" s="14"/>
      <c r="H45" s="22"/>
      <c r="I45" s="21"/>
      <c r="J45" s="21"/>
      <c r="K45" s="292">
        <v>3.6</v>
      </c>
      <c r="L45" s="293" t="e">
        <f>#REF!</f>
        <v>#REF!</v>
      </c>
      <c r="M45" s="366" t="e">
        <f t="shared" si="7"/>
        <v>#REF!</v>
      </c>
      <c r="N45" s="295">
        <f t="shared" si="5"/>
        <v>397924.95000000042</v>
      </c>
      <c r="O45" s="295" t="e">
        <f t="shared" si="6"/>
        <v>#REF!</v>
      </c>
      <c r="P45" s="296" t="s">
        <v>56</v>
      </c>
      <c r="Q45" s="297"/>
      <c r="R45" s="297"/>
      <c r="S45" s="298" t="e">
        <f t="shared" si="8"/>
        <v>#REF!</v>
      </c>
      <c r="T45" s="198"/>
      <c r="U45" s="323"/>
      <c r="V45" s="198"/>
      <c r="W45" s="198"/>
      <c r="X45" s="198"/>
      <c r="Y45" s="198"/>
      <c r="Z45" s="198"/>
      <c r="AA45" s="198"/>
      <c r="AB45" s="198"/>
      <c r="AC45" s="198"/>
    </row>
    <row r="46" spans="1:29" s="188" customFormat="1" ht="11.25" customHeight="1">
      <c r="A46" s="13"/>
      <c r="B46" s="365">
        <v>45708</v>
      </c>
      <c r="C46" s="19" t="s">
        <v>105</v>
      </c>
      <c r="D46" s="21"/>
      <c r="E46" s="20">
        <v>21</v>
      </c>
      <c r="F46" s="20" t="s">
        <v>25</v>
      </c>
      <c r="G46" s="14" t="s">
        <v>26</v>
      </c>
      <c r="H46" s="22"/>
      <c r="I46" s="21"/>
      <c r="J46" s="21"/>
      <c r="K46" s="368">
        <v>292.45999999999998</v>
      </c>
      <c r="L46" s="293" t="e">
        <f>#REF!</f>
        <v>#REF!</v>
      </c>
      <c r="M46" s="366" t="e">
        <f t="shared" si="7"/>
        <v>#REF!</v>
      </c>
      <c r="N46" s="295">
        <f t="shared" si="5"/>
        <v>397632.4900000004</v>
      </c>
      <c r="O46" s="295" t="e">
        <f t="shared" si="6"/>
        <v>#REF!</v>
      </c>
      <c r="P46" s="296" t="s">
        <v>56</v>
      </c>
      <c r="Q46" s="297"/>
      <c r="R46" s="297"/>
      <c r="S46" s="298" t="e">
        <f t="shared" si="8"/>
        <v>#REF!</v>
      </c>
      <c r="T46" s="198"/>
      <c r="U46" s="323"/>
      <c r="V46" s="198"/>
      <c r="W46" s="198"/>
      <c r="X46" s="198"/>
      <c r="Y46" s="198"/>
      <c r="Z46" s="198"/>
      <c r="AA46" s="198"/>
      <c r="AB46" s="198"/>
      <c r="AC46" s="198"/>
    </row>
    <row r="47" spans="1:29" s="188" customFormat="1" ht="11.25" customHeight="1">
      <c r="A47" s="13"/>
      <c r="B47" s="365">
        <v>45708</v>
      </c>
      <c r="C47" s="19" t="s">
        <v>106</v>
      </c>
      <c r="D47" s="21"/>
      <c r="E47" s="20">
        <v>22</v>
      </c>
      <c r="F47" s="20" t="s">
        <v>30</v>
      </c>
      <c r="G47" s="14" t="s">
        <v>31</v>
      </c>
      <c r="H47" s="22"/>
      <c r="I47" s="21"/>
      <c r="J47" s="21"/>
      <c r="K47" s="368">
        <v>299.10000000000002</v>
      </c>
      <c r="L47" s="293" t="e">
        <f>#REF!</f>
        <v>#REF!</v>
      </c>
      <c r="M47" s="366" t="e">
        <f t="shared" si="7"/>
        <v>#REF!</v>
      </c>
      <c r="N47" s="295">
        <f t="shared" si="5"/>
        <v>397333.39000000042</v>
      </c>
      <c r="O47" s="295" t="e">
        <f t="shared" si="6"/>
        <v>#REF!</v>
      </c>
      <c r="P47" s="296" t="s">
        <v>56</v>
      </c>
      <c r="Q47" s="297"/>
      <c r="R47" s="297"/>
      <c r="S47" s="298" t="e">
        <f t="shared" si="8"/>
        <v>#REF!</v>
      </c>
      <c r="T47" s="198"/>
      <c r="U47" s="323"/>
      <c r="V47" s="198"/>
      <c r="W47" s="198"/>
      <c r="X47" s="198"/>
      <c r="Y47" s="198"/>
      <c r="Z47" s="198"/>
      <c r="AA47" s="198"/>
      <c r="AB47" s="198"/>
      <c r="AC47" s="198"/>
    </row>
    <row r="48" spans="1:29" s="188" customFormat="1" ht="11.25" customHeight="1">
      <c r="A48" s="13"/>
      <c r="B48" s="365">
        <v>45708</v>
      </c>
      <c r="C48" s="19" t="s">
        <v>107</v>
      </c>
      <c r="D48" s="21"/>
      <c r="E48" s="20">
        <v>23</v>
      </c>
      <c r="F48" s="20" t="s">
        <v>32</v>
      </c>
      <c r="G48" s="14"/>
      <c r="H48" s="22"/>
      <c r="I48" s="21"/>
      <c r="J48" s="21"/>
      <c r="K48" s="368">
        <v>24</v>
      </c>
      <c r="L48" s="293" t="e">
        <f>#REF!</f>
        <v>#REF!</v>
      </c>
      <c r="M48" s="366" t="e">
        <f t="shared" si="7"/>
        <v>#REF!</v>
      </c>
      <c r="N48" s="295">
        <f t="shared" si="5"/>
        <v>397309.39000000042</v>
      </c>
      <c r="O48" s="295" t="e">
        <f t="shared" si="6"/>
        <v>#REF!</v>
      </c>
      <c r="P48" s="296" t="s">
        <v>56</v>
      </c>
      <c r="Q48" s="297"/>
      <c r="R48" s="297"/>
      <c r="S48" s="298" t="e">
        <f t="shared" si="8"/>
        <v>#REF!</v>
      </c>
      <c r="T48" s="198"/>
      <c r="U48" s="323"/>
      <c r="V48" s="198"/>
      <c r="W48" s="198"/>
      <c r="X48" s="198"/>
      <c r="Y48" s="198"/>
      <c r="Z48" s="198"/>
      <c r="AA48" s="198"/>
      <c r="AB48" s="198"/>
      <c r="AC48" s="198"/>
    </row>
    <row r="49" spans="1:29" s="188" customFormat="1" ht="11.25" customHeight="1">
      <c r="A49" s="13"/>
      <c r="B49" s="365">
        <v>45708</v>
      </c>
      <c r="C49" s="19" t="s">
        <v>108</v>
      </c>
      <c r="D49" s="21"/>
      <c r="E49" s="20">
        <v>24</v>
      </c>
      <c r="F49" s="20" t="s">
        <v>32</v>
      </c>
      <c r="G49" s="14"/>
      <c r="H49" s="22"/>
      <c r="I49" s="21"/>
      <c r="J49" s="21"/>
      <c r="K49" s="368">
        <v>145</v>
      </c>
      <c r="L49" s="293" t="e">
        <f>#REF!</f>
        <v>#REF!</v>
      </c>
      <c r="M49" s="366" t="e">
        <f t="shared" si="7"/>
        <v>#REF!</v>
      </c>
      <c r="N49" s="295">
        <f t="shared" si="5"/>
        <v>397164.39000000042</v>
      </c>
      <c r="O49" s="295" t="e">
        <f t="shared" si="6"/>
        <v>#REF!</v>
      </c>
      <c r="P49" s="296" t="s">
        <v>56</v>
      </c>
      <c r="Q49" s="297"/>
      <c r="R49" s="297"/>
      <c r="S49" s="298" t="e">
        <f t="shared" si="8"/>
        <v>#REF!</v>
      </c>
      <c r="T49" s="198"/>
      <c r="U49" s="323"/>
      <c r="V49" s="198"/>
      <c r="W49" s="198"/>
      <c r="X49" s="198"/>
      <c r="Y49" s="198"/>
      <c r="Z49" s="198"/>
      <c r="AA49" s="198"/>
      <c r="AB49" s="198"/>
      <c r="AC49" s="198"/>
    </row>
    <row r="50" spans="1:29" s="188" customFormat="1" ht="11.25" customHeight="1">
      <c r="A50" s="13"/>
      <c r="B50" s="365">
        <v>45708</v>
      </c>
      <c r="C50" s="19" t="s">
        <v>109</v>
      </c>
      <c r="D50" s="21"/>
      <c r="E50" s="20">
        <v>25</v>
      </c>
      <c r="F50" s="20" t="s">
        <v>23</v>
      </c>
      <c r="G50" s="14" t="s">
        <v>24</v>
      </c>
      <c r="H50" s="22"/>
      <c r="I50" s="21"/>
      <c r="J50" s="21"/>
      <c r="K50" s="368">
        <v>2929.16</v>
      </c>
      <c r="L50" s="293" t="e">
        <f>#REF!</f>
        <v>#REF!</v>
      </c>
      <c r="M50" s="366" t="e">
        <f t="shared" si="7"/>
        <v>#REF!</v>
      </c>
      <c r="N50" s="295">
        <f t="shared" si="5"/>
        <v>394235.23000000045</v>
      </c>
      <c r="O50" s="295" t="e">
        <f t="shared" si="6"/>
        <v>#REF!</v>
      </c>
      <c r="P50" s="296" t="s">
        <v>56</v>
      </c>
      <c r="Q50" s="297"/>
      <c r="R50" s="297"/>
      <c r="S50" s="298" t="e">
        <f t="shared" si="8"/>
        <v>#REF!</v>
      </c>
      <c r="T50" s="198"/>
      <c r="U50" s="323"/>
      <c r="V50" s="198"/>
      <c r="W50" s="198"/>
      <c r="X50" s="198"/>
      <c r="Y50" s="198"/>
      <c r="Z50" s="198"/>
      <c r="AA50" s="198"/>
      <c r="AB50" s="198"/>
      <c r="AC50" s="198"/>
    </row>
    <row r="51" spans="1:29" s="188" customFormat="1" ht="11.25" customHeight="1">
      <c r="A51" s="13"/>
      <c r="B51" s="365">
        <v>45708</v>
      </c>
      <c r="C51" s="19" t="s">
        <v>49</v>
      </c>
      <c r="D51" s="21"/>
      <c r="E51" s="20">
        <v>26</v>
      </c>
      <c r="F51" s="14" t="s">
        <v>32</v>
      </c>
      <c r="G51" s="14"/>
      <c r="H51" s="22"/>
      <c r="I51" s="21"/>
      <c r="J51" s="21"/>
      <c r="K51" s="292">
        <v>3.6</v>
      </c>
      <c r="L51" s="293" t="e">
        <f>#REF!</f>
        <v>#REF!</v>
      </c>
      <c r="M51" s="366" t="e">
        <f t="shared" si="7"/>
        <v>#REF!</v>
      </c>
      <c r="N51" s="295">
        <f t="shared" si="5"/>
        <v>394231.63000000047</v>
      </c>
      <c r="O51" s="295" t="e">
        <f t="shared" si="6"/>
        <v>#REF!</v>
      </c>
      <c r="P51" s="296" t="s">
        <v>56</v>
      </c>
      <c r="Q51" s="297"/>
      <c r="R51" s="297"/>
      <c r="S51" s="298" t="e">
        <f t="shared" si="8"/>
        <v>#REF!</v>
      </c>
      <c r="T51" s="198"/>
      <c r="U51" s="323"/>
      <c r="V51" s="198"/>
      <c r="W51" s="198"/>
      <c r="X51" s="198"/>
      <c r="Y51" s="198"/>
      <c r="Z51" s="198"/>
      <c r="AA51" s="198"/>
      <c r="AB51" s="198"/>
      <c r="AC51" s="198"/>
    </row>
    <row r="52" spans="1:29" s="188" customFormat="1" ht="11.25" customHeight="1">
      <c r="A52" s="13"/>
      <c r="B52" s="365">
        <v>45708</v>
      </c>
      <c r="C52" s="19" t="s">
        <v>110</v>
      </c>
      <c r="D52" s="21"/>
      <c r="E52" s="20">
        <v>27</v>
      </c>
      <c r="F52" s="14" t="s">
        <v>25</v>
      </c>
      <c r="G52" s="14" t="s">
        <v>26</v>
      </c>
      <c r="H52" s="22"/>
      <c r="I52" s="21"/>
      <c r="J52" s="21"/>
      <c r="K52" s="368">
        <v>2964.93</v>
      </c>
      <c r="L52" s="293" t="e">
        <f>#REF!</f>
        <v>#REF!</v>
      </c>
      <c r="M52" s="366" t="e">
        <f t="shared" si="7"/>
        <v>#REF!</v>
      </c>
      <c r="N52" s="295">
        <f t="shared" ref="N52:N83" si="9">N51+H52-K52</f>
        <v>391266.70000000048</v>
      </c>
      <c r="O52" s="295" t="e">
        <f t="shared" ref="O52:O83" si="10">O51+J52-M52</f>
        <v>#REF!</v>
      </c>
      <c r="P52" s="296" t="s">
        <v>56</v>
      </c>
      <c r="Q52" s="297"/>
      <c r="R52" s="297"/>
      <c r="S52" s="298" t="e">
        <f t="shared" si="8"/>
        <v>#REF!</v>
      </c>
      <c r="T52" s="198"/>
      <c r="U52" s="323"/>
      <c r="V52" s="198"/>
      <c r="W52" s="198"/>
      <c r="X52" s="198"/>
      <c r="Y52" s="198"/>
      <c r="Z52" s="198"/>
      <c r="AA52" s="198"/>
      <c r="AB52" s="198"/>
      <c r="AC52" s="198"/>
    </row>
    <row r="53" spans="1:29" s="188" customFormat="1" ht="11.25" customHeight="1">
      <c r="A53" s="13"/>
      <c r="B53" s="365">
        <v>45708</v>
      </c>
      <c r="C53" s="19" t="s">
        <v>111</v>
      </c>
      <c r="D53" s="21"/>
      <c r="E53" s="20">
        <v>28</v>
      </c>
      <c r="F53" s="14" t="s">
        <v>23</v>
      </c>
      <c r="G53" s="14" t="s">
        <v>24</v>
      </c>
      <c r="H53" s="22"/>
      <c r="I53" s="21"/>
      <c r="J53" s="21"/>
      <c r="K53" s="368" t="e">
        <f>L53*M53</f>
        <v>#REF!</v>
      </c>
      <c r="L53" s="293" t="e">
        <f>#REF!</f>
        <v>#REF!</v>
      </c>
      <c r="M53" s="366">
        <v>1398.2098718167149</v>
      </c>
      <c r="N53" s="295" t="e">
        <f t="shared" si="9"/>
        <v>#REF!</v>
      </c>
      <c r="O53" s="295" t="e">
        <f t="shared" si="10"/>
        <v>#REF!</v>
      </c>
      <c r="P53" s="296" t="s">
        <v>56</v>
      </c>
      <c r="Q53" s="297"/>
      <c r="R53" s="297"/>
      <c r="S53" s="298" t="e">
        <f t="shared" si="8"/>
        <v>#REF!</v>
      </c>
      <c r="T53" s="198"/>
      <c r="U53" s="323"/>
      <c r="V53" s="198"/>
      <c r="W53" s="198"/>
      <c r="X53" s="198"/>
      <c r="Y53" s="198"/>
      <c r="Z53" s="198"/>
      <c r="AA53" s="198"/>
      <c r="AB53" s="198"/>
      <c r="AC53" s="198"/>
    </row>
    <row r="54" spans="1:29" s="188" customFormat="1" ht="11.25" customHeight="1">
      <c r="A54" s="13"/>
      <c r="B54" s="365">
        <v>45708</v>
      </c>
      <c r="C54" s="19" t="s">
        <v>111</v>
      </c>
      <c r="D54" s="21"/>
      <c r="E54" s="20">
        <v>28</v>
      </c>
      <c r="F54" s="14" t="s">
        <v>23</v>
      </c>
      <c r="G54" s="14" t="s">
        <v>24</v>
      </c>
      <c r="H54" s="22"/>
      <c r="I54" s="21"/>
      <c r="J54" s="21"/>
      <c r="K54" s="368" t="e">
        <f>13575-K53</f>
        <v>#REF!</v>
      </c>
      <c r="L54" s="293" t="e">
        <f>#REF!</f>
        <v>#REF!</v>
      </c>
      <c r="M54" s="369" t="e">
        <f t="shared" ref="M54:M72" si="11">K54/L54</f>
        <v>#REF!</v>
      </c>
      <c r="N54" s="295" t="e">
        <f t="shared" si="9"/>
        <v>#REF!</v>
      </c>
      <c r="O54" s="295" t="e">
        <f t="shared" si="10"/>
        <v>#REF!</v>
      </c>
      <c r="P54" s="296" t="s">
        <v>93</v>
      </c>
      <c r="Q54" s="297"/>
      <c r="R54" s="297"/>
      <c r="S54" s="298" t="e">
        <f>7766-M54</f>
        <v>#REF!</v>
      </c>
      <c r="T54" s="198"/>
      <c r="U54" s="323"/>
      <c r="V54" s="198"/>
      <c r="W54" s="198"/>
      <c r="X54" s="198"/>
      <c r="Y54" s="198"/>
      <c r="Z54" s="198"/>
      <c r="AA54" s="198"/>
      <c r="AB54" s="198"/>
      <c r="AC54" s="198"/>
    </row>
    <row r="55" spans="1:29" s="188" customFormat="1" ht="11.25" customHeight="1">
      <c r="A55" s="13"/>
      <c r="B55" s="365">
        <v>45708</v>
      </c>
      <c r="C55" s="19" t="s">
        <v>49</v>
      </c>
      <c r="D55" s="21"/>
      <c r="E55" s="20">
        <v>29</v>
      </c>
      <c r="F55" s="14" t="s">
        <v>32</v>
      </c>
      <c r="G55" s="14"/>
      <c r="H55" s="22"/>
      <c r="I55" s="21"/>
      <c r="J55" s="21"/>
      <c r="K55" s="368">
        <v>7.2</v>
      </c>
      <c r="L55" s="293" t="e">
        <f>#REF!</f>
        <v>#REF!</v>
      </c>
      <c r="M55" s="369" t="e">
        <f t="shared" si="11"/>
        <v>#REF!</v>
      </c>
      <c r="N55" s="295" t="e">
        <f t="shared" si="9"/>
        <v>#REF!</v>
      </c>
      <c r="O55" s="295" t="e">
        <f t="shared" si="10"/>
        <v>#REF!</v>
      </c>
      <c r="P55" s="296" t="s">
        <v>93</v>
      </c>
      <c r="Q55" s="297"/>
      <c r="R55" s="297"/>
      <c r="S55" s="298" t="e">
        <f t="shared" ref="S55:S73" si="12">S54-M55</f>
        <v>#REF!</v>
      </c>
      <c r="T55" s="198"/>
      <c r="U55" s="323"/>
      <c r="V55" s="198"/>
      <c r="W55" s="198"/>
      <c r="X55" s="198"/>
      <c r="Y55" s="198"/>
      <c r="Z55" s="198"/>
      <c r="AA55" s="198"/>
      <c r="AB55" s="198"/>
      <c r="AC55" s="198"/>
    </row>
    <row r="56" spans="1:29" s="188" customFormat="1" ht="11.25" customHeight="1">
      <c r="A56" s="13"/>
      <c r="B56" s="365">
        <v>45708</v>
      </c>
      <c r="C56" s="19" t="s">
        <v>112</v>
      </c>
      <c r="D56" s="21"/>
      <c r="E56" s="14">
        <v>30</v>
      </c>
      <c r="F56" s="14" t="s">
        <v>23</v>
      </c>
      <c r="G56" s="14" t="s">
        <v>24</v>
      </c>
      <c r="H56" s="14"/>
      <c r="I56" s="14"/>
      <c r="J56" s="14"/>
      <c r="K56" s="313">
        <v>74</v>
      </c>
      <c r="L56" s="293" t="e">
        <f>#REF!</f>
        <v>#REF!</v>
      </c>
      <c r="M56" s="369" t="e">
        <f t="shared" si="11"/>
        <v>#REF!</v>
      </c>
      <c r="N56" s="295" t="e">
        <f t="shared" si="9"/>
        <v>#REF!</v>
      </c>
      <c r="O56" s="295" t="e">
        <f t="shared" si="10"/>
        <v>#REF!</v>
      </c>
      <c r="P56" s="296" t="s">
        <v>93</v>
      </c>
      <c r="Q56" s="297"/>
      <c r="R56" s="297"/>
      <c r="S56" s="298" t="e">
        <f t="shared" si="12"/>
        <v>#REF!</v>
      </c>
      <c r="T56" s="198"/>
      <c r="U56" s="323"/>
      <c r="V56" s="198"/>
      <c r="W56" s="198"/>
      <c r="X56" s="198"/>
      <c r="Y56" s="198"/>
      <c r="Z56" s="198"/>
      <c r="AA56" s="198"/>
      <c r="AB56" s="198"/>
      <c r="AC56" s="198"/>
    </row>
    <row r="57" spans="1:29" s="188" customFormat="1" ht="11.25" customHeight="1">
      <c r="A57" s="13"/>
      <c r="B57" s="365">
        <v>45708</v>
      </c>
      <c r="C57" s="19" t="s">
        <v>113</v>
      </c>
      <c r="D57" s="21"/>
      <c r="E57" s="20">
        <v>31</v>
      </c>
      <c r="F57" s="14" t="s">
        <v>30</v>
      </c>
      <c r="G57" s="14" t="s">
        <v>31</v>
      </c>
      <c r="H57" s="14"/>
      <c r="I57" s="14"/>
      <c r="J57" s="14"/>
      <c r="K57" s="313">
        <v>93.06</v>
      </c>
      <c r="L57" s="293" t="e">
        <f>#REF!</f>
        <v>#REF!</v>
      </c>
      <c r="M57" s="369" t="e">
        <f t="shared" si="11"/>
        <v>#REF!</v>
      </c>
      <c r="N57" s="295" t="e">
        <f t="shared" si="9"/>
        <v>#REF!</v>
      </c>
      <c r="O57" s="295" t="e">
        <f t="shared" si="10"/>
        <v>#REF!</v>
      </c>
      <c r="P57" s="296" t="s">
        <v>93</v>
      </c>
      <c r="Q57" s="297"/>
      <c r="R57" s="297"/>
      <c r="S57" s="298" t="e">
        <f t="shared" si="12"/>
        <v>#REF!</v>
      </c>
      <c r="T57" s="198"/>
      <c r="U57" s="323"/>
      <c r="V57" s="198"/>
      <c r="W57" s="198"/>
      <c r="X57" s="198"/>
      <c r="Y57" s="198"/>
      <c r="Z57" s="198"/>
      <c r="AA57" s="198"/>
      <c r="AB57" s="198"/>
      <c r="AC57" s="198"/>
    </row>
    <row r="58" spans="1:29" s="188" customFormat="1" ht="11.25" customHeight="1">
      <c r="A58" s="13"/>
      <c r="B58" s="365">
        <v>45708</v>
      </c>
      <c r="C58" s="19" t="s">
        <v>114</v>
      </c>
      <c r="D58" s="21"/>
      <c r="E58" s="20">
        <v>32</v>
      </c>
      <c r="F58" s="14" t="s">
        <v>25</v>
      </c>
      <c r="G58" s="14" t="s">
        <v>26</v>
      </c>
      <c r="H58" s="14"/>
      <c r="I58" s="14"/>
      <c r="J58" s="14"/>
      <c r="K58" s="313">
        <v>1970.3</v>
      </c>
      <c r="L58" s="293" t="e">
        <f>#REF!</f>
        <v>#REF!</v>
      </c>
      <c r="M58" s="369" t="e">
        <f t="shared" si="11"/>
        <v>#REF!</v>
      </c>
      <c r="N58" s="295" t="e">
        <f t="shared" si="9"/>
        <v>#REF!</v>
      </c>
      <c r="O58" s="295" t="e">
        <f t="shared" si="10"/>
        <v>#REF!</v>
      </c>
      <c r="P58" s="296" t="s">
        <v>93</v>
      </c>
      <c r="Q58" s="297"/>
      <c r="R58" s="297"/>
      <c r="S58" s="298" t="e">
        <f t="shared" si="12"/>
        <v>#REF!</v>
      </c>
      <c r="T58" s="198"/>
      <c r="U58" s="323"/>
      <c r="V58" s="198"/>
      <c r="W58" s="198"/>
      <c r="X58" s="198"/>
      <c r="Y58" s="198"/>
      <c r="Z58" s="198"/>
      <c r="AA58" s="198"/>
      <c r="AB58" s="198"/>
      <c r="AC58" s="198"/>
    </row>
    <row r="59" spans="1:29" s="188" customFormat="1" ht="11.25" customHeight="1">
      <c r="A59" s="13"/>
      <c r="B59" s="365">
        <v>45708</v>
      </c>
      <c r="C59" s="19" t="s">
        <v>115</v>
      </c>
      <c r="D59" s="21"/>
      <c r="E59" s="20">
        <v>33</v>
      </c>
      <c r="F59" s="14" t="s">
        <v>25</v>
      </c>
      <c r="G59" s="14" t="s">
        <v>26</v>
      </c>
      <c r="H59" s="14"/>
      <c r="I59" s="14"/>
      <c r="J59" s="14"/>
      <c r="K59" s="313">
        <v>93.48</v>
      </c>
      <c r="L59" s="293" t="e">
        <f>#REF!</f>
        <v>#REF!</v>
      </c>
      <c r="M59" s="369" t="e">
        <f t="shared" si="11"/>
        <v>#REF!</v>
      </c>
      <c r="N59" s="295" t="e">
        <f t="shared" si="9"/>
        <v>#REF!</v>
      </c>
      <c r="O59" s="295" t="e">
        <f t="shared" si="10"/>
        <v>#REF!</v>
      </c>
      <c r="P59" s="296" t="s">
        <v>93</v>
      </c>
      <c r="Q59" s="297"/>
      <c r="R59" s="297"/>
      <c r="S59" s="298" t="e">
        <f t="shared" si="12"/>
        <v>#REF!</v>
      </c>
      <c r="T59" s="198"/>
      <c r="U59" s="323"/>
      <c r="V59" s="198"/>
      <c r="W59" s="198"/>
      <c r="X59" s="198"/>
      <c r="Y59" s="198"/>
      <c r="Z59" s="198"/>
      <c r="AA59" s="198"/>
      <c r="AB59" s="198"/>
      <c r="AC59" s="198"/>
    </row>
    <row r="60" spans="1:29" s="188" customFormat="1" ht="11.25" customHeight="1">
      <c r="A60" s="13"/>
      <c r="B60" s="365">
        <v>45708</v>
      </c>
      <c r="C60" s="19" t="s">
        <v>116</v>
      </c>
      <c r="D60" s="21"/>
      <c r="E60" s="14">
        <v>34</v>
      </c>
      <c r="F60" s="314" t="s">
        <v>32</v>
      </c>
      <c r="G60" s="14"/>
      <c r="H60" s="14"/>
      <c r="I60" s="14"/>
      <c r="J60" s="14"/>
      <c r="K60" s="313">
        <v>137.4</v>
      </c>
      <c r="L60" s="293" t="e">
        <f>#REF!</f>
        <v>#REF!</v>
      </c>
      <c r="M60" s="369" t="e">
        <f t="shared" si="11"/>
        <v>#REF!</v>
      </c>
      <c r="N60" s="295" t="e">
        <f t="shared" si="9"/>
        <v>#REF!</v>
      </c>
      <c r="O60" s="295" t="e">
        <f t="shared" si="10"/>
        <v>#REF!</v>
      </c>
      <c r="P60" s="296" t="s">
        <v>93</v>
      </c>
      <c r="Q60" s="297"/>
      <c r="R60" s="297"/>
      <c r="S60" s="298" t="e">
        <f t="shared" si="12"/>
        <v>#REF!</v>
      </c>
      <c r="T60" s="198"/>
      <c r="U60" s="323"/>
      <c r="V60" s="198"/>
      <c r="W60" s="198"/>
      <c r="X60" s="198"/>
      <c r="Y60" s="198"/>
      <c r="Z60" s="198"/>
      <c r="AA60" s="198"/>
      <c r="AB60" s="198"/>
      <c r="AC60" s="198"/>
    </row>
    <row r="61" spans="1:29" s="188" customFormat="1" ht="11.25" customHeight="1">
      <c r="A61" s="13"/>
      <c r="B61" s="365">
        <v>45708</v>
      </c>
      <c r="C61" s="19" t="s">
        <v>49</v>
      </c>
      <c r="D61" s="21"/>
      <c r="E61" s="14">
        <v>35</v>
      </c>
      <c r="F61" s="14" t="s">
        <v>32</v>
      </c>
      <c r="G61" s="14"/>
      <c r="H61" s="14"/>
      <c r="I61" s="14"/>
      <c r="J61" s="14"/>
      <c r="K61" s="313">
        <v>3.6</v>
      </c>
      <c r="L61" s="293" t="e">
        <f>#REF!</f>
        <v>#REF!</v>
      </c>
      <c r="M61" s="369" t="e">
        <f t="shared" si="11"/>
        <v>#REF!</v>
      </c>
      <c r="N61" s="295" t="e">
        <f t="shared" si="9"/>
        <v>#REF!</v>
      </c>
      <c r="O61" s="295" t="e">
        <f t="shared" si="10"/>
        <v>#REF!</v>
      </c>
      <c r="P61" s="296" t="s">
        <v>93</v>
      </c>
      <c r="Q61" s="297"/>
      <c r="R61" s="297"/>
      <c r="S61" s="298" t="e">
        <f t="shared" si="12"/>
        <v>#REF!</v>
      </c>
      <c r="T61" s="198"/>
      <c r="U61" s="323"/>
      <c r="V61" s="198"/>
      <c r="W61" s="198"/>
      <c r="X61" s="198"/>
      <c r="Y61" s="198"/>
      <c r="Z61" s="198"/>
      <c r="AA61" s="198"/>
      <c r="AB61" s="198"/>
      <c r="AC61" s="198"/>
    </row>
    <row r="62" spans="1:29" ht="11.25" customHeight="1">
      <c r="B62" s="365">
        <v>45708</v>
      </c>
      <c r="C62" s="27" t="s">
        <v>117</v>
      </c>
      <c r="D62" s="21"/>
      <c r="E62" s="20">
        <v>36</v>
      </c>
      <c r="F62" s="14" t="s">
        <v>25</v>
      </c>
      <c r="G62" s="14" t="s">
        <v>26</v>
      </c>
      <c r="H62" s="14"/>
      <c r="I62" s="14"/>
      <c r="J62" s="14"/>
      <c r="K62" s="368">
        <v>270</v>
      </c>
      <c r="L62" s="293" t="e">
        <f>#REF!</f>
        <v>#REF!</v>
      </c>
      <c r="M62" s="369" t="e">
        <f t="shared" si="11"/>
        <v>#REF!</v>
      </c>
      <c r="N62" s="295" t="e">
        <f t="shared" si="9"/>
        <v>#REF!</v>
      </c>
      <c r="O62" s="295" t="e">
        <f t="shared" si="10"/>
        <v>#REF!</v>
      </c>
      <c r="P62" s="296" t="s">
        <v>93</v>
      </c>
      <c r="Q62" s="297"/>
      <c r="R62" s="297"/>
      <c r="S62" s="298" t="e">
        <f t="shared" si="12"/>
        <v>#REF!</v>
      </c>
    </row>
    <row r="63" spans="1:29" ht="11.25" customHeight="1">
      <c r="B63" s="365">
        <v>45708</v>
      </c>
      <c r="C63" s="27" t="s">
        <v>118</v>
      </c>
      <c r="D63" s="21"/>
      <c r="E63" s="20">
        <v>37</v>
      </c>
      <c r="F63" s="14" t="s">
        <v>25</v>
      </c>
      <c r="G63" s="14" t="s">
        <v>26</v>
      </c>
      <c r="H63" s="14"/>
      <c r="I63" s="14"/>
      <c r="J63" s="14"/>
      <c r="K63" s="368">
        <v>2380</v>
      </c>
      <c r="L63" s="293" t="e">
        <f>#REF!</f>
        <v>#REF!</v>
      </c>
      <c r="M63" s="369" t="e">
        <f t="shared" si="11"/>
        <v>#REF!</v>
      </c>
      <c r="N63" s="295" t="e">
        <f t="shared" si="9"/>
        <v>#REF!</v>
      </c>
      <c r="O63" s="295" t="e">
        <f t="shared" si="10"/>
        <v>#REF!</v>
      </c>
      <c r="P63" s="296" t="s">
        <v>93</v>
      </c>
      <c r="Q63" s="297"/>
      <c r="R63" s="297"/>
      <c r="S63" s="298" t="e">
        <f t="shared" si="12"/>
        <v>#REF!</v>
      </c>
    </row>
    <row r="64" spans="1:29" ht="11.25" customHeight="1">
      <c r="B64" s="365">
        <v>45708</v>
      </c>
      <c r="C64" s="27" t="s">
        <v>119</v>
      </c>
      <c r="D64" s="21"/>
      <c r="E64" s="20">
        <v>38</v>
      </c>
      <c r="F64" s="14" t="s">
        <v>25</v>
      </c>
      <c r="G64" s="29" t="s">
        <v>26</v>
      </c>
      <c r="H64" s="29"/>
      <c r="I64" s="29"/>
      <c r="J64" s="29"/>
      <c r="K64" s="368">
        <v>381</v>
      </c>
      <c r="L64" s="293" t="e">
        <f>#REF!</f>
        <v>#REF!</v>
      </c>
      <c r="M64" s="369" t="e">
        <f t="shared" si="11"/>
        <v>#REF!</v>
      </c>
      <c r="N64" s="295" t="e">
        <f t="shared" si="9"/>
        <v>#REF!</v>
      </c>
      <c r="O64" s="295" t="e">
        <f t="shared" si="10"/>
        <v>#REF!</v>
      </c>
      <c r="P64" s="296" t="s">
        <v>93</v>
      </c>
      <c r="Q64" s="297"/>
      <c r="R64" s="297"/>
      <c r="S64" s="298" t="e">
        <f t="shared" si="12"/>
        <v>#REF!</v>
      </c>
    </row>
    <row r="65" spans="2:19" ht="11.25" customHeight="1">
      <c r="B65" s="365">
        <v>45708</v>
      </c>
      <c r="C65" s="19" t="s">
        <v>49</v>
      </c>
      <c r="D65" s="21"/>
      <c r="E65" s="20">
        <v>39</v>
      </c>
      <c r="F65" s="14" t="s">
        <v>32</v>
      </c>
      <c r="G65" s="29"/>
      <c r="H65" s="29"/>
      <c r="I65" s="29"/>
      <c r="J65" s="29"/>
      <c r="K65" s="368">
        <v>3.6</v>
      </c>
      <c r="L65" s="293" t="e">
        <f>#REF!</f>
        <v>#REF!</v>
      </c>
      <c r="M65" s="369" t="e">
        <f t="shared" si="11"/>
        <v>#REF!</v>
      </c>
      <c r="N65" s="295" t="e">
        <f t="shared" si="9"/>
        <v>#REF!</v>
      </c>
      <c r="O65" s="295" t="e">
        <f t="shared" si="10"/>
        <v>#REF!</v>
      </c>
      <c r="P65" s="296" t="s">
        <v>93</v>
      </c>
      <c r="Q65" s="297"/>
      <c r="R65" s="297"/>
      <c r="S65" s="298" t="e">
        <f t="shared" si="12"/>
        <v>#REF!</v>
      </c>
    </row>
    <row r="66" spans="2:19" ht="11.25" customHeight="1">
      <c r="B66" s="365">
        <v>45708</v>
      </c>
      <c r="C66" s="27" t="s">
        <v>120</v>
      </c>
      <c r="D66" s="21"/>
      <c r="E66" s="20">
        <v>40</v>
      </c>
      <c r="F66" s="14" t="s">
        <v>25</v>
      </c>
      <c r="G66" s="29" t="s">
        <v>26</v>
      </c>
      <c r="H66" s="29"/>
      <c r="I66" s="29"/>
      <c r="J66" s="29"/>
      <c r="K66" s="368">
        <v>497</v>
      </c>
      <c r="L66" s="293" t="e">
        <f>#REF!</f>
        <v>#REF!</v>
      </c>
      <c r="M66" s="369" t="e">
        <f t="shared" si="11"/>
        <v>#REF!</v>
      </c>
      <c r="N66" s="295" t="e">
        <f t="shared" si="9"/>
        <v>#REF!</v>
      </c>
      <c r="O66" s="295" t="e">
        <f t="shared" si="10"/>
        <v>#REF!</v>
      </c>
      <c r="P66" s="296" t="s">
        <v>93</v>
      </c>
      <c r="Q66" s="297"/>
      <c r="R66" s="297"/>
      <c r="S66" s="298" t="e">
        <f t="shared" si="12"/>
        <v>#REF!</v>
      </c>
    </row>
    <row r="67" spans="2:19" ht="11.25" customHeight="1">
      <c r="B67" s="365">
        <v>45708</v>
      </c>
      <c r="C67" s="27" t="s">
        <v>121</v>
      </c>
      <c r="D67" s="21"/>
      <c r="E67" s="29">
        <v>41</v>
      </c>
      <c r="F67" s="29" t="s">
        <v>25</v>
      </c>
      <c r="G67" s="29" t="s">
        <v>26</v>
      </c>
      <c r="H67" s="29"/>
      <c r="I67" s="29"/>
      <c r="J67" s="29"/>
      <c r="K67" s="370">
        <v>1488</v>
      </c>
      <c r="L67" s="293" t="e">
        <f>#REF!</f>
        <v>#REF!</v>
      </c>
      <c r="M67" s="369" t="e">
        <f t="shared" si="11"/>
        <v>#REF!</v>
      </c>
      <c r="N67" s="295" t="e">
        <f t="shared" si="9"/>
        <v>#REF!</v>
      </c>
      <c r="O67" s="295" t="e">
        <f t="shared" si="10"/>
        <v>#REF!</v>
      </c>
      <c r="P67" s="296" t="s">
        <v>93</v>
      </c>
      <c r="Q67" s="297"/>
      <c r="R67" s="297"/>
      <c r="S67" s="298" t="e">
        <f t="shared" si="12"/>
        <v>#REF!</v>
      </c>
    </row>
    <row r="68" spans="2:19" ht="11.25" customHeight="1">
      <c r="B68" s="365">
        <v>45708</v>
      </c>
      <c r="C68" s="27" t="s">
        <v>122</v>
      </c>
      <c r="D68" s="21"/>
      <c r="E68" s="20">
        <v>42</v>
      </c>
      <c r="F68" s="29" t="s">
        <v>25</v>
      </c>
      <c r="G68" s="29" t="s">
        <v>26</v>
      </c>
      <c r="H68" s="29"/>
      <c r="I68" s="29"/>
      <c r="J68" s="29"/>
      <c r="K68" s="368">
        <v>45</v>
      </c>
      <c r="L68" s="293" t="e">
        <f>#REF!</f>
        <v>#REF!</v>
      </c>
      <c r="M68" s="369" t="e">
        <f t="shared" si="11"/>
        <v>#REF!</v>
      </c>
      <c r="N68" s="295" t="e">
        <f t="shared" si="9"/>
        <v>#REF!</v>
      </c>
      <c r="O68" s="295" t="e">
        <f t="shared" si="10"/>
        <v>#REF!</v>
      </c>
      <c r="P68" s="296" t="s">
        <v>93</v>
      </c>
      <c r="Q68" s="297"/>
      <c r="R68" s="297"/>
      <c r="S68" s="298" t="e">
        <f t="shared" si="12"/>
        <v>#REF!</v>
      </c>
    </row>
    <row r="69" spans="2:19" ht="11.25" customHeight="1">
      <c r="B69" s="365">
        <v>45708</v>
      </c>
      <c r="C69" s="19" t="s">
        <v>49</v>
      </c>
      <c r="D69" s="21"/>
      <c r="E69" s="20">
        <v>43</v>
      </c>
      <c r="F69" s="29" t="s">
        <v>32</v>
      </c>
      <c r="G69" s="29"/>
      <c r="H69" s="29"/>
      <c r="I69" s="29"/>
      <c r="J69" s="29"/>
      <c r="K69" s="368">
        <v>3.6</v>
      </c>
      <c r="L69" s="293" t="e">
        <f>#REF!</f>
        <v>#REF!</v>
      </c>
      <c r="M69" s="369" t="e">
        <f t="shared" si="11"/>
        <v>#REF!</v>
      </c>
      <c r="N69" s="295" t="e">
        <f t="shared" si="9"/>
        <v>#REF!</v>
      </c>
      <c r="O69" s="295" t="e">
        <f t="shared" si="10"/>
        <v>#REF!</v>
      </c>
      <c r="P69" s="296" t="s">
        <v>93</v>
      </c>
      <c r="Q69" s="297"/>
      <c r="R69" s="297"/>
      <c r="S69" s="298" t="e">
        <f t="shared" si="12"/>
        <v>#REF!</v>
      </c>
    </row>
    <row r="70" spans="2:19" ht="11.25" customHeight="1">
      <c r="B70" s="365">
        <v>45708</v>
      </c>
      <c r="C70" s="27" t="s">
        <v>80</v>
      </c>
      <c r="D70" s="21"/>
      <c r="E70" s="20">
        <v>44</v>
      </c>
      <c r="F70" s="29" t="s">
        <v>32</v>
      </c>
      <c r="G70" s="29"/>
      <c r="H70" s="29"/>
      <c r="I70" s="29"/>
      <c r="J70" s="29"/>
      <c r="K70" s="292">
        <v>16000</v>
      </c>
      <c r="L70" s="293" t="e">
        <f>#REF!</f>
        <v>#REF!</v>
      </c>
      <c r="M70" s="369" t="e">
        <f t="shared" si="11"/>
        <v>#REF!</v>
      </c>
      <c r="N70" s="295" t="e">
        <f t="shared" si="9"/>
        <v>#REF!</v>
      </c>
      <c r="O70" s="295" t="e">
        <f t="shared" si="10"/>
        <v>#REF!</v>
      </c>
      <c r="P70" s="296" t="s">
        <v>93</v>
      </c>
      <c r="Q70" s="297"/>
      <c r="R70" s="297"/>
      <c r="S70" s="298" t="e">
        <f t="shared" si="12"/>
        <v>#REF!</v>
      </c>
    </row>
    <row r="71" spans="2:19" ht="11.25" customHeight="1">
      <c r="B71" s="365">
        <v>45708</v>
      </c>
      <c r="C71" s="27" t="s">
        <v>81</v>
      </c>
      <c r="D71" s="21"/>
      <c r="E71" s="29">
        <v>44</v>
      </c>
      <c r="F71" s="29" t="s">
        <v>32</v>
      </c>
      <c r="G71" s="29"/>
      <c r="H71" s="29"/>
      <c r="I71" s="29"/>
      <c r="J71" s="29"/>
      <c r="K71" s="292">
        <v>24000</v>
      </c>
      <c r="L71" s="293" t="e">
        <f>#REF!</f>
        <v>#REF!</v>
      </c>
      <c r="M71" s="369" t="e">
        <f t="shared" si="11"/>
        <v>#REF!</v>
      </c>
      <c r="N71" s="295" t="e">
        <f t="shared" si="9"/>
        <v>#REF!</v>
      </c>
      <c r="O71" s="295" t="e">
        <f t="shared" si="10"/>
        <v>#REF!</v>
      </c>
      <c r="P71" s="296" t="s">
        <v>93</v>
      </c>
      <c r="Q71" s="297"/>
      <c r="R71" s="297"/>
      <c r="S71" s="298" t="e">
        <f t="shared" si="12"/>
        <v>#REF!</v>
      </c>
    </row>
    <row r="72" spans="2:19" ht="11.25" customHeight="1">
      <c r="B72" s="365">
        <v>45708</v>
      </c>
      <c r="C72" s="19" t="s">
        <v>82</v>
      </c>
      <c r="D72" s="21"/>
      <c r="E72" s="20">
        <v>44</v>
      </c>
      <c r="F72" s="29" t="s">
        <v>32</v>
      </c>
      <c r="G72" s="29"/>
      <c r="H72" s="29"/>
      <c r="I72" s="29"/>
      <c r="J72" s="29"/>
      <c r="K72" s="292">
        <v>5305.1900000000014</v>
      </c>
      <c r="L72" s="293" t="e">
        <f>#REF!</f>
        <v>#REF!</v>
      </c>
      <c r="M72" s="369" t="e">
        <f t="shared" si="11"/>
        <v>#REF!</v>
      </c>
      <c r="N72" s="295" t="e">
        <f t="shared" si="9"/>
        <v>#REF!</v>
      </c>
      <c r="O72" s="295" t="e">
        <f t="shared" si="10"/>
        <v>#REF!</v>
      </c>
      <c r="P72" s="296" t="s">
        <v>93</v>
      </c>
      <c r="Q72" s="297"/>
      <c r="R72" s="297"/>
      <c r="S72" s="298" t="e">
        <f t="shared" si="12"/>
        <v>#REF!</v>
      </c>
    </row>
    <row r="73" spans="2:19" ht="11.25" customHeight="1">
      <c r="B73" s="365">
        <v>45708</v>
      </c>
      <c r="C73" s="27" t="s">
        <v>83</v>
      </c>
      <c r="D73" s="21"/>
      <c r="E73" s="20">
        <v>44</v>
      </c>
      <c r="F73" s="29" t="s">
        <v>32</v>
      </c>
      <c r="G73" s="29"/>
      <c r="H73" s="29"/>
      <c r="I73" s="29"/>
      <c r="J73" s="29"/>
      <c r="K73" s="292" t="e">
        <f>L73*M73</f>
        <v>#REF!</v>
      </c>
      <c r="L73" s="293" t="e">
        <f>#REF!</f>
        <v>#REF!</v>
      </c>
      <c r="M73" s="369">
        <v>5.4824733007262694</v>
      </c>
      <c r="N73" s="295" t="e">
        <f t="shared" si="9"/>
        <v>#REF!</v>
      </c>
      <c r="O73" s="295" t="e">
        <f t="shared" si="10"/>
        <v>#REF!</v>
      </c>
      <c r="P73" s="296" t="s">
        <v>93</v>
      </c>
      <c r="Q73" s="297"/>
      <c r="R73" s="297"/>
      <c r="S73" s="298" t="e">
        <f t="shared" si="12"/>
        <v>#REF!</v>
      </c>
    </row>
    <row r="74" spans="2:19" ht="11.25" customHeight="1">
      <c r="B74" s="365">
        <v>45708</v>
      </c>
      <c r="C74" s="27" t="s">
        <v>83</v>
      </c>
      <c r="D74" s="21"/>
      <c r="E74" s="20">
        <v>44</v>
      </c>
      <c r="F74" s="29" t="s">
        <v>32</v>
      </c>
      <c r="G74" s="29"/>
      <c r="H74" s="29"/>
      <c r="I74" s="29"/>
      <c r="J74" s="29"/>
      <c r="K74" s="292" t="e">
        <f>3152.56-K73</f>
        <v>#REF!</v>
      </c>
      <c r="L74" s="293" t="e">
        <f>#REF!</f>
        <v>#REF!</v>
      </c>
      <c r="M74" s="364" t="e">
        <f t="shared" ref="M74:M97" si="13">K74/L74</f>
        <v>#REF!</v>
      </c>
      <c r="N74" s="295" t="e">
        <f t="shared" si="9"/>
        <v>#REF!</v>
      </c>
      <c r="O74" s="295" t="e">
        <f t="shared" si="10"/>
        <v>#REF!</v>
      </c>
      <c r="P74" s="296" t="s">
        <v>96</v>
      </c>
      <c r="Q74" s="297"/>
      <c r="R74" s="297"/>
      <c r="S74" s="298" t="e">
        <f>44544-M74</f>
        <v>#REF!</v>
      </c>
    </row>
    <row r="75" spans="2:19" ht="11.25" customHeight="1">
      <c r="B75" s="365">
        <v>45708</v>
      </c>
      <c r="C75" s="27" t="s">
        <v>84</v>
      </c>
      <c r="D75" s="21"/>
      <c r="E75" s="20">
        <v>44</v>
      </c>
      <c r="F75" s="29" t="s">
        <v>32</v>
      </c>
      <c r="G75" s="29"/>
      <c r="H75" s="29"/>
      <c r="I75" s="29"/>
      <c r="J75" s="29"/>
      <c r="K75" s="292">
        <v>300</v>
      </c>
      <c r="L75" s="293" t="e">
        <f>#REF!</f>
        <v>#REF!</v>
      </c>
      <c r="M75" s="364" t="e">
        <f t="shared" si="13"/>
        <v>#REF!</v>
      </c>
      <c r="N75" s="295" t="e">
        <f t="shared" si="9"/>
        <v>#REF!</v>
      </c>
      <c r="O75" s="295" t="e">
        <f t="shared" si="10"/>
        <v>#REF!</v>
      </c>
      <c r="P75" s="296" t="s">
        <v>96</v>
      </c>
      <c r="Q75" s="297"/>
      <c r="R75" s="297"/>
      <c r="S75" s="298" t="e">
        <f t="shared" ref="S75:S97" si="14">S74-M75</f>
        <v>#REF!</v>
      </c>
    </row>
    <row r="76" spans="2:19" ht="11.25" customHeight="1">
      <c r="B76" s="365">
        <v>45708</v>
      </c>
      <c r="C76" s="27" t="s">
        <v>80</v>
      </c>
      <c r="D76" s="21"/>
      <c r="E76" s="20">
        <v>44</v>
      </c>
      <c r="F76" s="29" t="s">
        <v>32</v>
      </c>
      <c r="G76" s="29"/>
      <c r="H76" s="29"/>
      <c r="I76" s="29"/>
      <c r="J76" s="29"/>
      <c r="K76" s="292">
        <v>16000</v>
      </c>
      <c r="L76" s="293" t="e">
        <f>#REF!</f>
        <v>#REF!</v>
      </c>
      <c r="M76" s="364" t="e">
        <f t="shared" si="13"/>
        <v>#REF!</v>
      </c>
      <c r="N76" s="295" t="e">
        <f t="shared" si="9"/>
        <v>#REF!</v>
      </c>
      <c r="O76" s="295" t="e">
        <f t="shared" si="10"/>
        <v>#REF!</v>
      </c>
      <c r="P76" s="296" t="s">
        <v>96</v>
      </c>
      <c r="Q76" s="297"/>
      <c r="R76" s="297"/>
      <c r="S76" s="298" t="e">
        <f t="shared" si="14"/>
        <v>#REF!</v>
      </c>
    </row>
    <row r="77" spans="2:19" ht="11.25" customHeight="1">
      <c r="B77" s="365">
        <v>45708</v>
      </c>
      <c r="C77" s="27" t="s">
        <v>81</v>
      </c>
      <c r="D77" s="21"/>
      <c r="E77" s="14">
        <v>44</v>
      </c>
      <c r="F77" s="29" t="s">
        <v>32</v>
      </c>
      <c r="G77" s="14"/>
      <c r="H77" s="14"/>
      <c r="I77" s="14"/>
      <c r="J77" s="14"/>
      <c r="K77" s="292">
        <v>24000</v>
      </c>
      <c r="L77" s="293" t="e">
        <f>#REF!</f>
        <v>#REF!</v>
      </c>
      <c r="M77" s="364" t="e">
        <f t="shared" si="13"/>
        <v>#REF!</v>
      </c>
      <c r="N77" s="295" t="e">
        <f t="shared" si="9"/>
        <v>#REF!</v>
      </c>
      <c r="O77" s="295" t="e">
        <f t="shared" si="10"/>
        <v>#REF!</v>
      </c>
      <c r="P77" s="296" t="s">
        <v>96</v>
      </c>
      <c r="Q77" s="297"/>
      <c r="R77" s="297"/>
      <c r="S77" s="298" t="e">
        <f t="shared" si="14"/>
        <v>#REF!</v>
      </c>
    </row>
    <row r="78" spans="2:19" ht="11.25" customHeight="1">
      <c r="B78" s="365">
        <v>45708</v>
      </c>
      <c r="C78" s="27" t="s">
        <v>82</v>
      </c>
      <c r="D78" s="21"/>
      <c r="E78" s="20">
        <v>44</v>
      </c>
      <c r="F78" s="29" t="s">
        <v>32</v>
      </c>
      <c r="G78" s="14"/>
      <c r="H78" s="14"/>
      <c r="I78" s="14"/>
      <c r="J78" s="14"/>
      <c r="K78" s="292">
        <v>8726.1899999999987</v>
      </c>
      <c r="L78" s="293" t="e">
        <f>#REF!</f>
        <v>#REF!</v>
      </c>
      <c r="M78" s="364" t="e">
        <f t="shared" si="13"/>
        <v>#REF!</v>
      </c>
      <c r="N78" s="295" t="e">
        <f t="shared" si="9"/>
        <v>#REF!</v>
      </c>
      <c r="O78" s="295" t="e">
        <f t="shared" si="10"/>
        <v>#REF!</v>
      </c>
      <c r="P78" s="296" t="s">
        <v>96</v>
      </c>
      <c r="Q78" s="297"/>
      <c r="R78" s="297"/>
      <c r="S78" s="298" t="e">
        <f t="shared" si="14"/>
        <v>#REF!</v>
      </c>
    </row>
    <row r="79" spans="2:19" ht="11.25" customHeight="1">
      <c r="B79" s="365">
        <v>45708</v>
      </c>
      <c r="C79" s="27" t="s">
        <v>83</v>
      </c>
      <c r="D79" s="21"/>
      <c r="E79" s="20">
        <v>44</v>
      </c>
      <c r="F79" s="29" t="s">
        <v>32</v>
      </c>
      <c r="G79" s="14"/>
      <c r="H79" s="14"/>
      <c r="I79" s="14"/>
      <c r="J79" s="14"/>
      <c r="K79" s="292">
        <v>2863.9</v>
      </c>
      <c r="L79" s="293" t="e">
        <f>#REF!</f>
        <v>#REF!</v>
      </c>
      <c r="M79" s="364" t="e">
        <f t="shared" si="13"/>
        <v>#REF!</v>
      </c>
      <c r="N79" s="295" t="e">
        <f t="shared" si="9"/>
        <v>#REF!</v>
      </c>
      <c r="O79" s="295" t="e">
        <f t="shared" si="10"/>
        <v>#REF!</v>
      </c>
      <c r="P79" s="296" t="s">
        <v>96</v>
      </c>
      <c r="Q79" s="297"/>
      <c r="R79" s="297"/>
      <c r="S79" s="298" t="e">
        <f t="shared" si="14"/>
        <v>#REF!</v>
      </c>
    </row>
    <row r="80" spans="2:19" ht="11.25" customHeight="1">
      <c r="B80" s="365">
        <v>45708</v>
      </c>
      <c r="C80" s="27" t="s">
        <v>84</v>
      </c>
      <c r="D80" s="21"/>
      <c r="E80" s="14">
        <v>44</v>
      </c>
      <c r="F80" s="29" t="s">
        <v>32</v>
      </c>
      <c r="G80" s="14"/>
      <c r="H80" s="14"/>
      <c r="I80" s="14"/>
      <c r="J80" s="14"/>
      <c r="K80" s="292">
        <v>300</v>
      </c>
      <c r="L80" s="293" t="e">
        <f>#REF!</f>
        <v>#REF!</v>
      </c>
      <c r="M80" s="364" t="e">
        <f t="shared" si="13"/>
        <v>#REF!</v>
      </c>
      <c r="N80" s="295" t="e">
        <f t="shared" si="9"/>
        <v>#REF!</v>
      </c>
      <c r="O80" s="295" t="e">
        <f t="shared" si="10"/>
        <v>#REF!</v>
      </c>
      <c r="P80" s="296" t="s">
        <v>96</v>
      </c>
      <c r="Q80" s="297"/>
      <c r="R80" s="297"/>
      <c r="S80" s="298" t="e">
        <f t="shared" si="14"/>
        <v>#REF!</v>
      </c>
    </row>
    <row r="81" spans="2:19" ht="11.25" customHeight="1">
      <c r="B81" s="365">
        <v>45708</v>
      </c>
      <c r="C81" s="27" t="s">
        <v>85</v>
      </c>
      <c r="D81" s="21"/>
      <c r="E81" s="20">
        <v>44</v>
      </c>
      <c r="F81" s="29" t="s">
        <v>32</v>
      </c>
      <c r="G81" s="14"/>
      <c r="H81" s="14"/>
      <c r="I81" s="14"/>
      <c r="J81" s="14"/>
      <c r="K81" s="292">
        <v>25750</v>
      </c>
      <c r="L81" s="293" t="e">
        <f>#REF!</f>
        <v>#REF!</v>
      </c>
      <c r="M81" s="364" t="e">
        <f t="shared" si="13"/>
        <v>#REF!</v>
      </c>
      <c r="N81" s="295" t="e">
        <f t="shared" si="9"/>
        <v>#REF!</v>
      </c>
      <c r="O81" s="295" t="e">
        <f t="shared" si="10"/>
        <v>#REF!</v>
      </c>
      <c r="P81" s="296" t="s">
        <v>96</v>
      </c>
      <c r="Q81" s="297"/>
      <c r="R81" s="297"/>
      <c r="S81" s="298" t="e">
        <f t="shared" si="14"/>
        <v>#REF!</v>
      </c>
    </row>
    <row r="82" spans="2:19" ht="11.25" customHeight="1">
      <c r="B82" s="365">
        <v>45708</v>
      </c>
      <c r="C82" s="27" t="s">
        <v>88</v>
      </c>
      <c r="D82" s="30"/>
      <c r="E82" s="20">
        <v>44</v>
      </c>
      <c r="F82" s="29" t="s">
        <v>32</v>
      </c>
      <c r="G82" s="14"/>
      <c r="H82" s="14"/>
      <c r="I82" s="14"/>
      <c r="J82" s="14"/>
      <c r="K82" s="292">
        <v>7431.44</v>
      </c>
      <c r="L82" s="293" t="e">
        <f>#REF!</f>
        <v>#REF!</v>
      </c>
      <c r="M82" s="364" t="e">
        <f t="shared" si="13"/>
        <v>#REF!</v>
      </c>
      <c r="N82" s="295" t="e">
        <f t="shared" si="9"/>
        <v>#REF!</v>
      </c>
      <c r="O82" s="295" t="e">
        <f t="shared" si="10"/>
        <v>#REF!</v>
      </c>
      <c r="P82" s="296" t="s">
        <v>96</v>
      </c>
      <c r="Q82" s="297"/>
      <c r="R82" s="297"/>
      <c r="S82" s="298" t="e">
        <f t="shared" si="14"/>
        <v>#REF!</v>
      </c>
    </row>
    <row r="83" spans="2:19" ht="11.25" customHeight="1">
      <c r="B83" s="365">
        <v>45708</v>
      </c>
      <c r="C83" s="19" t="s">
        <v>84</v>
      </c>
      <c r="D83" s="30"/>
      <c r="E83" s="20">
        <v>44</v>
      </c>
      <c r="F83" s="29" t="s">
        <v>32</v>
      </c>
      <c r="G83" s="14"/>
      <c r="H83" s="14"/>
      <c r="I83" s="14"/>
      <c r="J83" s="14"/>
      <c r="K83" s="292">
        <v>300</v>
      </c>
      <c r="L83" s="293" t="e">
        <f>#REF!</f>
        <v>#REF!</v>
      </c>
      <c r="M83" s="364" t="e">
        <f t="shared" si="13"/>
        <v>#REF!</v>
      </c>
      <c r="N83" s="295" t="e">
        <f t="shared" si="9"/>
        <v>#REF!</v>
      </c>
      <c r="O83" s="295" t="e">
        <f t="shared" si="10"/>
        <v>#REF!</v>
      </c>
      <c r="P83" s="296" t="s">
        <v>96</v>
      </c>
      <c r="Q83" s="297"/>
      <c r="R83" s="297"/>
      <c r="S83" s="298" t="e">
        <f t="shared" si="14"/>
        <v>#REF!</v>
      </c>
    </row>
    <row r="84" spans="2:19" ht="11.25" customHeight="1">
      <c r="B84" s="365">
        <v>45708</v>
      </c>
      <c r="C84" s="27" t="s">
        <v>89</v>
      </c>
      <c r="D84" s="30"/>
      <c r="E84" s="20">
        <v>44</v>
      </c>
      <c r="F84" s="29" t="s">
        <v>32</v>
      </c>
      <c r="G84" s="14"/>
      <c r="H84" s="14"/>
      <c r="I84" s="14"/>
      <c r="J84" s="14"/>
      <c r="K84" s="292">
        <v>300</v>
      </c>
      <c r="L84" s="293" t="e">
        <f>#REF!</f>
        <v>#REF!</v>
      </c>
      <c r="M84" s="364" t="e">
        <f t="shared" si="13"/>
        <v>#REF!</v>
      </c>
      <c r="N84" s="295" t="e">
        <f t="shared" ref="N84:N97" si="15">N83+H84-K84</f>
        <v>#REF!</v>
      </c>
      <c r="O84" s="295" t="e">
        <f t="shared" ref="O84:O97" si="16">O83+J84-M84</f>
        <v>#REF!</v>
      </c>
      <c r="P84" s="296" t="s">
        <v>96</v>
      </c>
      <c r="Q84" s="297"/>
      <c r="R84" s="297"/>
      <c r="S84" s="298" t="e">
        <f t="shared" si="14"/>
        <v>#REF!</v>
      </c>
    </row>
    <row r="85" spans="2:19" ht="11.25" customHeight="1">
      <c r="B85" s="365">
        <v>45708</v>
      </c>
      <c r="C85" s="27" t="s">
        <v>85</v>
      </c>
      <c r="D85" s="30"/>
      <c r="E85" s="20">
        <v>44</v>
      </c>
      <c r="F85" s="29" t="s">
        <v>32</v>
      </c>
      <c r="G85" s="14"/>
      <c r="H85" s="14"/>
      <c r="I85" s="14"/>
      <c r="J85" s="14"/>
      <c r="K85" s="292">
        <v>13390</v>
      </c>
      <c r="L85" s="293" t="e">
        <f>#REF!</f>
        <v>#REF!</v>
      </c>
      <c r="M85" s="364" t="e">
        <f t="shared" si="13"/>
        <v>#REF!</v>
      </c>
      <c r="N85" s="295" t="e">
        <f t="shared" si="15"/>
        <v>#REF!</v>
      </c>
      <c r="O85" s="295" t="e">
        <f t="shared" si="16"/>
        <v>#REF!</v>
      </c>
      <c r="P85" s="296" t="s">
        <v>96</v>
      </c>
      <c r="Q85" s="297"/>
      <c r="R85" s="297"/>
      <c r="S85" s="298" t="e">
        <f t="shared" si="14"/>
        <v>#REF!</v>
      </c>
    </row>
    <row r="86" spans="2:19" ht="11.25" customHeight="1">
      <c r="B86" s="365">
        <v>45708</v>
      </c>
      <c r="C86" s="27" t="s">
        <v>87</v>
      </c>
      <c r="D86" s="312"/>
      <c r="E86" s="20">
        <v>44</v>
      </c>
      <c r="F86" s="14" t="s">
        <v>123</v>
      </c>
      <c r="G86" s="14" t="s">
        <v>35</v>
      </c>
      <c r="H86" s="14"/>
      <c r="I86" s="14"/>
      <c r="J86" s="14"/>
      <c r="K86" s="292">
        <v>19074</v>
      </c>
      <c r="L86" s="293" t="e">
        <f>#REF!</f>
        <v>#REF!</v>
      </c>
      <c r="M86" s="364" t="e">
        <f t="shared" si="13"/>
        <v>#REF!</v>
      </c>
      <c r="N86" s="295" t="e">
        <f t="shared" si="15"/>
        <v>#REF!</v>
      </c>
      <c r="O86" s="295" t="e">
        <f t="shared" si="16"/>
        <v>#REF!</v>
      </c>
      <c r="P86" s="296" t="s">
        <v>96</v>
      </c>
      <c r="Q86" s="297"/>
      <c r="R86" s="297"/>
      <c r="S86" s="298" t="e">
        <f t="shared" si="14"/>
        <v>#REF!</v>
      </c>
    </row>
    <row r="87" spans="2:19" ht="11.25" customHeight="1">
      <c r="B87" s="365">
        <v>45708</v>
      </c>
      <c r="C87" s="27" t="s">
        <v>88</v>
      </c>
      <c r="D87" s="312"/>
      <c r="E87" s="20">
        <v>44</v>
      </c>
      <c r="F87" s="29" t="s">
        <v>32</v>
      </c>
      <c r="G87" s="14"/>
      <c r="H87" s="14"/>
      <c r="I87" s="14"/>
      <c r="J87" s="14"/>
      <c r="K87" s="292">
        <v>3281.57</v>
      </c>
      <c r="L87" s="293" t="e">
        <f>#REF!</f>
        <v>#REF!</v>
      </c>
      <c r="M87" s="364" t="e">
        <f t="shared" si="13"/>
        <v>#REF!</v>
      </c>
      <c r="N87" s="295" t="e">
        <f t="shared" si="15"/>
        <v>#REF!</v>
      </c>
      <c r="O87" s="295" t="e">
        <f t="shared" si="16"/>
        <v>#REF!</v>
      </c>
      <c r="P87" s="296" t="s">
        <v>96</v>
      </c>
      <c r="Q87" s="297"/>
      <c r="R87" s="297"/>
      <c r="S87" s="298" t="e">
        <f t="shared" si="14"/>
        <v>#REF!</v>
      </c>
    </row>
    <row r="88" spans="2:19" ht="11.25" customHeight="1">
      <c r="B88" s="365">
        <v>45708</v>
      </c>
      <c r="C88" s="27" t="s">
        <v>84</v>
      </c>
      <c r="D88" s="312"/>
      <c r="E88" s="20">
        <v>44</v>
      </c>
      <c r="F88" s="29" t="s">
        <v>32</v>
      </c>
      <c r="G88" s="14"/>
      <c r="H88" s="14"/>
      <c r="I88" s="14"/>
      <c r="J88" s="14"/>
      <c r="K88" s="292">
        <v>300</v>
      </c>
      <c r="L88" s="293" t="e">
        <f>#REF!</f>
        <v>#REF!</v>
      </c>
      <c r="M88" s="364" t="e">
        <f t="shared" si="13"/>
        <v>#REF!</v>
      </c>
      <c r="N88" s="295" t="e">
        <f t="shared" si="15"/>
        <v>#REF!</v>
      </c>
      <c r="O88" s="295" t="e">
        <f t="shared" si="16"/>
        <v>#REF!</v>
      </c>
      <c r="P88" s="296" t="s">
        <v>96</v>
      </c>
      <c r="Q88" s="297"/>
      <c r="R88" s="297"/>
      <c r="S88" s="298" t="e">
        <f t="shared" si="14"/>
        <v>#REF!</v>
      </c>
    </row>
    <row r="89" spans="2:19" ht="11.25" customHeight="1">
      <c r="B89" s="365">
        <v>45708</v>
      </c>
      <c r="C89" s="27" t="s">
        <v>85</v>
      </c>
      <c r="D89" s="312"/>
      <c r="E89" s="20">
        <v>44</v>
      </c>
      <c r="F89" s="29" t="s">
        <v>32</v>
      </c>
      <c r="G89" s="14"/>
      <c r="H89" s="14"/>
      <c r="I89" s="14"/>
      <c r="J89" s="14"/>
      <c r="K89" s="292">
        <v>25750</v>
      </c>
      <c r="L89" s="293" t="e">
        <f>#REF!</f>
        <v>#REF!</v>
      </c>
      <c r="M89" s="364" t="e">
        <f t="shared" si="13"/>
        <v>#REF!</v>
      </c>
      <c r="N89" s="295" t="e">
        <f t="shared" si="15"/>
        <v>#REF!</v>
      </c>
      <c r="O89" s="295" t="e">
        <f t="shared" si="16"/>
        <v>#REF!</v>
      </c>
      <c r="P89" s="296" t="s">
        <v>96</v>
      </c>
      <c r="Q89" s="297"/>
      <c r="R89" s="297"/>
      <c r="S89" s="298" t="e">
        <f t="shared" si="14"/>
        <v>#REF!</v>
      </c>
    </row>
    <row r="90" spans="2:19" ht="11.25" customHeight="1">
      <c r="B90" s="365">
        <v>45708</v>
      </c>
      <c r="C90" s="27" t="s">
        <v>87</v>
      </c>
      <c r="D90" s="312"/>
      <c r="E90" s="20">
        <v>44</v>
      </c>
      <c r="F90" s="14" t="s">
        <v>123</v>
      </c>
      <c r="G90" s="14" t="s">
        <v>35</v>
      </c>
      <c r="H90" s="14"/>
      <c r="I90" s="14"/>
      <c r="J90" s="14"/>
      <c r="K90" s="292">
        <v>37705</v>
      </c>
      <c r="L90" s="293" t="e">
        <f>#REF!</f>
        <v>#REF!</v>
      </c>
      <c r="M90" s="364" t="e">
        <f t="shared" si="13"/>
        <v>#REF!</v>
      </c>
      <c r="N90" s="295" t="e">
        <f t="shared" si="15"/>
        <v>#REF!</v>
      </c>
      <c r="O90" s="295" t="e">
        <f t="shared" si="16"/>
        <v>#REF!</v>
      </c>
      <c r="P90" s="296" t="s">
        <v>96</v>
      </c>
      <c r="Q90" s="297"/>
      <c r="R90" s="297"/>
      <c r="S90" s="298" t="e">
        <f t="shared" si="14"/>
        <v>#REF!</v>
      </c>
    </row>
    <row r="91" spans="2:19" ht="11.25" customHeight="1">
      <c r="B91" s="365">
        <v>45708</v>
      </c>
      <c r="C91" s="27" t="s">
        <v>88</v>
      </c>
      <c r="D91" s="312"/>
      <c r="E91" s="20">
        <v>44</v>
      </c>
      <c r="F91" s="29" t="s">
        <v>32</v>
      </c>
      <c r="G91" s="14"/>
      <c r="H91" s="14"/>
      <c r="I91" s="14"/>
      <c r="J91" s="14"/>
      <c r="K91" s="292">
        <v>7431.44</v>
      </c>
      <c r="L91" s="293" t="e">
        <f>#REF!</f>
        <v>#REF!</v>
      </c>
      <c r="M91" s="364" t="e">
        <f t="shared" si="13"/>
        <v>#REF!</v>
      </c>
      <c r="N91" s="295" t="e">
        <f t="shared" si="15"/>
        <v>#REF!</v>
      </c>
      <c r="O91" s="295" t="e">
        <f t="shared" si="16"/>
        <v>#REF!</v>
      </c>
      <c r="P91" s="296" t="s">
        <v>96</v>
      </c>
      <c r="Q91" s="297"/>
      <c r="R91" s="297"/>
      <c r="S91" s="298" t="e">
        <f t="shared" si="14"/>
        <v>#REF!</v>
      </c>
    </row>
    <row r="92" spans="2:19" ht="11.25" customHeight="1">
      <c r="B92" s="365">
        <v>45708</v>
      </c>
      <c r="C92" s="27" t="s">
        <v>84</v>
      </c>
      <c r="D92" s="312"/>
      <c r="E92" s="20">
        <v>44</v>
      </c>
      <c r="F92" s="29" t="s">
        <v>32</v>
      </c>
      <c r="G92" s="14"/>
      <c r="H92" s="14"/>
      <c r="I92" s="14"/>
      <c r="J92" s="14"/>
      <c r="K92" s="292">
        <v>300</v>
      </c>
      <c r="L92" s="293" t="e">
        <f>#REF!</f>
        <v>#REF!</v>
      </c>
      <c r="M92" s="364" t="e">
        <f t="shared" si="13"/>
        <v>#REF!</v>
      </c>
      <c r="N92" s="295" t="e">
        <f t="shared" si="15"/>
        <v>#REF!</v>
      </c>
      <c r="O92" s="295" t="e">
        <f t="shared" si="16"/>
        <v>#REF!</v>
      </c>
      <c r="P92" s="296" t="s">
        <v>96</v>
      </c>
      <c r="Q92" s="297"/>
      <c r="R92" s="297"/>
      <c r="S92" s="298" t="e">
        <f t="shared" si="14"/>
        <v>#REF!</v>
      </c>
    </row>
    <row r="93" spans="2:19" ht="11.25" customHeight="1">
      <c r="B93" s="365">
        <v>45708</v>
      </c>
      <c r="C93" s="27" t="s">
        <v>85</v>
      </c>
      <c r="D93" s="312"/>
      <c r="E93" s="20">
        <v>44</v>
      </c>
      <c r="F93" s="29" t="s">
        <v>32</v>
      </c>
      <c r="G93" s="14"/>
      <c r="H93" s="14"/>
      <c r="I93" s="14"/>
      <c r="J93" s="14"/>
      <c r="K93" s="292">
        <v>21300</v>
      </c>
      <c r="L93" s="293" t="e">
        <f>#REF!</f>
        <v>#REF!</v>
      </c>
      <c r="M93" s="364" t="e">
        <f t="shared" si="13"/>
        <v>#REF!</v>
      </c>
      <c r="N93" s="295" t="e">
        <f t="shared" si="15"/>
        <v>#REF!</v>
      </c>
      <c r="O93" s="295" t="e">
        <f t="shared" si="16"/>
        <v>#REF!</v>
      </c>
      <c r="P93" s="296" t="s">
        <v>96</v>
      </c>
      <c r="Q93" s="297"/>
      <c r="R93" s="297"/>
      <c r="S93" s="298" t="e">
        <f t="shared" si="14"/>
        <v>#REF!</v>
      </c>
    </row>
    <row r="94" spans="2:19" ht="11.25" customHeight="1">
      <c r="B94" s="365">
        <v>45708</v>
      </c>
      <c r="C94" s="27" t="s">
        <v>88</v>
      </c>
      <c r="D94" s="312"/>
      <c r="E94" s="20">
        <v>44</v>
      </c>
      <c r="F94" s="29" t="s">
        <v>32</v>
      </c>
      <c r="G94" s="14"/>
      <c r="H94" s="14"/>
      <c r="I94" s="14"/>
      <c r="J94" s="14"/>
      <c r="K94" s="292">
        <v>5941.29</v>
      </c>
      <c r="L94" s="293" t="e">
        <f>#REF!</f>
        <v>#REF!</v>
      </c>
      <c r="M94" s="364" t="e">
        <f t="shared" si="13"/>
        <v>#REF!</v>
      </c>
      <c r="N94" s="295" t="e">
        <f t="shared" si="15"/>
        <v>#REF!</v>
      </c>
      <c r="O94" s="295" t="e">
        <f t="shared" si="16"/>
        <v>#REF!</v>
      </c>
      <c r="P94" s="296" t="s">
        <v>96</v>
      </c>
      <c r="Q94" s="297"/>
      <c r="R94" s="297"/>
      <c r="S94" s="298" t="e">
        <f t="shared" si="14"/>
        <v>#REF!</v>
      </c>
    </row>
    <row r="95" spans="2:19" ht="11.25" customHeight="1">
      <c r="B95" s="365">
        <v>45708</v>
      </c>
      <c r="C95" s="27" t="s">
        <v>84</v>
      </c>
      <c r="D95" s="312"/>
      <c r="E95" s="20">
        <v>44</v>
      </c>
      <c r="F95" s="29" t="s">
        <v>32</v>
      </c>
      <c r="G95" s="14"/>
      <c r="H95" s="292"/>
      <c r="I95" s="293"/>
      <c r="J95" s="313"/>
      <c r="K95" s="292">
        <v>300</v>
      </c>
      <c r="L95" s="293" t="e">
        <f>#REF!</f>
        <v>#REF!</v>
      </c>
      <c r="M95" s="364" t="e">
        <f t="shared" si="13"/>
        <v>#REF!</v>
      </c>
      <c r="N95" s="295" t="e">
        <f t="shared" si="15"/>
        <v>#REF!</v>
      </c>
      <c r="O95" s="295" t="e">
        <f t="shared" si="16"/>
        <v>#REF!</v>
      </c>
      <c r="P95" s="296" t="s">
        <v>96</v>
      </c>
      <c r="Q95" s="297"/>
      <c r="R95" s="297"/>
      <c r="S95" s="298" t="e">
        <f t="shared" si="14"/>
        <v>#REF!</v>
      </c>
    </row>
    <row r="96" spans="2:19" ht="11.25" customHeight="1">
      <c r="B96" s="365">
        <v>45708</v>
      </c>
      <c r="C96" s="27" t="s">
        <v>89</v>
      </c>
      <c r="D96" s="312"/>
      <c r="E96" s="20">
        <v>44</v>
      </c>
      <c r="F96" s="29" t="s">
        <v>32</v>
      </c>
      <c r="G96" s="14"/>
      <c r="H96" s="14"/>
      <c r="I96" s="14"/>
      <c r="J96" s="14"/>
      <c r="K96" s="371">
        <v>200</v>
      </c>
      <c r="L96" s="293" t="e">
        <f>#REF!</f>
        <v>#REF!</v>
      </c>
      <c r="M96" s="364" t="e">
        <f t="shared" si="13"/>
        <v>#REF!</v>
      </c>
      <c r="N96" s="295" t="e">
        <f t="shared" si="15"/>
        <v>#REF!</v>
      </c>
      <c r="O96" s="295" t="e">
        <f t="shared" si="16"/>
        <v>#REF!</v>
      </c>
      <c r="P96" s="296" t="s">
        <v>96</v>
      </c>
      <c r="Q96" s="297"/>
      <c r="R96" s="297"/>
      <c r="S96" s="298" t="e">
        <f t="shared" si="14"/>
        <v>#REF!</v>
      </c>
    </row>
    <row r="97" spans="2:19" ht="11.25" customHeight="1">
      <c r="B97" s="290">
        <v>45708</v>
      </c>
      <c r="C97" s="19" t="s">
        <v>49</v>
      </c>
      <c r="D97" s="312"/>
      <c r="E97" s="20">
        <v>45</v>
      </c>
      <c r="F97" s="29" t="s">
        <v>32</v>
      </c>
      <c r="G97" s="14"/>
      <c r="H97" s="14"/>
      <c r="I97" s="14"/>
      <c r="J97" s="14"/>
      <c r="K97" s="292">
        <v>12</v>
      </c>
      <c r="L97" s="293" t="e">
        <f>#REF!</f>
        <v>#REF!</v>
      </c>
      <c r="M97" s="364" t="e">
        <f t="shared" si="13"/>
        <v>#REF!</v>
      </c>
      <c r="N97" s="295" t="e">
        <f t="shared" si="15"/>
        <v>#REF!</v>
      </c>
      <c r="O97" s="295" t="e">
        <f t="shared" si="16"/>
        <v>#REF!</v>
      </c>
      <c r="P97" s="296" t="s">
        <v>96</v>
      </c>
      <c r="Q97" s="297"/>
      <c r="R97" s="297"/>
      <c r="S97" s="298" t="e">
        <f t="shared" si="14"/>
        <v>#REF!</v>
      </c>
    </row>
  </sheetData>
  <autoFilter ref="B18:R97" xr:uid="{00000000-0009-0000-0000-000002000000}">
    <filterColumn colId="14" showButton="0"/>
    <sortState xmlns:xlrd2="http://schemas.microsoft.com/office/spreadsheetml/2017/richdata2" ref="B20:R21">
      <sortCondition sortBy="cellColor" ref="M18:M20" dxfId="4"/>
    </sortState>
  </autoFilter>
  <mergeCells count="5">
    <mergeCell ref="N17:O17"/>
    <mergeCell ref="P18:Q18"/>
    <mergeCell ref="P17:Q17"/>
    <mergeCell ref="K17:M17"/>
    <mergeCell ref="H17:J17"/>
  </mergeCells>
  <phoneticPr fontId="3" type="noConversion"/>
  <pageMargins left="0.7" right="0.7" top="0.75" bottom="0.75" header="0.3" footer="0.3"/>
  <pageSetup paperSize="256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13" customWidth="1"/>
    <col min="2" max="2" width="9.75" style="186" customWidth="1"/>
    <col min="3" max="3" width="24" style="200" customWidth="1"/>
    <col min="4" max="4" width="9.75" style="198" customWidth="1"/>
    <col min="5" max="5" width="12.125" style="198" customWidth="1"/>
    <col min="6" max="6" width="12.5" style="198" customWidth="1"/>
    <col min="7" max="7" width="9.875" style="188" customWidth="1"/>
    <col min="8" max="8" width="9.75" style="198" customWidth="1"/>
    <col min="9" max="9" width="9.875" style="198" customWidth="1"/>
    <col min="10" max="10" width="10.5" style="188" customWidth="1"/>
    <col min="11" max="11" width="11" style="250" customWidth="1"/>
    <col min="12" max="12" width="11.125" style="198" customWidth="1"/>
    <col min="13" max="13" width="9.75" style="198" customWidth="1"/>
    <col min="14" max="14" width="12.375" style="198" customWidth="1"/>
    <col min="15" max="15" width="9.875" style="198" customWidth="1"/>
    <col min="16" max="16" width="10.75" style="198" customWidth="1"/>
    <col min="17" max="17" width="9.625" style="198" customWidth="1"/>
    <col min="18" max="18" width="31.5" style="188" customWidth="1"/>
    <col min="19" max="19" width="10.5" style="12" bestFit="1" customWidth="1"/>
    <col min="20" max="20" width="9" style="198" customWidth="1"/>
    <col min="21" max="21" width="9" style="323" customWidth="1"/>
    <col min="22" max="22" width="9" style="198" customWidth="1"/>
    <col min="23" max="16384" width="9" style="198"/>
  </cols>
  <sheetData>
    <row r="1" spans="1:29" ht="4.5" customHeight="1">
      <c r="A1" s="9"/>
      <c r="B1" s="324"/>
      <c r="C1" s="372"/>
      <c r="D1" s="325"/>
      <c r="E1" s="326"/>
      <c r="F1" s="326"/>
      <c r="G1" s="327"/>
      <c r="H1" s="326"/>
      <c r="I1" s="326"/>
      <c r="J1" s="328"/>
      <c r="K1" s="373"/>
      <c r="L1" s="326"/>
      <c r="M1" s="329"/>
      <c r="N1" s="329"/>
      <c r="O1" s="325"/>
      <c r="P1" s="330"/>
      <c r="Q1" s="330"/>
      <c r="R1" s="331"/>
      <c r="S1" s="10"/>
    </row>
    <row r="2" spans="1:29" ht="15" customHeight="1">
      <c r="B2" s="332" t="s">
        <v>124</v>
      </c>
      <c r="D2" s="200"/>
      <c r="F2" s="201"/>
      <c r="G2" s="188" t="s">
        <v>13</v>
      </c>
      <c r="H2" s="40" t="s">
        <v>14</v>
      </c>
      <c r="I2" s="202"/>
      <c r="J2" s="202"/>
      <c r="K2" s="374"/>
      <c r="L2" s="202"/>
      <c r="M2" s="202"/>
      <c r="N2" s="204"/>
      <c r="O2" s="205"/>
      <c r="Q2" s="202"/>
    </row>
    <row r="3" spans="1:29" s="206" customFormat="1" ht="11.25" customHeight="1">
      <c r="A3" s="11"/>
      <c r="B3" s="207" t="s">
        <v>95</v>
      </c>
      <c r="C3" s="208"/>
      <c r="D3" s="208"/>
      <c r="E3" s="208"/>
      <c r="F3" s="31">
        <v>1447.4</v>
      </c>
      <c r="G3" s="209"/>
      <c r="H3" s="207" t="s">
        <v>125</v>
      </c>
      <c r="I3" s="208"/>
      <c r="K3" s="375"/>
      <c r="L3" s="31">
        <v>1446.3</v>
      </c>
      <c r="N3" s="207"/>
      <c r="O3" s="207"/>
      <c r="P3" s="207"/>
      <c r="Q3" s="207"/>
      <c r="R3" s="207"/>
      <c r="T3" s="207"/>
      <c r="U3" s="208"/>
      <c r="V3" s="210"/>
      <c r="W3" s="210"/>
      <c r="X3" s="211">
        <v>1327.2</v>
      </c>
    </row>
    <row r="4" spans="1:29" ht="11.25" customHeight="1">
      <c r="A4" s="9"/>
      <c r="B4" s="212" t="s">
        <v>18</v>
      </c>
      <c r="C4" s="376" t="s">
        <v>19</v>
      </c>
      <c r="D4" s="213" t="s">
        <v>20</v>
      </c>
      <c r="E4" s="214" t="s">
        <v>21</v>
      </c>
      <c r="F4" s="215" t="s">
        <v>22</v>
      </c>
      <c r="H4" s="212" t="s">
        <v>18</v>
      </c>
      <c r="I4" s="213" t="s">
        <v>19</v>
      </c>
      <c r="J4" s="216" t="s">
        <v>20</v>
      </c>
      <c r="K4" s="217" t="s">
        <v>21</v>
      </c>
      <c r="L4" s="215" t="s">
        <v>22</v>
      </c>
      <c r="M4" s="218"/>
      <c r="N4" s="207"/>
      <c r="O4" s="207"/>
      <c r="P4" s="207"/>
      <c r="Q4" s="207"/>
      <c r="R4" s="207"/>
      <c r="U4" s="198"/>
    </row>
    <row r="5" spans="1:29" ht="11.25" customHeight="1">
      <c r="A5" s="12">
        <v>51131050</v>
      </c>
      <c r="B5" s="219" t="s">
        <v>23</v>
      </c>
      <c r="C5" s="220" t="s">
        <v>24</v>
      </c>
      <c r="D5" s="221">
        <v>14845.68</v>
      </c>
      <c r="E5" s="222">
        <v>2035.182549930337</v>
      </c>
      <c r="F5" s="223">
        <f t="shared" ref="F5:F10" si="0">ROUND(E5*$F$3,0)</f>
        <v>2945723</v>
      </c>
      <c r="G5" s="224"/>
      <c r="H5" s="225" t="s">
        <v>23</v>
      </c>
      <c r="I5" s="225" t="s">
        <v>24</v>
      </c>
      <c r="J5" s="226"/>
      <c r="K5" s="377"/>
      <c r="L5" s="223">
        <f t="shared" ref="L5:L12" si="1">ROUND(K5*$L$3,0)</f>
        <v>0</v>
      </c>
      <c r="M5" s="227">
        <f t="shared" ref="M5:M13" si="2">L5+F5</f>
        <v>2945723</v>
      </c>
      <c r="N5" s="207"/>
      <c r="O5" s="207"/>
      <c r="P5" s="207"/>
      <c r="Q5" s="207"/>
      <c r="R5" s="207"/>
      <c r="S5" s="228">
        <f t="shared" ref="S5:S13" si="3">F5+L5+R5</f>
        <v>2945723</v>
      </c>
      <c r="U5" s="198"/>
    </row>
    <row r="6" spans="1:29" ht="11.25" customHeight="1">
      <c r="A6" s="12">
        <v>51061030</v>
      </c>
      <c r="B6" s="219" t="s">
        <v>25</v>
      </c>
      <c r="C6" s="220" t="s">
        <v>26</v>
      </c>
      <c r="D6" s="221">
        <v>18459.27</v>
      </c>
      <c r="E6" s="221">
        <v>2530.5737043496729</v>
      </c>
      <c r="F6" s="223">
        <f t="shared" si="0"/>
        <v>3662752</v>
      </c>
      <c r="G6" s="229"/>
      <c r="H6" s="225" t="s">
        <v>25</v>
      </c>
      <c r="I6" s="225" t="s">
        <v>26</v>
      </c>
      <c r="J6" s="226">
        <v>18692.93</v>
      </c>
      <c r="K6" s="377">
        <v>2589.84</v>
      </c>
      <c r="L6" s="223">
        <f t="shared" si="1"/>
        <v>3745686</v>
      </c>
      <c r="M6" s="227">
        <f t="shared" si="2"/>
        <v>7408438</v>
      </c>
      <c r="N6" s="207"/>
      <c r="O6" s="207"/>
      <c r="P6" s="207"/>
      <c r="Q6" s="207"/>
      <c r="R6" s="207"/>
      <c r="S6" s="228">
        <f t="shared" si="3"/>
        <v>7408438</v>
      </c>
      <c r="U6" s="198"/>
      <c r="AB6" s="202"/>
      <c r="AC6" s="188"/>
    </row>
    <row r="7" spans="1:29" ht="11.25" customHeight="1">
      <c r="A7" s="12">
        <v>51201020</v>
      </c>
      <c r="B7" s="219" t="s">
        <v>27</v>
      </c>
      <c r="C7" s="220" t="s">
        <v>28</v>
      </c>
      <c r="D7" s="221">
        <v>25272</v>
      </c>
      <c r="E7" s="221">
        <v>3464.53</v>
      </c>
      <c r="F7" s="223">
        <f t="shared" si="0"/>
        <v>5014561</v>
      </c>
      <c r="G7" s="230"/>
      <c r="H7" s="225" t="s">
        <v>27</v>
      </c>
      <c r="I7" s="225" t="s">
        <v>28</v>
      </c>
      <c r="J7" s="226"/>
      <c r="K7" s="377"/>
      <c r="L7" s="223">
        <f t="shared" si="1"/>
        <v>0</v>
      </c>
      <c r="M7" s="227">
        <f t="shared" si="2"/>
        <v>5014561</v>
      </c>
      <c r="N7" s="207"/>
      <c r="O7" s="207"/>
      <c r="P7" s="207"/>
      <c r="Q7" s="207"/>
      <c r="R7" s="207"/>
      <c r="S7" s="228">
        <f t="shared" si="3"/>
        <v>5014561</v>
      </c>
      <c r="U7" s="198"/>
    </row>
    <row r="8" spans="1:29" ht="15" customHeight="1">
      <c r="A8" s="12">
        <v>51201030</v>
      </c>
      <c r="B8" s="219" t="s">
        <v>27</v>
      </c>
      <c r="C8" s="220" t="s">
        <v>29</v>
      </c>
      <c r="D8" s="221">
        <v>17500</v>
      </c>
      <c r="E8" s="221">
        <v>2399.0700000000002</v>
      </c>
      <c r="F8" s="223">
        <f t="shared" si="0"/>
        <v>3472414</v>
      </c>
      <c r="G8" s="230"/>
      <c r="H8" s="225" t="s">
        <v>27</v>
      </c>
      <c r="I8" s="220" t="s">
        <v>29</v>
      </c>
      <c r="J8" s="226"/>
      <c r="K8" s="377"/>
      <c r="L8" s="223">
        <f t="shared" si="1"/>
        <v>0</v>
      </c>
      <c r="M8" s="227">
        <f t="shared" si="2"/>
        <v>3472414</v>
      </c>
      <c r="N8" s="207"/>
      <c r="O8" s="207"/>
      <c r="P8" s="207"/>
      <c r="Q8" s="207"/>
      <c r="R8" s="207"/>
      <c r="S8" s="228">
        <f t="shared" si="3"/>
        <v>3472414</v>
      </c>
      <c r="U8" s="198"/>
    </row>
    <row r="9" spans="1:29" ht="11.25" customHeight="1">
      <c r="A9" s="12">
        <v>51071700</v>
      </c>
      <c r="B9" s="219" t="s">
        <v>30</v>
      </c>
      <c r="C9" s="220" t="s">
        <v>31</v>
      </c>
      <c r="D9" s="221">
        <v>1453.59</v>
      </c>
      <c r="E9" s="221">
        <v>199.2720530609088</v>
      </c>
      <c r="F9" s="223">
        <f t="shared" si="0"/>
        <v>288426</v>
      </c>
      <c r="G9" s="231"/>
      <c r="H9" s="225" t="s">
        <v>30</v>
      </c>
      <c r="I9" s="220" t="s">
        <v>31</v>
      </c>
      <c r="J9" s="226">
        <v>169</v>
      </c>
      <c r="K9" s="377">
        <v>23.41</v>
      </c>
      <c r="L9" s="223">
        <f t="shared" si="1"/>
        <v>33858</v>
      </c>
      <c r="M9" s="227">
        <f t="shared" si="2"/>
        <v>322284</v>
      </c>
      <c r="N9" s="207"/>
      <c r="O9" s="207"/>
      <c r="P9" s="207"/>
      <c r="Q9" s="207"/>
      <c r="R9" s="207"/>
      <c r="S9" s="228">
        <f t="shared" si="3"/>
        <v>322284</v>
      </c>
      <c r="U9" s="198"/>
    </row>
    <row r="10" spans="1:29" ht="11.25" customHeight="1">
      <c r="A10" s="12">
        <v>51321010</v>
      </c>
      <c r="B10" s="219" t="s">
        <v>32</v>
      </c>
      <c r="C10" s="220"/>
      <c r="D10" s="221">
        <v>23429.31866017223</v>
      </c>
      <c r="E10" s="221">
        <v>3211.9156235463788</v>
      </c>
      <c r="F10" s="223">
        <f t="shared" si="0"/>
        <v>4648927</v>
      </c>
      <c r="G10" s="232"/>
      <c r="H10" s="225" t="s">
        <v>32</v>
      </c>
      <c r="I10" s="225"/>
      <c r="J10" s="226">
        <v>274853.00133982772</v>
      </c>
      <c r="K10" s="377">
        <v>38130.879999999997</v>
      </c>
      <c r="L10" s="223">
        <f t="shared" si="1"/>
        <v>55148692</v>
      </c>
      <c r="M10" s="227">
        <f t="shared" si="2"/>
        <v>59797619</v>
      </c>
      <c r="N10" s="207"/>
      <c r="O10" s="207"/>
      <c r="P10" s="207"/>
      <c r="Q10" s="207"/>
      <c r="R10" s="207"/>
      <c r="S10" s="228">
        <f t="shared" si="3"/>
        <v>59797619</v>
      </c>
      <c r="U10" s="198"/>
      <c r="AB10" s="202"/>
      <c r="AC10" s="188"/>
    </row>
    <row r="11" spans="1:29" ht="11.25" customHeight="1">
      <c r="A11" s="12">
        <v>51031020</v>
      </c>
      <c r="B11" s="233" t="s">
        <v>33</v>
      </c>
      <c r="C11" s="378" t="s">
        <v>34</v>
      </c>
      <c r="D11" s="233"/>
      <c r="E11" s="233"/>
      <c r="F11" s="235"/>
      <c r="G11" s="236">
        <f>G13/G12</f>
        <v>1447.3999546109283</v>
      </c>
      <c r="H11" s="233" t="s">
        <v>33</v>
      </c>
      <c r="I11" s="233" t="s">
        <v>35</v>
      </c>
      <c r="J11" s="237"/>
      <c r="K11" s="379"/>
      <c r="L11" s="239">
        <f t="shared" si="1"/>
        <v>0</v>
      </c>
      <c r="M11" s="227">
        <f t="shared" si="2"/>
        <v>0</v>
      </c>
      <c r="N11" s="207"/>
      <c r="O11" s="207"/>
      <c r="P11" s="207"/>
      <c r="Q11" s="207"/>
      <c r="R11" s="207"/>
      <c r="S11" s="228">
        <f t="shared" si="3"/>
        <v>0</v>
      </c>
      <c r="U11" s="198"/>
      <c r="AB11" s="202"/>
      <c r="AC11" s="188"/>
    </row>
    <row r="12" spans="1:29" ht="11.25" customHeight="1">
      <c r="A12" s="12">
        <v>52981010</v>
      </c>
      <c r="B12" s="225" t="s">
        <v>36</v>
      </c>
      <c r="C12" s="220" t="s">
        <v>37</v>
      </c>
      <c r="D12" s="23">
        <v>103.37</v>
      </c>
      <c r="E12" s="221">
        <v>14.17</v>
      </c>
      <c r="F12" s="223">
        <f>ROUND(E12*$F$3,0)</f>
        <v>20510</v>
      </c>
      <c r="G12" s="240">
        <f>E13+Q13+AB13</f>
        <v>13826.373930887299</v>
      </c>
      <c r="H12" s="225" t="s">
        <v>36</v>
      </c>
      <c r="I12" s="225" t="s">
        <v>37</v>
      </c>
      <c r="J12" s="241"/>
      <c r="K12" s="380"/>
      <c r="L12" s="223">
        <f t="shared" si="1"/>
        <v>0</v>
      </c>
      <c r="M12" s="227">
        <f t="shared" si="2"/>
        <v>20510</v>
      </c>
      <c r="N12" s="207"/>
      <c r="O12" s="207"/>
      <c r="P12" s="207"/>
      <c r="Q12" s="207"/>
      <c r="R12" s="207"/>
      <c r="S12" s="228">
        <f t="shared" si="3"/>
        <v>20510</v>
      </c>
      <c r="U12" s="198"/>
      <c r="AB12" s="202"/>
      <c r="AC12" s="188"/>
    </row>
    <row r="13" spans="1:29" s="188" customFormat="1" ht="11.25" customHeight="1">
      <c r="A13" s="17"/>
      <c r="B13" s="242" t="s">
        <v>38</v>
      </c>
      <c r="C13" s="381"/>
      <c r="D13" s="244">
        <f>SUM(D5:D11)-D12</f>
        <v>100856.48866017222</v>
      </c>
      <c r="E13" s="382">
        <f>SUM(E5:E11)-E12</f>
        <v>13826.373930887299</v>
      </c>
      <c r="F13" s="245">
        <f>SUM(F5:F11)-F12</f>
        <v>20012293</v>
      </c>
      <c r="G13" s="246">
        <f>F13+R13+AC13</f>
        <v>20012293</v>
      </c>
      <c r="H13" s="242" t="s">
        <v>38</v>
      </c>
      <c r="I13" s="243"/>
      <c r="J13" s="244">
        <f>SUM(J5:J11)-J12</f>
        <v>293714.93133982772</v>
      </c>
      <c r="K13" s="217">
        <f>SUM(K5:K11)-K12</f>
        <v>40744.129999999997</v>
      </c>
      <c r="L13" s="245">
        <f>SUM(L5:L11)-L12</f>
        <v>58928236</v>
      </c>
      <c r="M13" s="227">
        <f t="shared" si="2"/>
        <v>78940529</v>
      </c>
      <c r="N13" s="207"/>
      <c r="O13" s="207"/>
      <c r="P13" s="207"/>
      <c r="Q13" s="207"/>
      <c r="R13" s="207"/>
      <c r="S13" s="228">
        <f t="shared" si="3"/>
        <v>78940529</v>
      </c>
      <c r="U13" s="247"/>
      <c r="X13" s="248">
        <f>F13+R13</f>
        <v>20012293</v>
      </c>
      <c r="Y13" s="249"/>
      <c r="Z13" s="250"/>
      <c r="AB13" s="203"/>
    </row>
    <row r="14" spans="1:29" ht="14.25" customHeight="1">
      <c r="A14" s="9"/>
      <c r="D14" s="383"/>
      <c r="E14" s="383"/>
      <c r="F14" s="384"/>
      <c r="G14" s="252"/>
      <c r="J14" s="253">
        <f>J13+D13+P13</f>
        <v>394571.41999999993</v>
      </c>
      <c r="K14" s="385">
        <f>K13+E13+Q13</f>
        <v>54570.503930887295</v>
      </c>
      <c r="L14" s="254">
        <f>L13+F13+R13</f>
        <v>78940529</v>
      </c>
      <c r="M14" s="255" t="e">
        <f>M16-E12</f>
        <v>#REF!</v>
      </c>
      <c r="N14" s="207"/>
      <c r="O14" s="207"/>
      <c r="P14" s="207"/>
      <c r="Q14" s="207"/>
      <c r="R14" s="207"/>
      <c r="X14" s="202"/>
      <c r="Y14" s="202"/>
      <c r="AB14" s="202"/>
      <c r="AC14" s="188"/>
    </row>
    <row r="15" spans="1:29" ht="14.25" customHeight="1">
      <c r="A15" s="9"/>
      <c r="D15" s="383"/>
      <c r="E15" s="383"/>
      <c r="F15" s="383"/>
      <c r="G15" s="252"/>
      <c r="J15" s="255">
        <f>J16-G96</f>
        <v>0</v>
      </c>
      <c r="K15" s="255" t="e">
        <f>K16-H96</f>
        <v>#REF!</v>
      </c>
      <c r="L15" s="255">
        <f>L16-I96</f>
        <v>0</v>
      </c>
      <c r="M15" s="255" t="e">
        <f>M16-J96</f>
        <v>#REF!</v>
      </c>
      <c r="O15" s="202"/>
      <c r="P15" s="248"/>
      <c r="Q15" s="248"/>
      <c r="R15" s="256"/>
      <c r="X15" s="202"/>
      <c r="Y15" s="202"/>
      <c r="AB15" s="202"/>
      <c r="AC15" s="188"/>
    </row>
    <row r="16" spans="1:29" ht="18.75" customHeight="1">
      <c r="A16" s="9"/>
      <c r="D16" s="200"/>
      <c r="E16" s="257"/>
      <c r="F16" s="257"/>
      <c r="G16" s="252"/>
      <c r="I16" s="202"/>
      <c r="J16" s="203"/>
      <c r="K16" s="386" t="e">
        <f>SUBTOTAL(9,K19:K105)</f>
        <v>#REF!</v>
      </c>
      <c r="L16" s="259"/>
      <c r="M16" s="386" t="e">
        <f>SUBTOTAL(9,M19:M105)</f>
        <v>#REF!</v>
      </c>
      <c r="N16" s="202"/>
      <c r="Q16" s="202"/>
    </row>
    <row r="17" spans="1:29" ht="11.25" customHeight="1">
      <c r="A17" s="9"/>
      <c r="B17" s="340" t="s">
        <v>39</v>
      </c>
      <c r="C17" s="387" t="s">
        <v>40</v>
      </c>
      <c r="D17" s="341" t="s">
        <v>41</v>
      </c>
      <c r="E17" s="342" t="s">
        <v>42</v>
      </c>
      <c r="F17" s="341" t="s">
        <v>18</v>
      </c>
      <c r="G17" s="343" t="s">
        <v>19</v>
      </c>
      <c r="H17" s="628" t="s">
        <v>3</v>
      </c>
      <c r="I17" s="629"/>
      <c r="J17" s="625"/>
      <c r="K17" s="628" t="s">
        <v>4</v>
      </c>
      <c r="L17" s="629"/>
      <c r="M17" s="625"/>
      <c r="N17" s="624" t="s">
        <v>5</v>
      </c>
      <c r="O17" s="625"/>
      <c r="P17" s="627"/>
      <c r="Q17" s="625"/>
      <c r="R17" s="343" t="s">
        <v>43</v>
      </c>
    </row>
    <row r="18" spans="1:29" ht="11.25" customHeight="1">
      <c r="A18" s="9"/>
      <c r="B18" s="345" t="s">
        <v>39</v>
      </c>
      <c r="C18" s="388" t="s">
        <v>40</v>
      </c>
      <c r="D18" s="346" t="s">
        <v>41</v>
      </c>
      <c r="E18" s="347" t="s">
        <v>42</v>
      </c>
      <c r="F18" s="346" t="s">
        <v>18</v>
      </c>
      <c r="G18" s="348" t="s">
        <v>19</v>
      </c>
      <c r="H18" s="349" t="s">
        <v>44</v>
      </c>
      <c r="I18" s="349" t="s">
        <v>7</v>
      </c>
      <c r="J18" s="350" t="s">
        <v>9</v>
      </c>
      <c r="K18" s="350" t="s">
        <v>44</v>
      </c>
      <c r="L18" s="349" t="s">
        <v>7</v>
      </c>
      <c r="M18" s="389" t="s">
        <v>9</v>
      </c>
      <c r="N18" s="344" t="s">
        <v>44</v>
      </c>
      <c r="O18" s="344" t="s">
        <v>9</v>
      </c>
      <c r="P18" s="626" t="s">
        <v>45</v>
      </c>
      <c r="Q18" s="625"/>
      <c r="R18" s="348" t="s">
        <v>43</v>
      </c>
    </row>
    <row r="19" spans="1:29" ht="11.25" customHeight="1">
      <c r="B19" s="351">
        <v>45716</v>
      </c>
      <c r="C19" s="353"/>
      <c r="D19" s="352"/>
      <c r="E19" s="353"/>
      <c r="F19" s="354"/>
      <c r="G19" s="355"/>
      <c r="H19" s="356"/>
      <c r="I19" s="352"/>
      <c r="J19" s="355"/>
      <c r="K19" s="390"/>
      <c r="L19" s="358"/>
      <c r="M19" s="359"/>
      <c r="N19" s="360">
        <v>100829.8800000005</v>
      </c>
      <c r="O19" s="360">
        <v>13826.3698663138</v>
      </c>
      <c r="P19" s="361"/>
      <c r="Q19" s="353"/>
      <c r="R19" s="362"/>
      <c r="S19" s="289">
        <v>13826.36880406081</v>
      </c>
    </row>
    <row r="20" spans="1:29" s="323" customFormat="1" ht="12" customHeight="1">
      <c r="A20" s="13"/>
      <c r="B20" s="365">
        <v>45727</v>
      </c>
      <c r="C20" s="26" t="s">
        <v>48</v>
      </c>
      <c r="D20" s="21"/>
      <c r="E20" s="20">
        <v>1</v>
      </c>
      <c r="F20" s="57"/>
      <c r="G20" s="14"/>
      <c r="H20" s="28">
        <v>346107.95</v>
      </c>
      <c r="I20" s="291"/>
      <c r="J20" s="28">
        <v>48003</v>
      </c>
      <c r="K20" s="292"/>
      <c r="L20" s="293"/>
      <c r="M20" s="391"/>
      <c r="N20" s="295">
        <f t="shared" ref="N20:N51" si="4">N19+H20-K20</f>
        <v>446937.83000000054</v>
      </c>
      <c r="O20" s="295">
        <f t="shared" ref="O20:O51" si="5">O19+J20-M20</f>
        <v>61829.369866313798</v>
      </c>
      <c r="P20" s="296" t="s">
        <v>96</v>
      </c>
      <c r="Q20" s="297"/>
      <c r="R20" s="297"/>
      <c r="S20" s="298"/>
      <c r="T20" s="198"/>
      <c r="V20" s="198"/>
      <c r="W20" s="198"/>
      <c r="X20" s="198"/>
      <c r="Y20" s="198"/>
      <c r="Z20" s="198"/>
      <c r="AA20" s="198"/>
      <c r="AB20" s="198"/>
      <c r="AC20" s="198"/>
    </row>
    <row r="21" spans="1:29" s="323" customFormat="1" ht="12" customHeight="1">
      <c r="A21" s="13"/>
      <c r="B21" s="365">
        <v>45727</v>
      </c>
      <c r="C21" s="19" t="s">
        <v>49</v>
      </c>
      <c r="D21" s="21"/>
      <c r="E21" s="20"/>
      <c r="F21" s="57" t="s">
        <v>32</v>
      </c>
      <c r="G21" s="14"/>
      <c r="H21" s="34"/>
      <c r="I21" s="291"/>
      <c r="J21" s="34"/>
      <c r="K21" s="292"/>
      <c r="L21" s="293"/>
      <c r="M21" s="392">
        <v>51</v>
      </c>
      <c r="N21" s="295">
        <f t="shared" si="4"/>
        <v>446937.83000000054</v>
      </c>
      <c r="O21" s="295">
        <f t="shared" si="5"/>
        <v>61778.369866313798</v>
      </c>
      <c r="P21" s="296" t="s">
        <v>96</v>
      </c>
      <c r="Q21" s="297"/>
      <c r="R21" s="297"/>
      <c r="T21" s="198"/>
      <c r="V21" s="198"/>
      <c r="W21" s="198"/>
      <c r="X21" s="198"/>
      <c r="Y21" s="198"/>
      <c r="Z21" s="198"/>
      <c r="AA21" s="198"/>
      <c r="AB21" s="198"/>
      <c r="AC21" s="198"/>
    </row>
    <row r="22" spans="1:29" s="323" customFormat="1" ht="12" customHeight="1">
      <c r="A22" s="13"/>
      <c r="B22" s="365">
        <v>45733</v>
      </c>
      <c r="C22" s="26" t="s">
        <v>51</v>
      </c>
      <c r="D22" s="21"/>
      <c r="E22" s="20">
        <v>2</v>
      </c>
      <c r="F22" s="57" t="s">
        <v>27</v>
      </c>
      <c r="G22" s="14" t="s">
        <v>52</v>
      </c>
      <c r="H22" s="34"/>
      <c r="I22" s="291"/>
      <c r="J22" s="34"/>
      <c r="K22" s="393">
        <v>25272</v>
      </c>
      <c r="L22" s="293" t="e">
        <f>#REF!</f>
        <v>#REF!</v>
      </c>
      <c r="M22" s="394" t="e">
        <f t="shared" ref="M22:M35" si="6">K22/L22</f>
        <v>#REF!</v>
      </c>
      <c r="N22" s="295">
        <f t="shared" si="4"/>
        <v>421665.83000000054</v>
      </c>
      <c r="O22" s="295" t="e">
        <f t="shared" si="5"/>
        <v>#REF!</v>
      </c>
      <c r="P22" s="296" t="s">
        <v>96</v>
      </c>
      <c r="Q22" s="297"/>
      <c r="R22" s="297"/>
      <c r="S22" s="298" t="e">
        <f>S19-M22+J22</f>
        <v>#REF!</v>
      </c>
      <c r="T22" s="198"/>
      <c r="V22" s="198"/>
      <c r="W22" s="198"/>
      <c r="X22" s="198"/>
      <c r="Y22" s="198"/>
      <c r="Z22" s="198"/>
      <c r="AA22" s="198"/>
      <c r="AB22" s="198"/>
      <c r="AC22" s="198"/>
    </row>
    <row r="23" spans="1:29" s="323" customFormat="1" ht="12" customHeight="1">
      <c r="A23" s="13"/>
      <c r="B23" s="365">
        <v>45733</v>
      </c>
      <c r="C23" s="19" t="s">
        <v>49</v>
      </c>
      <c r="D23" s="21"/>
      <c r="E23" s="20">
        <v>3</v>
      </c>
      <c r="F23" s="57" t="s">
        <v>32</v>
      </c>
      <c r="G23" s="14"/>
      <c r="H23" s="34"/>
      <c r="I23" s="291"/>
      <c r="J23" s="34"/>
      <c r="K23" s="292">
        <v>7.2</v>
      </c>
      <c r="L23" s="293" t="e">
        <f>#REF!</f>
        <v>#REF!</v>
      </c>
      <c r="M23" s="395" t="e">
        <f t="shared" si="6"/>
        <v>#REF!</v>
      </c>
      <c r="N23" s="295">
        <f t="shared" si="4"/>
        <v>421658.63000000053</v>
      </c>
      <c r="O23" s="295" t="e">
        <f t="shared" si="5"/>
        <v>#REF!</v>
      </c>
      <c r="P23" s="296" t="s">
        <v>96</v>
      </c>
      <c r="Q23" s="297"/>
      <c r="R23" s="297"/>
      <c r="S23" s="298" t="e">
        <f t="shared" ref="S23:S59" si="7">S22-M23+J23</f>
        <v>#REF!</v>
      </c>
      <c r="T23" s="198"/>
      <c r="V23" s="198"/>
      <c r="W23" s="198"/>
      <c r="X23" s="198"/>
      <c r="Y23" s="198"/>
      <c r="Z23" s="198"/>
      <c r="AA23" s="198"/>
      <c r="AB23" s="198"/>
      <c r="AC23" s="198"/>
    </row>
    <row r="24" spans="1:29" s="323" customFormat="1" ht="12" customHeight="1">
      <c r="A24" s="13"/>
      <c r="B24" s="365">
        <v>45733</v>
      </c>
      <c r="C24" s="26" t="s">
        <v>53</v>
      </c>
      <c r="D24" s="21"/>
      <c r="E24" s="20">
        <v>4</v>
      </c>
      <c r="F24" s="57" t="s">
        <v>25</v>
      </c>
      <c r="G24" s="14" t="s">
        <v>26</v>
      </c>
      <c r="H24" s="34"/>
      <c r="I24" s="291"/>
      <c r="J24" s="34"/>
      <c r="K24" s="393">
        <v>1600</v>
      </c>
      <c r="L24" s="293" t="e">
        <f>#REF!</f>
        <v>#REF!</v>
      </c>
      <c r="M24" s="395" t="e">
        <f t="shared" si="6"/>
        <v>#REF!</v>
      </c>
      <c r="N24" s="295">
        <f t="shared" si="4"/>
        <v>420058.63000000053</v>
      </c>
      <c r="O24" s="295" t="e">
        <f t="shared" si="5"/>
        <v>#REF!</v>
      </c>
      <c r="P24" s="296" t="s">
        <v>96</v>
      </c>
      <c r="Q24" s="297"/>
      <c r="R24" s="297"/>
      <c r="S24" s="298" t="e">
        <f t="shared" si="7"/>
        <v>#REF!</v>
      </c>
      <c r="T24" s="198"/>
      <c r="V24" s="198"/>
      <c r="W24" s="198"/>
      <c r="X24" s="198"/>
      <c r="Y24" s="198"/>
      <c r="Z24" s="198"/>
      <c r="AA24" s="198"/>
      <c r="AB24" s="198"/>
      <c r="AC24" s="198"/>
    </row>
    <row r="25" spans="1:29" s="323" customFormat="1" ht="12" customHeight="1">
      <c r="A25" s="13"/>
      <c r="B25" s="365">
        <v>45733</v>
      </c>
      <c r="C25" s="19" t="s">
        <v>49</v>
      </c>
      <c r="D25" s="21"/>
      <c r="E25" s="20">
        <v>5</v>
      </c>
      <c r="F25" s="57" t="s">
        <v>32</v>
      </c>
      <c r="G25" s="14"/>
      <c r="H25" s="34"/>
      <c r="I25" s="291"/>
      <c r="J25" s="34"/>
      <c r="K25" s="292">
        <v>3.6</v>
      </c>
      <c r="L25" s="293" t="e">
        <f>#REF!</f>
        <v>#REF!</v>
      </c>
      <c r="M25" s="395" t="e">
        <f t="shared" si="6"/>
        <v>#REF!</v>
      </c>
      <c r="N25" s="295">
        <f t="shared" si="4"/>
        <v>420055.03000000055</v>
      </c>
      <c r="O25" s="295" t="e">
        <f t="shared" si="5"/>
        <v>#REF!</v>
      </c>
      <c r="P25" s="296" t="s">
        <v>96</v>
      </c>
      <c r="Q25" s="297"/>
      <c r="R25" s="297"/>
      <c r="S25" s="298" t="e">
        <f t="shared" si="7"/>
        <v>#REF!</v>
      </c>
      <c r="T25" s="198"/>
      <c r="V25" s="198"/>
      <c r="W25" s="198"/>
      <c r="X25" s="198"/>
      <c r="Y25" s="198"/>
      <c r="Z25" s="198"/>
      <c r="AA25" s="198"/>
      <c r="AB25" s="198"/>
      <c r="AC25" s="198"/>
    </row>
    <row r="26" spans="1:29" s="188" customFormat="1" ht="11.25" customHeight="1">
      <c r="A26" s="13"/>
      <c r="B26" s="365">
        <v>45737</v>
      </c>
      <c r="C26" s="26" t="s">
        <v>126</v>
      </c>
      <c r="D26" s="21"/>
      <c r="E26" s="20">
        <v>6</v>
      </c>
      <c r="F26" s="57" t="s">
        <v>127</v>
      </c>
      <c r="G26" s="14"/>
      <c r="H26" s="59">
        <v>103.37</v>
      </c>
      <c r="I26" s="396" t="e">
        <f>#REF!</f>
        <v>#REF!</v>
      </c>
      <c r="J26" s="58">
        <v>14.17</v>
      </c>
      <c r="K26" s="292"/>
      <c r="L26" s="293" t="e">
        <f>#REF!</f>
        <v>#REF!</v>
      </c>
      <c r="M26" s="395" t="e">
        <f t="shared" si="6"/>
        <v>#REF!</v>
      </c>
      <c r="N26" s="295">
        <f t="shared" si="4"/>
        <v>420158.40000000055</v>
      </c>
      <c r="O26" s="295" t="e">
        <f t="shared" si="5"/>
        <v>#REF!</v>
      </c>
      <c r="P26" s="296" t="s">
        <v>96</v>
      </c>
      <c r="Q26" s="297"/>
      <c r="R26" s="297"/>
      <c r="S26" s="298" t="e">
        <f t="shared" si="7"/>
        <v>#REF!</v>
      </c>
      <c r="T26" s="198"/>
      <c r="U26" s="323"/>
      <c r="V26" s="198"/>
      <c r="W26" s="198"/>
      <c r="X26" s="198"/>
      <c r="Y26" s="198"/>
      <c r="Z26" s="198"/>
      <c r="AA26" s="198"/>
      <c r="AB26" s="198"/>
      <c r="AC26" s="198"/>
    </row>
    <row r="27" spans="1:29" s="188" customFormat="1" ht="11.25" customHeight="1">
      <c r="A27" s="13"/>
      <c r="B27" s="365">
        <v>45737</v>
      </c>
      <c r="C27" s="26" t="s">
        <v>54</v>
      </c>
      <c r="D27" s="21"/>
      <c r="E27" s="20">
        <v>7</v>
      </c>
      <c r="F27" s="57" t="s">
        <v>32</v>
      </c>
      <c r="G27" s="14"/>
      <c r="H27" s="34"/>
      <c r="I27" s="291"/>
      <c r="J27" s="34"/>
      <c r="K27" s="393">
        <v>1010</v>
      </c>
      <c r="L27" s="293" t="e">
        <f>#REF!</f>
        <v>#REF!</v>
      </c>
      <c r="M27" s="395" t="e">
        <f t="shared" si="6"/>
        <v>#REF!</v>
      </c>
      <c r="N27" s="295">
        <f t="shared" si="4"/>
        <v>419148.40000000055</v>
      </c>
      <c r="O27" s="295" t="e">
        <f t="shared" si="5"/>
        <v>#REF!</v>
      </c>
      <c r="P27" s="296" t="s">
        <v>96</v>
      </c>
      <c r="Q27" s="297"/>
      <c r="R27" s="297"/>
      <c r="S27" s="298" t="e">
        <f t="shared" si="7"/>
        <v>#REF!</v>
      </c>
      <c r="T27" s="198"/>
      <c r="U27" s="323"/>
      <c r="V27" s="198"/>
      <c r="W27" s="198"/>
      <c r="X27" s="198"/>
      <c r="Y27" s="198"/>
      <c r="Z27" s="198"/>
      <c r="AA27" s="198"/>
      <c r="AB27" s="198"/>
      <c r="AC27" s="198"/>
    </row>
    <row r="28" spans="1:29" s="188" customFormat="1" ht="11.25" customHeight="1">
      <c r="A28" s="13"/>
      <c r="B28" s="365">
        <v>45737</v>
      </c>
      <c r="C28" s="19" t="s">
        <v>49</v>
      </c>
      <c r="D28" s="21"/>
      <c r="E28" s="20">
        <v>8</v>
      </c>
      <c r="F28" s="57" t="s">
        <v>32</v>
      </c>
      <c r="G28" s="14"/>
      <c r="H28" s="34"/>
      <c r="I28" s="291"/>
      <c r="J28" s="34"/>
      <c r="K28" s="393">
        <v>3.6</v>
      </c>
      <c r="L28" s="293" t="e">
        <f>#REF!</f>
        <v>#REF!</v>
      </c>
      <c r="M28" s="395" t="e">
        <f t="shared" si="6"/>
        <v>#REF!</v>
      </c>
      <c r="N28" s="295">
        <f t="shared" si="4"/>
        <v>419144.80000000057</v>
      </c>
      <c r="O28" s="295" t="e">
        <f t="shared" si="5"/>
        <v>#REF!</v>
      </c>
      <c r="P28" s="296" t="s">
        <v>96</v>
      </c>
      <c r="Q28" s="297"/>
      <c r="R28" s="297"/>
      <c r="S28" s="298" t="e">
        <f t="shared" si="7"/>
        <v>#REF!</v>
      </c>
      <c r="T28" s="198"/>
      <c r="U28" s="323"/>
      <c r="V28" s="198"/>
      <c r="W28" s="198"/>
      <c r="X28" s="198"/>
      <c r="Y28" s="198"/>
      <c r="Z28" s="198"/>
      <c r="AA28" s="198"/>
      <c r="AB28" s="198"/>
      <c r="AC28" s="198"/>
    </row>
    <row r="29" spans="1:29" s="188" customFormat="1" ht="11.25" customHeight="1">
      <c r="A29" s="13"/>
      <c r="B29" s="365">
        <v>45737</v>
      </c>
      <c r="C29" s="19" t="s">
        <v>55</v>
      </c>
      <c r="D29" s="21"/>
      <c r="E29" s="21">
        <v>9</v>
      </c>
      <c r="F29" s="57" t="s">
        <v>27</v>
      </c>
      <c r="G29" s="14" t="s">
        <v>29</v>
      </c>
      <c r="H29" s="22"/>
      <c r="I29" s="36"/>
      <c r="J29" s="36"/>
      <c r="K29" s="292">
        <v>10500</v>
      </c>
      <c r="L29" s="293" t="e">
        <f>#REF!</f>
        <v>#REF!</v>
      </c>
      <c r="M29" s="395" t="e">
        <f t="shared" si="6"/>
        <v>#REF!</v>
      </c>
      <c r="N29" s="295">
        <f t="shared" si="4"/>
        <v>408644.80000000057</v>
      </c>
      <c r="O29" s="295" t="e">
        <f t="shared" si="5"/>
        <v>#REF!</v>
      </c>
      <c r="P29" s="296" t="s">
        <v>96</v>
      </c>
      <c r="Q29" s="297"/>
      <c r="R29" s="297"/>
      <c r="S29" s="298" t="e">
        <f t="shared" si="7"/>
        <v>#REF!</v>
      </c>
      <c r="T29" s="198"/>
      <c r="U29" s="323"/>
      <c r="V29" s="198"/>
      <c r="W29" s="198"/>
      <c r="X29" s="198"/>
      <c r="Y29" s="198"/>
      <c r="Z29" s="198"/>
      <c r="AA29" s="198"/>
      <c r="AB29" s="198"/>
      <c r="AC29" s="198"/>
    </row>
    <row r="30" spans="1:29" s="188" customFormat="1" ht="11.25" customHeight="1">
      <c r="A30" s="13"/>
      <c r="B30" s="365">
        <v>45737</v>
      </c>
      <c r="C30" s="19" t="s">
        <v>57</v>
      </c>
      <c r="D30" s="21"/>
      <c r="E30" s="21">
        <v>9</v>
      </c>
      <c r="F30" s="57" t="s">
        <v>32</v>
      </c>
      <c r="G30" s="14"/>
      <c r="H30" s="22"/>
      <c r="I30" s="36"/>
      <c r="J30" s="36"/>
      <c r="K30" s="292">
        <v>6000</v>
      </c>
      <c r="L30" s="293" t="e">
        <f>#REF!</f>
        <v>#REF!</v>
      </c>
      <c r="M30" s="395" t="e">
        <f t="shared" si="6"/>
        <v>#REF!</v>
      </c>
      <c r="N30" s="295">
        <f t="shared" si="4"/>
        <v>402644.80000000057</v>
      </c>
      <c r="O30" s="295" t="e">
        <f t="shared" si="5"/>
        <v>#REF!</v>
      </c>
      <c r="P30" s="296" t="s">
        <v>96</v>
      </c>
      <c r="Q30" s="297"/>
      <c r="R30" s="297"/>
      <c r="S30" s="298" t="e">
        <f t="shared" si="7"/>
        <v>#REF!</v>
      </c>
      <c r="T30" s="198"/>
      <c r="U30" s="323"/>
      <c r="V30" s="198"/>
      <c r="W30" s="198"/>
      <c r="X30" s="198"/>
      <c r="Y30" s="198"/>
      <c r="Z30" s="198"/>
      <c r="AA30" s="198"/>
      <c r="AB30" s="198"/>
      <c r="AC30" s="198"/>
    </row>
    <row r="31" spans="1:29" s="188" customFormat="1" ht="11.25" customHeight="1">
      <c r="A31" s="13"/>
      <c r="B31" s="365">
        <v>45737</v>
      </c>
      <c r="C31" s="19" t="s">
        <v>58</v>
      </c>
      <c r="D31" s="21"/>
      <c r="E31" s="21">
        <v>9</v>
      </c>
      <c r="F31" s="57" t="s">
        <v>32</v>
      </c>
      <c r="G31" s="14"/>
      <c r="H31" s="22"/>
      <c r="I31" s="36"/>
      <c r="J31" s="36"/>
      <c r="K31" s="292">
        <v>760</v>
      </c>
      <c r="L31" s="293" t="e">
        <f>#REF!</f>
        <v>#REF!</v>
      </c>
      <c r="M31" s="395" t="e">
        <f t="shared" si="6"/>
        <v>#REF!</v>
      </c>
      <c r="N31" s="295">
        <f t="shared" si="4"/>
        <v>401884.80000000057</v>
      </c>
      <c r="O31" s="295" t="e">
        <f t="shared" si="5"/>
        <v>#REF!</v>
      </c>
      <c r="P31" s="296" t="s">
        <v>96</v>
      </c>
      <c r="Q31" s="297"/>
      <c r="R31" s="297"/>
      <c r="S31" s="298" t="e">
        <f t="shared" si="7"/>
        <v>#REF!</v>
      </c>
      <c r="T31" s="198"/>
      <c r="U31" s="323"/>
      <c r="V31" s="198"/>
      <c r="W31" s="198"/>
      <c r="X31" s="198"/>
      <c r="Y31" s="198"/>
      <c r="Z31" s="198"/>
      <c r="AA31" s="198"/>
      <c r="AB31" s="198"/>
      <c r="AC31" s="198"/>
    </row>
    <row r="32" spans="1:29" s="188" customFormat="1" ht="11.25" customHeight="1">
      <c r="A32" s="13"/>
      <c r="B32" s="365">
        <v>45737</v>
      </c>
      <c r="C32" s="19" t="s">
        <v>55</v>
      </c>
      <c r="D32" s="21"/>
      <c r="E32" s="21">
        <v>9</v>
      </c>
      <c r="F32" s="57" t="s">
        <v>27</v>
      </c>
      <c r="G32" s="14" t="s">
        <v>29</v>
      </c>
      <c r="H32" s="22"/>
      <c r="I32" s="36"/>
      <c r="J32" s="36"/>
      <c r="K32" s="292">
        <v>7000</v>
      </c>
      <c r="L32" s="293" t="e">
        <f>#REF!</f>
        <v>#REF!</v>
      </c>
      <c r="M32" s="395" t="e">
        <f t="shared" si="6"/>
        <v>#REF!</v>
      </c>
      <c r="N32" s="295">
        <f t="shared" si="4"/>
        <v>394884.80000000057</v>
      </c>
      <c r="O32" s="295" t="e">
        <f t="shared" si="5"/>
        <v>#REF!</v>
      </c>
      <c r="P32" s="296" t="s">
        <v>96</v>
      </c>
      <c r="Q32" s="297"/>
      <c r="R32" s="297"/>
      <c r="S32" s="298" t="e">
        <f t="shared" si="7"/>
        <v>#REF!</v>
      </c>
      <c r="T32" s="198"/>
      <c r="U32" s="323"/>
      <c r="V32" s="198"/>
      <c r="W32" s="198"/>
      <c r="X32" s="198"/>
      <c r="Y32" s="198"/>
      <c r="Z32" s="198"/>
      <c r="AA32" s="198"/>
      <c r="AB32" s="198"/>
      <c r="AC32" s="198"/>
    </row>
    <row r="33" spans="1:29" s="188" customFormat="1" ht="11.25" customHeight="1">
      <c r="A33" s="13"/>
      <c r="B33" s="365">
        <v>45737</v>
      </c>
      <c r="C33" s="19" t="s">
        <v>57</v>
      </c>
      <c r="D33" s="21"/>
      <c r="E33" s="21">
        <v>9</v>
      </c>
      <c r="F33" s="57" t="s">
        <v>32</v>
      </c>
      <c r="G33" s="14"/>
      <c r="H33" s="22"/>
      <c r="I33" s="36"/>
      <c r="J33" s="36"/>
      <c r="K33" s="292">
        <v>6000</v>
      </c>
      <c r="L33" s="293" t="e">
        <f>#REF!</f>
        <v>#REF!</v>
      </c>
      <c r="M33" s="395" t="e">
        <f t="shared" si="6"/>
        <v>#REF!</v>
      </c>
      <c r="N33" s="295">
        <f t="shared" si="4"/>
        <v>388884.80000000057</v>
      </c>
      <c r="O33" s="295" t="e">
        <f t="shared" si="5"/>
        <v>#REF!</v>
      </c>
      <c r="P33" s="296" t="s">
        <v>96</v>
      </c>
      <c r="Q33" s="297"/>
      <c r="R33" s="297"/>
      <c r="S33" s="298" t="e">
        <f t="shared" si="7"/>
        <v>#REF!</v>
      </c>
      <c r="T33" s="198"/>
      <c r="U33" s="323"/>
      <c r="V33" s="198"/>
      <c r="W33" s="198"/>
      <c r="X33" s="198"/>
      <c r="Y33" s="198"/>
      <c r="Z33" s="198"/>
      <c r="AA33" s="198"/>
      <c r="AB33" s="198"/>
      <c r="AC33" s="198"/>
    </row>
    <row r="34" spans="1:29" s="188" customFormat="1" ht="11.25" customHeight="1">
      <c r="A34" s="13"/>
      <c r="B34" s="365">
        <v>45737</v>
      </c>
      <c r="C34" s="19" t="s">
        <v>58</v>
      </c>
      <c r="D34" s="21"/>
      <c r="E34" s="21">
        <v>9</v>
      </c>
      <c r="F34" s="57" t="s">
        <v>32</v>
      </c>
      <c r="G34" s="14"/>
      <c r="H34" s="22"/>
      <c r="I34" s="36"/>
      <c r="J34" s="36"/>
      <c r="K34" s="292">
        <v>900</v>
      </c>
      <c r="L34" s="293" t="e">
        <f>#REF!</f>
        <v>#REF!</v>
      </c>
      <c r="M34" s="395" t="e">
        <f t="shared" si="6"/>
        <v>#REF!</v>
      </c>
      <c r="N34" s="295">
        <f t="shared" si="4"/>
        <v>387984.80000000057</v>
      </c>
      <c r="O34" s="295" t="e">
        <f t="shared" si="5"/>
        <v>#REF!</v>
      </c>
      <c r="P34" s="296" t="s">
        <v>96</v>
      </c>
      <c r="Q34" s="297"/>
      <c r="R34" s="297"/>
      <c r="S34" s="298" t="e">
        <f t="shared" si="7"/>
        <v>#REF!</v>
      </c>
      <c r="T34" s="198"/>
      <c r="U34" s="323"/>
      <c r="V34" s="198"/>
      <c r="W34" s="198"/>
      <c r="X34" s="198"/>
      <c r="Y34" s="198"/>
      <c r="Z34" s="198"/>
      <c r="AA34" s="198"/>
      <c r="AB34" s="198"/>
      <c r="AC34" s="198"/>
    </row>
    <row r="35" spans="1:29" s="188" customFormat="1" ht="11.25" customHeight="1">
      <c r="A35" s="13"/>
      <c r="B35" s="365">
        <v>45737</v>
      </c>
      <c r="C35" s="19" t="s">
        <v>49</v>
      </c>
      <c r="D35" s="21"/>
      <c r="E35" s="21">
        <v>10</v>
      </c>
      <c r="F35" s="57" t="s">
        <v>32</v>
      </c>
      <c r="G35" s="14"/>
      <c r="H35" s="22"/>
      <c r="I35" s="36"/>
      <c r="J35" s="36"/>
      <c r="K35" s="292">
        <v>7.2</v>
      </c>
      <c r="L35" s="293" t="e">
        <f>#REF!</f>
        <v>#REF!</v>
      </c>
      <c r="M35" s="395" t="e">
        <f t="shared" si="6"/>
        <v>#REF!</v>
      </c>
      <c r="N35" s="295">
        <f t="shared" si="4"/>
        <v>387977.60000000056</v>
      </c>
      <c r="O35" s="295" t="e">
        <f t="shared" si="5"/>
        <v>#REF!</v>
      </c>
      <c r="P35" s="296" t="s">
        <v>96</v>
      </c>
      <c r="Q35" s="297"/>
      <c r="R35" s="297"/>
      <c r="S35" s="298" t="e">
        <f t="shared" si="7"/>
        <v>#REF!</v>
      </c>
      <c r="T35" s="198"/>
      <c r="U35" s="323"/>
      <c r="V35" s="198"/>
      <c r="W35" s="198"/>
      <c r="X35" s="198"/>
      <c r="Y35" s="198"/>
      <c r="Z35" s="198"/>
      <c r="AA35" s="198"/>
      <c r="AB35" s="198"/>
      <c r="AC35" s="198"/>
    </row>
    <row r="36" spans="1:29" s="188" customFormat="1" ht="11.25" customHeight="1">
      <c r="A36" s="13"/>
      <c r="B36" s="365">
        <v>45737</v>
      </c>
      <c r="C36" s="19" t="s">
        <v>97</v>
      </c>
      <c r="D36" s="21"/>
      <c r="E36" s="20">
        <v>11</v>
      </c>
      <c r="F36" s="57" t="s">
        <v>30</v>
      </c>
      <c r="G36" s="14" t="s">
        <v>31</v>
      </c>
      <c r="H36" s="34"/>
      <c r="I36" s="291"/>
      <c r="J36" s="34"/>
      <c r="K36" s="292">
        <v>419</v>
      </c>
      <c r="L36" s="293" t="e">
        <f>#REF!</f>
        <v>#REF!</v>
      </c>
      <c r="M36" s="395">
        <v>57.44</v>
      </c>
      <c r="N36" s="295">
        <f t="shared" si="4"/>
        <v>387558.60000000056</v>
      </c>
      <c r="O36" s="295" t="e">
        <f t="shared" si="5"/>
        <v>#REF!</v>
      </c>
      <c r="P36" s="296" t="s">
        <v>96</v>
      </c>
      <c r="Q36" s="297"/>
      <c r="R36" s="296" t="s">
        <v>60</v>
      </c>
      <c r="S36" s="298" t="e">
        <f t="shared" si="7"/>
        <v>#REF!</v>
      </c>
      <c r="T36" s="198"/>
      <c r="U36" s="323"/>
      <c r="V36" s="198"/>
      <c r="W36" s="198"/>
      <c r="X36" s="198"/>
      <c r="Y36" s="198"/>
      <c r="Z36" s="198"/>
      <c r="AA36" s="198"/>
      <c r="AB36" s="198"/>
      <c r="AC36" s="198"/>
    </row>
    <row r="37" spans="1:29" s="188" customFormat="1" ht="11.25" customHeight="1">
      <c r="A37" s="13"/>
      <c r="B37" s="365">
        <v>45737</v>
      </c>
      <c r="C37" s="19" t="s">
        <v>49</v>
      </c>
      <c r="D37" s="21"/>
      <c r="E37" s="20">
        <v>12</v>
      </c>
      <c r="F37" s="57" t="s">
        <v>32</v>
      </c>
      <c r="G37" s="14"/>
      <c r="H37" s="34"/>
      <c r="I37" s="291"/>
      <c r="J37" s="34"/>
      <c r="K37" s="292">
        <v>3.6</v>
      </c>
      <c r="L37" s="293" t="e">
        <f>#REF!</f>
        <v>#REF!</v>
      </c>
      <c r="M37" s="395" t="e">
        <f t="shared" ref="M37:M56" si="8">K37/L37</f>
        <v>#REF!</v>
      </c>
      <c r="N37" s="295">
        <f t="shared" si="4"/>
        <v>387555.00000000058</v>
      </c>
      <c r="O37" s="295" t="e">
        <f t="shared" si="5"/>
        <v>#REF!</v>
      </c>
      <c r="P37" s="296" t="s">
        <v>96</v>
      </c>
      <c r="Q37" s="297"/>
      <c r="R37" s="296" t="s">
        <v>60</v>
      </c>
      <c r="S37" s="298" t="e">
        <f t="shared" si="7"/>
        <v>#REF!</v>
      </c>
      <c r="T37" s="198"/>
      <c r="U37" s="323"/>
      <c r="V37" s="198"/>
      <c r="W37" s="198"/>
      <c r="X37" s="198"/>
      <c r="Y37" s="198"/>
      <c r="Z37" s="198"/>
      <c r="AA37" s="198"/>
      <c r="AB37" s="198"/>
      <c r="AC37" s="198"/>
    </row>
    <row r="38" spans="1:29" s="188" customFormat="1" ht="11.25" customHeight="1">
      <c r="A38" s="13"/>
      <c r="B38" s="365">
        <v>45737</v>
      </c>
      <c r="C38" s="19" t="s">
        <v>63</v>
      </c>
      <c r="D38" s="21"/>
      <c r="E38" s="20">
        <v>13</v>
      </c>
      <c r="F38" s="57" t="s">
        <v>25</v>
      </c>
      <c r="G38" s="14" t="s">
        <v>26</v>
      </c>
      <c r="H38" s="34"/>
      <c r="I38" s="291"/>
      <c r="J38" s="34"/>
      <c r="K38" s="292">
        <v>428.18</v>
      </c>
      <c r="L38" s="293" t="e">
        <f>#REF!</f>
        <v>#REF!</v>
      </c>
      <c r="M38" s="395" t="e">
        <f t="shared" si="8"/>
        <v>#REF!</v>
      </c>
      <c r="N38" s="295">
        <f t="shared" si="4"/>
        <v>387126.82000000059</v>
      </c>
      <c r="O38" s="295" t="e">
        <f t="shared" si="5"/>
        <v>#REF!</v>
      </c>
      <c r="P38" s="296" t="s">
        <v>96</v>
      </c>
      <c r="Q38" s="297"/>
      <c r="R38" s="296" t="s">
        <v>62</v>
      </c>
      <c r="S38" s="298" t="e">
        <f t="shared" si="7"/>
        <v>#REF!</v>
      </c>
      <c r="T38" s="198"/>
      <c r="U38" s="323"/>
      <c r="V38" s="198"/>
      <c r="W38" s="198"/>
      <c r="X38" s="198"/>
      <c r="Y38" s="198"/>
      <c r="Z38" s="198"/>
      <c r="AA38" s="198"/>
      <c r="AB38" s="198"/>
      <c r="AC38" s="198"/>
    </row>
    <row r="39" spans="1:29" s="188" customFormat="1" ht="11.25" customHeight="1">
      <c r="A39" s="13"/>
      <c r="B39" s="365">
        <v>45737</v>
      </c>
      <c r="C39" s="19" t="s">
        <v>61</v>
      </c>
      <c r="D39" s="21"/>
      <c r="E39" s="20">
        <v>14</v>
      </c>
      <c r="F39" s="57" t="s">
        <v>25</v>
      </c>
      <c r="G39" s="14" t="s">
        <v>26</v>
      </c>
      <c r="H39" s="34"/>
      <c r="I39" s="291"/>
      <c r="J39" s="34"/>
      <c r="K39" s="292">
        <v>2164.3200000000002</v>
      </c>
      <c r="L39" s="293" t="e">
        <f>#REF!</f>
        <v>#REF!</v>
      </c>
      <c r="M39" s="395" t="e">
        <f t="shared" si="8"/>
        <v>#REF!</v>
      </c>
      <c r="N39" s="295">
        <f t="shared" si="4"/>
        <v>384962.50000000058</v>
      </c>
      <c r="O39" s="295" t="e">
        <f t="shared" si="5"/>
        <v>#REF!</v>
      </c>
      <c r="P39" s="296" t="s">
        <v>96</v>
      </c>
      <c r="Q39" s="297"/>
      <c r="R39" s="296" t="s">
        <v>62</v>
      </c>
      <c r="S39" s="298" t="e">
        <f t="shared" si="7"/>
        <v>#REF!</v>
      </c>
      <c r="T39" s="198"/>
      <c r="U39" s="323"/>
      <c r="V39" s="198"/>
      <c r="W39" s="198"/>
      <c r="X39" s="198"/>
      <c r="Y39" s="198"/>
      <c r="Z39" s="198"/>
      <c r="AA39" s="198"/>
      <c r="AB39" s="198"/>
      <c r="AC39" s="198"/>
    </row>
    <row r="40" spans="1:29" s="188" customFormat="1" ht="11.25" customHeight="1">
      <c r="A40" s="13"/>
      <c r="B40" s="365">
        <v>45737</v>
      </c>
      <c r="C40" s="19" t="s">
        <v>64</v>
      </c>
      <c r="D40" s="21"/>
      <c r="E40" s="20">
        <v>15</v>
      </c>
      <c r="F40" s="57" t="s">
        <v>32</v>
      </c>
      <c r="G40" s="14"/>
      <c r="H40" s="34"/>
      <c r="I40" s="291"/>
      <c r="J40" s="34"/>
      <c r="K40" s="292">
        <v>142.4</v>
      </c>
      <c r="L40" s="293" t="e">
        <f>#REF!</f>
        <v>#REF!</v>
      </c>
      <c r="M40" s="395" t="e">
        <f t="shared" si="8"/>
        <v>#REF!</v>
      </c>
      <c r="N40" s="295">
        <f t="shared" si="4"/>
        <v>384820.10000000056</v>
      </c>
      <c r="O40" s="295" t="e">
        <f t="shared" si="5"/>
        <v>#REF!</v>
      </c>
      <c r="P40" s="296" t="s">
        <v>96</v>
      </c>
      <c r="Q40" s="297"/>
      <c r="R40" s="296" t="s">
        <v>62</v>
      </c>
      <c r="S40" s="298" t="e">
        <f t="shared" si="7"/>
        <v>#REF!</v>
      </c>
      <c r="T40" s="198"/>
      <c r="U40" s="323"/>
      <c r="V40" s="198"/>
      <c r="W40" s="198"/>
      <c r="X40" s="198"/>
      <c r="Y40" s="198"/>
      <c r="Z40" s="198"/>
      <c r="AA40" s="198"/>
      <c r="AB40" s="198"/>
      <c r="AC40" s="198"/>
    </row>
    <row r="41" spans="1:29" s="188" customFormat="1" ht="11.25" customHeight="1">
      <c r="A41" s="13"/>
      <c r="B41" s="365">
        <v>45737</v>
      </c>
      <c r="C41" s="19" t="s">
        <v>30</v>
      </c>
      <c r="D41" s="21"/>
      <c r="E41" s="20">
        <v>16</v>
      </c>
      <c r="F41" s="57" t="s">
        <v>30</v>
      </c>
      <c r="G41" s="14" t="s">
        <v>31</v>
      </c>
      <c r="H41" s="34"/>
      <c r="I41" s="291"/>
      <c r="J41" s="34"/>
      <c r="K41" s="292">
        <v>118.8</v>
      </c>
      <c r="L41" s="293" t="e">
        <f>#REF!</f>
        <v>#REF!</v>
      </c>
      <c r="M41" s="395" t="e">
        <f t="shared" si="8"/>
        <v>#REF!</v>
      </c>
      <c r="N41" s="295">
        <f t="shared" si="4"/>
        <v>384701.30000000057</v>
      </c>
      <c r="O41" s="295" t="e">
        <f t="shared" si="5"/>
        <v>#REF!</v>
      </c>
      <c r="P41" s="296" t="s">
        <v>96</v>
      </c>
      <c r="Q41" s="297"/>
      <c r="R41" s="296" t="s">
        <v>62</v>
      </c>
      <c r="S41" s="298" t="e">
        <f t="shared" si="7"/>
        <v>#REF!</v>
      </c>
      <c r="T41" s="198"/>
      <c r="U41" s="323"/>
      <c r="V41" s="198"/>
      <c r="W41" s="198"/>
      <c r="X41" s="198"/>
      <c r="Y41" s="198"/>
      <c r="Z41" s="198"/>
      <c r="AA41" s="198"/>
      <c r="AB41" s="198"/>
      <c r="AC41" s="198"/>
    </row>
    <row r="42" spans="1:29" s="188" customFormat="1" ht="11.25" customHeight="1">
      <c r="A42" s="13"/>
      <c r="B42" s="365">
        <v>45737</v>
      </c>
      <c r="C42" s="19" t="s">
        <v>49</v>
      </c>
      <c r="D42" s="21"/>
      <c r="E42" s="20">
        <v>17</v>
      </c>
      <c r="F42" s="57" t="s">
        <v>32</v>
      </c>
      <c r="G42" s="14"/>
      <c r="H42" s="34"/>
      <c r="I42" s="291"/>
      <c r="J42" s="34"/>
      <c r="K42" s="292">
        <v>3.6</v>
      </c>
      <c r="L42" s="293" t="e">
        <f>#REF!</f>
        <v>#REF!</v>
      </c>
      <c r="M42" s="395" t="e">
        <f t="shared" si="8"/>
        <v>#REF!</v>
      </c>
      <c r="N42" s="295">
        <f t="shared" si="4"/>
        <v>384697.70000000059</v>
      </c>
      <c r="O42" s="295" t="e">
        <f t="shared" si="5"/>
        <v>#REF!</v>
      </c>
      <c r="P42" s="296" t="s">
        <v>96</v>
      </c>
      <c r="Q42" s="297"/>
      <c r="R42" s="296" t="s">
        <v>62</v>
      </c>
      <c r="S42" s="298" t="e">
        <f t="shared" si="7"/>
        <v>#REF!</v>
      </c>
      <c r="T42" s="198"/>
      <c r="U42" s="323"/>
      <c r="V42" s="198"/>
      <c r="W42" s="198"/>
      <c r="X42" s="198"/>
      <c r="Y42" s="198"/>
      <c r="Z42" s="198"/>
      <c r="AA42" s="198"/>
      <c r="AB42" s="198"/>
      <c r="AC42" s="198"/>
    </row>
    <row r="43" spans="1:29" s="188" customFormat="1" ht="11.25" customHeight="1">
      <c r="A43" s="13"/>
      <c r="B43" s="365">
        <v>45737</v>
      </c>
      <c r="C43" s="19" t="s">
        <v>61</v>
      </c>
      <c r="D43" s="21"/>
      <c r="E43" s="20">
        <v>18</v>
      </c>
      <c r="F43" s="57" t="s">
        <v>25</v>
      </c>
      <c r="G43" s="14" t="s">
        <v>26</v>
      </c>
      <c r="H43" s="34"/>
      <c r="I43" s="291"/>
      <c r="J43" s="34"/>
      <c r="K43" s="292">
        <v>6566.89</v>
      </c>
      <c r="L43" s="293" t="e">
        <f>#REF!</f>
        <v>#REF!</v>
      </c>
      <c r="M43" s="395" t="e">
        <f t="shared" si="8"/>
        <v>#REF!</v>
      </c>
      <c r="N43" s="295">
        <f t="shared" si="4"/>
        <v>378130.81000000058</v>
      </c>
      <c r="O43" s="295" t="e">
        <f t="shared" si="5"/>
        <v>#REF!</v>
      </c>
      <c r="P43" s="296" t="s">
        <v>96</v>
      </c>
      <c r="Q43" s="297"/>
      <c r="R43" s="296" t="s">
        <v>65</v>
      </c>
      <c r="S43" s="298" t="e">
        <f t="shared" si="7"/>
        <v>#REF!</v>
      </c>
      <c r="T43" s="198"/>
      <c r="U43" s="323"/>
      <c r="V43" s="198"/>
      <c r="W43" s="198"/>
      <c r="X43" s="198"/>
      <c r="Y43" s="198"/>
      <c r="Z43" s="198"/>
      <c r="AA43" s="198"/>
      <c r="AB43" s="198"/>
      <c r="AC43" s="198"/>
    </row>
    <row r="44" spans="1:29" s="188" customFormat="1" ht="11.25" customHeight="1">
      <c r="A44" s="13"/>
      <c r="B44" s="365">
        <v>45737</v>
      </c>
      <c r="C44" s="19" t="s">
        <v>63</v>
      </c>
      <c r="D44" s="21"/>
      <c r="E44" s="20">
        <v>19</v>
      </c>
      <c r="F44" s="57" t="s">
        <v>25</v>
      </c>
      <c r="G44" s="14" t="s">
        <v>26</v>
      </c>
      <c r="H44" s="34"/>
      <c r="I44" s="291"/>
      <c r="J44" s="34"/>
      <c r="K44" s="368">
        <v>385.71</v>
      </c>
      <c r="L44" s="293" t="e">
        <f>#REF!</f>
        <v>#REF!</v>
      </c>
      <c r="M44" s="395" t="e">
        <f t="shared" si="8"/>
        <v>#REF!</v>
      </c>
      <c r="N44" s="295">
        <f t="shared" si="4"/>
        <v>377745.10000000056</v>
      </c>
      <c r="O44" s="295" t="e">
        <f t="shared" si="5"/>
        <v>#REF!</v>
      </c>
      <c r="P44" s="296" t="s">
        <v>96</v>
      </c>
      <c r="Q44" s="297"/>
      <c r="R44" s="296" t="s">
        <v>65</v>
      </c>
      <c r="S44" s="298" t="e">
        <f t="shared" si="7"/>
        <v>#REF!</v>
      </c>
      <c r="T44" s="198"/>
      <c r="U44" s="323"/>
      <c r="V44" s="198"/>
      <c r="W44" s="198"/>
      <c r="X44" s="198"/>
      <c r="Y44" s="198"/>
      <c r="Z44" s="198"/>
      <c r="AA44" s="198"/>
      <c r="AB44" s="198"/>
      <c r="AC44" s="198"/>
    </row>
    <row r="45" spans="1:29" s="188" customFormat="1" ht="11.25" customHeight="1">
      <c r="A45" s="13"/>
      <c r="B45" s="365">
        <v>45737</v>
      </c>
      <c r="C45" s="19" t="s">
        <v>30</v>
      </c>
      <c r="D45" s="21"/>
      <c r="E45" s="20">
        <v>20</v>
      </c>
      <c r="F45" s="57" t="s">
        <v>30</v>
      </c>
      <c r="G45" s="14" t="s">
        <v>31</v>
      </c>
      <c r="H45" s="34"/>
      <c r="I45" s="291"/>
      <c r="J45" s="34"/>
      <c r="K45" s="292">
        <v>316.79000000000002</v>
      </c>
      <c r="L45" s="293" t="e">
        <f>#REF!</f>
        <v>#REF!</v>
      </c>
      <c r="M45" s="395" t="e">
        <f t="shared" si="8"/>
        <v>#REF!</v>
      </c>
      <c r="N45" s="295">
        <f t="shared" si="4"/>
        <v>377428.31000000058</v>
      </c>
      <c r="O45" s="295" t="e">
        <f t="shared" si="5"/>
        <v>#REF!</v>
      </c>
      <c r="P45" s="296" t="s">
        <v>96</v>
      </c>
      <c r="Q45" s="297"/>
      <c r="R45" s="296" t="s">
        <v>65</v>
      </c>
      <c r="S45" s="298" t="e">
        <f t="shared" si="7"/>
        <v>#REF!</v>
      </c>
      <c r="T45" s="198"/>
      <c r="U45" s="323"/>
      <c r="V45" s="198"/>
      <c r="W45" s="198"/>
      <c r="X45" s="198"/>
      <c r="Y45" s="198"/>
      <c r="Z45" s="198"/>
      <c r="AA45" s="198"/>
      <c r="AB45" s="198"/>
      <c r="AC45" s="198"/>
    </row>
    <row r="46" spans="1:29" s="188" customFormat="1" ht="11.25" customHeight="1">
      <c r="A46" s="13"/>
      <c r="B46" s="365">
        <v>45737</v>
      </c>
      <c r="C46" s="19" t="s">
        <v>23</v>
      </c>
      <c r="D46" s="21"/>
      <c r="E46" s="20">
        <v>21</v>
      </c>
      <c r="F46" s="57" t="s">
        <v>23</v>
      </c>
      <c r="G46" s="14" t="s">
        <v>24</v>
      </c>
      <c r="H46" s="34"/>
      <c r="I46" s="291"/>
      <c r="J46" s="34"/>
      <c r="K46" s="292">
        <v>97</v>
      </c>
      <c r="L46" s="293" t="e">
        <f>#REF!</f>
        <v>#REF!</v>
      </c>
      <c r="M46" s="395" t="e">
        <f t="shared" si="8"/>
        <v>#REF!</v>
      </c>
      <c r="N46" s="295">
        <f t="shared" si="4"/>
        <v>377331.31000000058</v>
      </c>
      <c r="O46" s="295" t="e">
        <f t="shared" si="5"/>
        <v>#REF!</v>
      </c>
      <c r="P46" s="296" t="s">
        <v>96</v>
      </c>
      <c r="Q46" s="297"/>
      <c r="R46" s="296" t="s">
        <v>65</v>
      </c>
      <c r="S46" s="298" t="e">
        <f t="shared" si="7"/>
        <v>#REF!</v>
      </c>
      <c r="T46" s="198"/>
      <c r="U46" s="323"/>
      <c r="V46" s="198"/>
      <c r="W46" s="198"/>
      <c r="X46" s="198"/>
      <c r="Y46" s="198"/>
      <c r="Z46" s="198"/>
      <c r="AA46" s="198"/>
      <c r="AB46" s="198"/>
      <c r="AC46" s="198"/>
    </row>
    <row r="47" spans="1:29" s="188" customFormat="1" ht="11.25" customHeight="1">
      <c r="A47" s="13"/>
      <c r="B47" s="365">
        <v>45737</v>
      </c>
      <c r="C47" s="19" t="s">
        <v>67</v>
      </c>
      <c r="D47" s="21"/>
      <c r="E47" s="20">
        <v>22</v>
      </c>
      <c r="F47" s="57" t="s">
        <v>32</v>
      </c>
      <c r="G47" s="14"/>
      <c r="H47" s="34"/>
      <c r="I47" s="291"/>
      <c r="J47" s="34"/>
      <c r="K47" s="292">
        <v>100.4</v>
      </c>
      <c r="L47" s="293" t="e">
        <f>#REF!</f>
        <v>#REF!</v>
      </c>
      <c r="M47" s="395" t="e">
        <f t="shared" si="8"/>
        <v>#REF!</v>
      </c>
      <c r="N47" s="295">
        <f t="shared" si="4"/>
        <v>377230.91000000056</v>
      </c>
      <c r="O47" s="295" t="e">
        <f t="shared" si="5"/>
        <v>#REF!</v>
      </c>
      <c r="P47" s="296" t="s">
        <v>96</v>
      </c>
      <c r="Q47" s="297"/>
      <c r="R47" s="296" t="s">
        <v>65</v>
      </c>
      <c r="S47" s="298" t="e">
        <f t="shared" si="7"/>
        <v>#REF!</v>
      </c>
      <c r="T47" s="198"/>
      <c r="U47" s="323"/>
      <c r="V47" s="198"/>
      <c r="W47" s="198"/>
      <c r="X47" s="198"/>
      <c r="Y47" s="198"/>
      <c r="Z47" s="198"/>
      <c r="AA47" s="198"/>
      <c r="AB47" s="198"/>
      <c r="AC47" s="198"/>
    </row>
    <row r="48" spans="1:29" s="188" customFormat="1" ht="11.25" customHeight="1">
      <c r="A48" s="13"/>
      <c r="B48" s="365">
        <v>45737</v>
      </c>
      <c r="C48" s="19" t="s">
        <v>49</v>
      </c>
      <c r="D48" s="21"/>
      <c r="E48" s="20">
        <v>23</v>
      </c>
      <c r="F48" s="57" t="s">
        <v>32</v>
      </c>
      <c r="G48" s="14"/>
      <c r="H48" s="34"/>
      <c r="I48" s="291"/>
      <c r="J48" s="34"/>
      <c r="K48" s="292">
        <v>3.6</v>
      </c>
      <c r="L48" s="293" t="e">
        <f>#REF!</f>
        <v>#REF!</v>
      </c>
      <c r="M48" s="395" t="e">
        <f t="shared" si="8"/>
        <v>#REF!</v>
      </c>
      <c r="N48" s="295">
        <f t="shared" si="4"/>
        <v>377227.31000000058</v>
      </c>
      <c r="O48" s="295" t="e">
        <f t="shared" si="5"/>
        <v>#REF!</v>
      </c>
      <c r="P48" s="296" t="s">
        <v>96</v>
      </c>
      <c r="Q48" s="297"/>
      <c r="R48" s="296" t="s">
        <v>65</v>
      </c>
      <c r="S48" s="298" t="e">
        <f t="shared" si="7"/>
        <v>#REF!</v>
      </c>
      <c r="T48" s="198"/>
      <c r="U48" s="323"/>
      <c r="V48" s="198"/>
      <c r="W48" s="198"/>
      <c r="X48" s="198"/>
      <c r="Y48" s="198"/>
      <c r="Z48" s="198"/>
      <c r="AA48" s="198"/>
      <c r="AB48" s="198"/>
      <c r="AC48" s="198"/>
    </row>
    <row r="49" spans="1:29" s="188" customFormat="1" ht="11.25" customHeight="1">
      <c r="A49" s="13"/>
      <c r="B49" s="365">
        <v>45737</v>
      </c>
      <c r="C49" s="19" t="s">
        <v>128</v>
      </c>
      <c r="D49" s="21"/>
      <c r="E49" s="20">
        <v>24</v>
      </c>
      <c r="F49" s="57" t="s">
        <v>25</v>
      </c>
      <c r="G49" s="14" t="s">
        <v>26</v>
      </c>
      <c r="H49" s="34"/>
      <c r="I49" s="291"/>
      <c r="J49" s="34"/>
      <c r="K49" s="368">
        <v>677.37</v>
      </c>
      <c r="L49" s="293" t="e">
        <f>#REF!</f>
        <v>#REF!</v>
      </c>
      <c r="M49" s="395" t="e">
        <f t="shared" si="8"/>
        <v>#REF!</v>
      </c>
      <c r="N49" s="295">
        <f t="shared" si="4"/>
        <v>376549.94000000058</v>
      </c>
      <c r="O49" s="295" t="e">
        <f t="shared" si="5"/>
        <v>#REF!</v>
      </c>
      <c r="P49" s="296" t="s">
        <v>96</v>
      </c>
      <c r="Q49" s="297"/>
      <c r="R49" s="296" t="s">
        <v>69</v>
      </c>
      <c r="S49" s="298" t="e">
        <f t="shared" si="7"/>
        <v>#REF!</v>
      </c>
      <c r="T49" s="198"/>
      <c r="U49" s="323"/>
      <c r="V49" s="198"/>
      <c r="W49" s="198"/>
      <c r="X49" s="198"/>
      <c r="Y49" s="198"/>
      <c r="Z49" s="198"/>
      <c r="AA49" s="198"/>
      <c r="AB49" s="198"/>
      <c r="AC49" s="198"/>
    </row>
    <row r="50" spans="1:29" s="188" customFormat="1" ht="11.25" customHeight="1">
      <c r="A50" s="13"/>
      <c r="B50" s="365">
        <v>45737</v>
      </c>
      <c r="C50" s="19" t="s">
        <v>30</v>
      </c>
      <c r="D50" s="21"/>
      <c r="E50" s="20">
        <v>25</v>
      </c>
      <c r="F50" s="57" t="s">
        <v>30</v>
      </c>
      <c r="G50" s="14" t="s">
        <v>31</v>
      </c>
      <c r="H50" s="34"/>
      <c r="I50" s="291"/>
      <c r="J50" s="34"/>
      <c r="K50" s="292">
        <v>299</v>
      </c>
      <c r="L50" s="293" t="e">
        <f>#REF!</f>
        <v>#REF!</v>
      </c>
      <c r="M50" s="395" t="e">
        <f t="shared" si="8"/>
        <v>#REF!</v>
      </c>
      <c r="N50" s="295">
        <f t="shared" si="4"/>
        <v>376250.94000000058</v>
      </c>
      <c r="O50" s="295" t="e">
        <f t="shared" si="5"/>
        <v>#REF!</v>
      </c>
      <c r="P50" s="296" t="s">
        <v>96</v>
      </c>
      <c r="Q50" s="297"/>
      <c r="R50" s="296" t="s">
        <v>69</v>
      </c>
      <c r="S50" s="298" t="e">
        <f t="shared" si="7"/>
        <v>#REF!</v>
      </c>
      <c r="T50" s="198"/>
      <c r="U50" s="323"/>
      <c r="V50" s="198"/>
      <c r="W50" s="198"/>
      <c r="X50" s="198"/>
      <c r="Y50" s="198"/>
      <c r="Z50" s="198"/>
      <c r="AA50" s="198"/>
      <c r="AB50" s="198"/>
      <c r="AC50" s="198"/>
    </row>
    <row r="51" spans="1:29" s="188" customFormat="1" ht="11.25" customHeight="1">
      <c r="A51" s="13"/>
      <c r="B51" s="365">
        <v>45737</v>
      </c>
      <c r="C51" s="19" t="s">
        <v>64</v>
      </c>
      <c r="D51" s="21"/>
      <c r="E51" s="20">
        <v>26</v>
      </c>
      <c r="F51" s="57" t="s">
        <v>32</v>
      </c>
      <c r="G51" s="14"/>
      <c r="H51" s="34"/>
      <c r="I51" s="291"/>
      <c r="J51" s="34"/>
      <c r="K51" s="292">
        <v>12</v>
      </c>
      <c r="L51" s="293" t="e">
        <f>#REF!</f>
        <v>#REF!</v>
      </c>
      <c r="M51" s="395" t="e">
        <f t="shared" si="8"/>
        <v>#REF!</v>
      </c>
      <c r="N51" s="295">
        <f t="shared" si="4"/>
        <v>376238.94000000058</v>
      </c>
      <c r="O51" s="295" t="e">
        <f t="shared" si="5"/>
        <v>#REF!</v>
      </c>
      <c r="P51" s="296" t="s">
        <v>96</v>
      </c>
      <c r="Q51" s="297"/>
      <c r="R51" s="296" t="s">
        <v>69</v>
      </c>
      <c r="S51" s="298" t="e">
        <f t="shared" si="7"/>
        <v>#REF!</v>
      </c>
      <c r="T51" s="198"/>
      <c r="U51" s="323"/>
      <c r="V51" s="198"/>
      <c r="W51" s="198"/>
      <c r="X51" s="198"/>
      <c r="Y51" s="198"/>
      <c r="Z51" s="198"/>
      <c r="AA51" s="198"/>
      <c r="AB51" s="198"/>
      <c r="AC51" s="198"/>
    </row>
    <row r="52" spans="1:29" s="188" customFormat="1" ht="11.25" customHeight="1">
      <c r="A52" s="13"/>
      <c r="B52" s="365">
        <v>45737</v>
      </c>
      <c r="C52" s="19" t="s">
        <v>61</v>
      </c>
      <c r="D52" s="21"/>
      <c r="E52" s="20">
        <v>27</v>
      </c>
      <c r="F52" s="57" t="s">
        <v>25</v>
      </c>
      <c r="G52" s="14" t="s">
        <v>26</v>
      </c>
      <c r="H52" s="34"/>
      <c r="I52" s="291"/>
      <c r="J52" s="34"/>
      <c r="K52" s="292">
        <v>255</v>
      </c>
      <c r="L52" s="293" t="e">
        <f>#REF!</f>
        <v>#REF!</v>
      </c>
      <c r="M52" s="395" t="e">
        <f t="shared" si="8"/>
        <v>#REF!</v>
      </c>
      <c r="N52" s="295">
        <f t="shared" ref="N52:N83" si="9">N51+H52-K52</f>
        <v>375983.94000000058</v>
      </c>
      <c r="O52" s="295" t="e">
        <f t="shared" ref="O52:O83" si="10">O51+J52-M52</f>
        <v>#REF!</v>
      </c>
      <c r="P52" s="296" t="s">
        <v>96</v>
      </c>
      <c r="Q52" s="297"/>
      <c r="R52" s="296" t="s">
        <v>69</v>
      </c>
      <c r="S52" s="298" t="e">
        <f t="shared" si="7"/>
        <v>#REF!</v>
      </c>
      <c r="T52" s="198"/>
      <c r="U52" s="323"/>
      <c r="V52" s="198"/>
      <c r="W52" s="198"/>
      <c r="X52" s="198"/>
      <c r="Y52" s="198"/>
      <c r="Z52" s="198"/>
      <c r="AA52" s="198"/>
      <c r="AB52" s="198"/>
      <c r="AC52" s="198"/>
    </row>
    <row r="53" spans="1:29" s="188" customFormat="1" ht="11.25" customHeight="1">
      <c r="A53" s="13"/>
      <c r="B53" s="365">
        <v>45737</v>
      </c>
      <c r="C53" s="19" t="s">
        <v>78</v>
      </c>
      <c r="D53" s="21"/>
      <c r="E53" s="20">
        <v>28</v>
      </c>
      <c r="F53" s="57" t="s">
        <v>32</v>
      </c>
      <c r="G53" s="14"/>
      <c r="H53" s="34"/>
      <c r="I53" s="291"/>
      <c r="J53" s="34"/>
      <c r="K53" s="292">
        <v>912.7</v>
      </c>
      <c r="L53" s="293" t="e">
        <f>#REF!</f>
        <v>#REF!</v>
      </c>
      <c r="M53" s="395" t="e">
        <f t="shared" si="8"/>
        <v>#REF!</v>
      </c>
      <c r="N53" s="295">
        <f t="shared" si="9"/>
        <v>375071.24000000057</v>
      </c>
      <c r="O53" s="295" t="e">
        <f t="shared" si="10"/>
        <v>#REF!</v>
      </c>
      <c r="P53" s="296" t="s">
        <v>96</v>
      </c>
      <c r="Q53" s="297"/>
      <c r="R53" s="296" t="s">
        <v>69</v>
      </c>
      <c r="S53" s="298" t="e">
        <f t="shared" si="7"/>
        <v>#REF!</v>
      </c>
      <c r="T53" s="198"/>
      <c r="U53" s="323"/>
      <c r="V53" s="198"/>
      <c r="W53" s="198"/>
      <c r="X53" s="198"/>
      <c r="Y53" s="198"/>
      <c r="Z53" s="198"/>
      <c r="AA53" s="198"/>
      <c r="AB53" s="198"/>
      <c r="AC53" s="198"/>
    </row>
    <row r="54" spans="1:29" s="188" customFormat="1" ht="11.25" customHeight="1">
      <c r="A54" s="13"/>
      <c r="B54" s="365">
        <v>45737</v>
      </c>
      <c r="C54" s="19" t="s">
        <v>23</v>
      </c>
      <c r="D54" s="21"/>
      <c r="E54" s="20">
        <v>29</v>
      </c>
      <c r="F54" s="57" t="s">
        <v>23</v>
      </c>
      <c r="G54" s="14" t="s">
        <v>24</v>
      </c>
      <c r="H54" s="34"/>
      <c r="I54" s="291"/>
      <c r="J54" s="34"/>
      <c r="K54" s="292">
        <v>6325.68</v>
      </c>
      <c r="L54" s="293" t="e">
        <f>#REF!</f>
        <v>#REF!</v>
      </c>
      <c r="M54" s="395" t="e">
        <f t="shared" si="8"/>
        <v>#REF!</v>
      </c>
      <c r="N54" s="295">
        <f t="shared" si="9"/>
        <v>368745.56000000058</v>
      </c>
      <c r="O54" s="295" t="e">
        <f t="shared" si="10"/>
        <v>#REF!</v>
      </c>
      <c r="P54" s="296" t="s">
        <v>96</v>
      </c>
      <c r="Q54" s="297"/>
      <c r="R54" s="296" t="s">
        <v>69</v>
      </c>
      <c r="S54" s="298" t="e">
        <f t="shared" si="7"/>
        <v>#REF!</v>
      </c>
      <c r="T54" s="198"/>
      <c r="U54" s="323"/>
      <c r="V54" s="198"/>
      <c r="W54" s="198"/>
      <c r="X54" s="198"/>
      <c r="Y54" s="198"/>
      <c r="Z54" s="198"/>
      <c r="AA54" s="198"/>
      <c r="AB54" s="198"/>
      <c r="AC54" s="198"/>
    </row>
    <row r="55" spans="1:29" s="188" customFormat="1" ht="11.25" customHeight="1">
      <c r="A55" s="13"/>
      <c r="B55" s="365">
        <v>45737</v>
      </c>
      <c r="C55" s="19" t="s">
        <v>49</v>
      </c>
      <c r="D55" s="21"/>
      <c r="E55" s="20">
        <v>30</v>
      </c>
      <c r="F55" s="57" t="s">
        <v>32</v>
      </c>
      <c r="G55" s="14"/>
      <c r="H55" s="34"/>
      <c r="I55" s="291"/>
      <c r="J55" s="34"/>
      <c r="K55" s="292">
        <v>3.6</v>
      </c>
      <c r="L55" s="293" t="e">
        <f>#REF!</f>
        <v>#REF!</v>
      </c>
      <c r="M55" s="395" t="e">
        <f t="shared" si="8"/>
        <v>#REF!</v>
      </c>
      <c r="N55" s="295">
        <f t="shared" si="9"/>
        <v>368741.9600000006</v>
      </c>
      <c r="O55" s="295" t="e">
        <f t="shared" si="10"/>
        <v>#REF!</v>
      </c>
      <c r="P55" s="296" t="s">
        <v>96</v>
      </c>
      <c r="Q55" s="297"/>
      <c r="R55" s="296" t="s">
        <v>69</v>
      </c>
      <c r="S55" s="298" t="e">
        <f t="shared" si="7"/>
        <v>#REF!</v>
      </c>
      <c r="T55" s="198"/>
      <c r="U55" s="323"/>
      <c r="V55" s="198"/>
      <c r="W55" s="198"/>
      <c r="X55" s="198"/>
      <c r="Y55" s="198"/>
      <c r="Z55" s="198"/>
      <c r="AA55" s="198"/>
      <c r="AB55" s="198"/>
      <c r="AC55" s="198"/>
    </row>
    <row r="56" spans="1:29" s="188" customFormat="1" ht="11.25" customHeight="1">
      <c r="A56" s="13"/>
      <c r="B56" s="365">
        <v>45737</v>
      </c>
      <c r="C56" s="19" t="s">
        <v>61</v>
      </c>
      <c r="D56" s="21"/>
      <c r="E56" s="20">
        <v>31</v>
      </c>
      <c r="F56" s="57" t="s">
        <v>25</v>
      </c>
      <c r="G56" s="14" t="s">
        <v>26</v>
      </c>
      <c r="H56" s="34"/>
      <c r="I56" s="291"/>
      <c r="J56" s="34"/>
      <c r="K56" s="292">
        <v>6381.8</v>
      </c>
      <c r="L56" s="293" t="e">
        <f>#REF!</f>
        <v>#REF!</v>
      </c>
      <c r="M56" s="395" t="e">
        <f t="shared" si="8"/>
        <v>#REF!</v>
      </c>
      <c r="N56" s="295">
        <f t="shared" si="9"/>
        <v>362360.16000000061</v>
      </c>
      <c r="O56" s="295" t="e">
        <f t="shared" si="10"/>
        <v>#REF!</v>
      </c>
      <c r="P56" s="296" t="s">
        <v>96</v>
      </c>
      <c r="Q56" s="297"/>
      <c r="R56" s="296" t="s">
        <v>76</v>
      </c>
      <c r="S56" s="298" t="e">
        <f t="shared" si="7"/>
        <v>#REF!</v>
      </c>
      <c r="T56" s="198"/>
      <c r="U56" s="323"/>
      <c r="V56" s="198"/>
      <c r="W56" s="198"/>
      <c r="X56" s="198"/>
      <c r="Y56" s="198"/>
      <c r="Z56" s="198"/>
      <c r="AA56" s="198"/>
      <c r="AB56" s="198"/>
      <c r="AC56" s="198"/>
    </row>
    <row r="57" spans="1:29" s="188" customFormat="1" ht="11.25" customHeight="1">
      <c r="A57" s="13"/>
      <c r="B57" s="365">
        <v>45737</v>
      </c>
      <c r="C57" s="19" t="s">
        <v>23</v>
      </c>
      <c r="D57" s="21"/>
      <c r="E57" s="20">
        <v>32</v>
      </c>
      <c r="F57" s="57" t="s">
        <v>23</v>
      </c>
      <c r="G57" s="14" t="s">
        <v>24</v>
      </c>
      <c r="H57" s="34"/>
      <c r="I57" s="291"/>
      <c r="J57" s="34"/>
      <c r="K57" s="292">
        <v>8423</v>
      </c>
      <c r="L57" s="293" t="e">
        <f>#REF!</f>
        <v>#REF!</v>
      </c>
      <c r="M57" s="395">
        <v>1154.7</v>
      </c>
      <c r="N57" s="295">
        <f t="shared" si="9"/>
        <v>353937.16000000061</v>
      </c>
      <c r="O57" s="295" t="e">
        <f t="shared" si="10"/>
        <v>#REF!</v>
      </c>
      <c r="P57" s="296" t="s">
        <v>96</v>
      </c>
      <c r="Q57" s="297"/>
      <c r="R57" s="296" t="s">
        <v>76</v>
      </c>
      <c r="S57" s="298" t="e">
        <f t="shared" si="7"/>
        <v>#REF!</v>
      </c>
      <c r="T57" s="198"/>
      <c r="U57" s="323"/>
      <c r="V57" s="198"/>
      <c r="W57" s="198"/>
      <c r="X57" s="198"/>
      <c r="Y57" s="198"/>
      <c r="Z57" s="198"/>
      <c r="AA57" s="198"/>
      <c r="AB57" s="198"/>
      <c r="AC57" s="198"/>
    </row>
    <row r="58" spans="1:29" s="188" customFormat="1" ht="11.25" customHeight="1">
      <c r="A58" s="13"/>
      <c r="B58" s="365">
        <v>45737</v>
      </c>
      <c r="C58" s="19" t="s">
        <v>30</v>
      </c>
      <c r="D58" s="21"/>
      <c r="E58" s="20">
        <v>33</v>
      </c>
      <c r="F58" s="57" t="s">
        <v>30</v>
      </c>
      <c r="G58" s="14" t="s">
        <v>31</v>
      </c>
      <c r="H58" s="34"/>
      <c r="I58" s="291"/>
      <c r="J58" s="34"/>
      <c r="K58" s="292">
        <v>300</v>
      </c>
      <c r="L58" s="293" t="e">
        <f>#REF!</f>
        <v>#REF!</v>
      </c>
      <c r="M58" s="395">
        <v>41.125999999999998</v>
      </c>
      <c r="N58" s="295">
        <f t="shared" si="9"/>
        <v>353637.16000000061</v>
      </c>
      <c r="O58" s="295" t="e">
        <f t="shared" si="10"/>
        <v>#REF!</v>
      </c>
      <c r="P58" s="296" t="s">
        <v>96</v>
      </c>
      <c r="Q58" s="297"/>
      <c r="R58" s="296" t="s">
        <v>76</v>
      </c>
      <c r="S58" s="298" t="e">
        <f t="shared" si="7"/>
        <v>#REF!</v>
      </c>
      <c r="T58" s="198"/>
      <c r="U58" s="323"/>
      <c r="V58" s="198"/>
      <c r="W58" s="198"/>
      <c r="X58" s="198"/>
      <c r="Y58" s="198"/>
      <c r="Z58" s="198"/>
      <c r="AA58" s="198"/>
      <c r="AB58" s="198"/>
      <c r="AC58" s="198"/>
    </row>
    <row r="59" spans="1:29" s="188" customFormat="1" ht="11.25" customHeight="1">
      <c r="A59" s="13"/>
      <c r="B59" s="365">
        <v>45737</v>
      </c>
      <c r="C59" s="19" t="s">
        <v>129</v>
      </c>
      <c r="D59" s="21"/>
      <c r="E59" s="20">
        <v>34</v>
      </c>
      <c r="F59" s="57" t="s">
        <v>32</v>
      </c>
      <c r="G59" s="14"/>
      <c r="H59" s="34"/>
      <c r="I59" s="291"/>
      <c r="J59" s="34"/>
      <c r="K59" s="292" t="e">
        <f>L59*M59</f>
        <v>#REF!</v>
      </c>
      <c r="L59" s="293" t="e">
        <f>#REF!</f>
        <v>#REF!</v>
      </c>
      <c r="M59" s="395">
        <v>1035.824061095939</v>
      </c>
      <c r="N59" s="295" t="e">
        <f t="shared" si="9"/>
        <v>#REF!</v>
      </c>
      <c r="O59" s="295" t="e">
        <f t="shared" si="10"/>
        <v>#REF!</v>
      </c>
      <c r="P59" s="296" t="s">
        <v>96</v>
      </c>
      <c r="Q59" s="297"/>
      <c r="R59" s="296" t="s">
        <v>76</v>
      </c>
      <c r="S59" s="298" t="e">
        <f t="shared" si="7"/>
        <v>#REF!</v>
      </c>
      <c r="T59" s="198"/>
      <c r="U59" s="323"/>
      <c r="V59" s="198"/>
      <c r="W59" s="198"/>
      <c r="X59" s="198"/>
      <c r="Y59" s="198"/>
      <c r="Z59" s="198"/>
      <c r="AA59" s="198"/>
      <c r="AB59" s="198"/>
      <c r="AC59" s="198"/>
    </row>
    <row r="60" spans="1:29" s="188" customFormat="1" ht="11.25" customHeight="1">
      <c r="A60" s="13"/>
      <c r="B60" s="365">
        <v>45737</v>
      </c>
      <c r="C60" s="19" t="s">
        <v>129</v>
      </c>
      <c r="D60" s="21"/>
      <c r="E60" s="20">
        <v>34</v>
      </c>
      <c r="F60" s="57" t="s">
        <v>32</v>
      </c>
      <c r="G60" s="14"/>
      <c r="H60" s="34"/>
      <c r="I60" s="291"/>
      <c r="J60" s="34"/>
      <c r="K60" s="292" t="e">
        <f>65100-K59</f>
        <v>#REF!</v>
      </c>
      <c r="L60" s="293" t="e">
        <f>#REF!</f>
        <v>#REF!</v>
      </c>
      <c r="M60" s="397" t="e">
        <f t="shared" ref="M60:M94" si="11">K60/L60</f>
        <v>#REF!</v>
      </c>
      <c r="N60" s="295" t="e">
        <f t="shared" si="9"/>
        <v>#REF!</v>
      </c>
      <c r="O60" s="295" t="e">
        <f t="shared" si="10"/>
        <v>#REF!</v>
      </c>
      <c r="P60" s="296" t="s">
        <v>130</v>
      </c>
      <c r="Q60" s="297"/>
      <c r="R60" s="296" t="s">
        <v>76</v>
      </c>
      <c r="S60" s="298" t="e">
        <f>47952-M60</f>
        <v>#REF!</v>
      </c>
      <c r="T60" s="198"/>
      <c r="U60" s="323"/>
      <c r="V60" s="198"/>
      <c r="W60" s="198"/>
      <c r="X60" s="198"/>
      <c r="Y60" s="198"/>
      <c r="Z60" s="198"/>
      <c r="AA60" s="198"/>
      <c r="AB60" s="198"/>
      <c r="AC60" s="198"/>
    </row>
    <row r="61" spans="1:29" s="188" customFormat="1" ht="11.25" customHeight="1">
      <c r="A61" s="13"/>
      <c r="B61" s="365">
        <v>45737</v>
      </c>
      <c r="C61" s="19" t="s">
        <v>49</v>
      </c>
      <c r="D61" s="21"/>
      <c r="E61" s="20">
        <v>35</v>
      </c>
      <c r="F61" s="57" t="s">
        <v>32</v>
      </c>
      <c r="G61" s="14"/>
      <c r="H61" s="34"/>
      <c r="I61" s="291"/>
      <c r="J61" s="34"/>
      <c r="K61" s="292">
        <v>14.4</v>
      </c>
      <c r="L61" s="293" t="e">
        <f>#REF!</f>
        <v>#REF!</v>
      </c>
      <c r="M61" s="397" t="e">
        <f t="shared" si="11"/>
        <v>#REF!</v>
      </c>
      <c r="N61" s="295" t="e">
        <f t="shared" si="9"/>
        <v>#REF!</v>
      </c>
      <c r="O61" s="295" t="e">
        <f t="shared" si="10"/>
        <v>#REF!</v>
      </c>
      <c r="P61" s="296" t="s">
        <v>130</v>
      </c>
      <c r="Q61" s="297"/>
      <c r="R61" s="296" t="s">
        <v>76</v>
      </c>
      <c r="S61" s="298" t="e">
        <f t="shared" ref="S61:S104" si="12">S60-M61</f>
        <v>#REF!</v>
      </c>
      <c r="T61" s="198"/>
      <c r="U61" s="323"/>
      <c r="V61" s="198"/>
      <c r="W61" s="198"/>
      <c r="X61" s="198"/>
      <c r="Y61" s="198"/>
      <c r="Z61" s="198"/>
      <c r="AA61" s="198"/>
      <c r="AB61" s="198"/>
      <c r="AC61" s="198"/>
    </row>
    <row r="62" spans="1:29" s="188" customFormat="1" ht="11.25" customHeight="1">
      <c r="A62" s="13"/>
      <c r="B62" s="365">
        <v>45737</v>
      </c>
      <c r="C62" s="19" t="s">
        <v>64</v>
      </c>
      <c r="D62" s="21"/>
      <c r="E62" s="20">
        <v>36</v>
      </c>
      <c r="F62" s="57" t="s">
        <v>32</v>
      </c>
      <c r="G62" s="14"/>
      <c r="H62" s="34"/>
      <c r="I62" s="291"/>
      <c r="J62" s="34"/>
      <c r="K62" s="292">
        <v>413.9</v>
      </c>
      <c r="L62" s="293" t="e">
        <f>#REF!</f>
        <v>#REF!</v>
      </c>
      <c r="M62" s="397" t="e">
        <f t="shared" si="11"/>
        <v>#REF!</v>
      </c>
      <c r="N62" s="295" t="e">
        <f t="shared" si="9"/>
        <v>#REF!</v>
      </c>
      <c r="O62" s="295" t="e">
        <f t="shared" si="10"/>
        <v>#REF!</v>
      </c>
      <c r="P62" s="296" t="s">
        <v>130</v>
      </c>
      <c r="Q62" s="297"/>
      <c r="R62" s="296" t="s">
        <v>77</v>
      </c>
      <c r="S62" s="298" t="e">
        <f t="shared" si="12"/>
        <v>#REF!</v>
      </c>
      <c r="T62" s="198"/>
      <c r="U62" s="323"/>
      <c r="V62" s="198"/>
      <c r="W62" s="198"/>
      <c r="X62" s="198"/>
      <c r="Y62" s="198"/>
      <c r="Z62" s="198"/>
      <c r="AA62" s="198"/>
      <c r="AB62" s="198"/>
      <c r="AC62" s="198"/>
    </row>
    <row r="63" spans="1:29" s="188" customFormat="1" ht="11.25" customHeight="1">
      <c r="A63" s="13"/>
      <c r="B63" s="365">
        <v>45737</v>
      </c>
      <c r="C63" s="19" t="s">
        <v>78</v>
      </c>
      <c r="D63" s="21"/>
      <c r="E63" s="20">
        <v>37</v>
      </c>
      <c r="F63" s="57" t="s">
        <v>32</v>
      </c>
      <c r="G63" s="14"/>
      <c r="H63" s="34"/>
      <c r="I63" s="291"/>
      <c r="J63" s="34"/>
      <c r="K63" s="292">
        <v>13.8</v>
      </c>
      <c r="L63" s="293" t="e">
        <f>#REF!</f>
        <v>#REF!</v>
      </c>
      <c r="M63" s="397" t="e">
        <f t="shared" si="11"/>
        <v>#REF!</v>
      </c>
      <c r="N63" s="295" t="e">
        <f t="shared" si="9"/>
        <v>#REF!</v>
      </c>
      <c r="O63" s="295" t="e">
        <f t="shared" si="10"/>
        <v>#REF!</v>
      </c>
      <c r="P63" s="296" t="s">
        <v>130</v>
      </c>
      <c r="Q63" s="297"/>
      <c r="R63" s="296" t="s">
        <v>77</v>
      </c>
      <c r="S63" s="298" t="e">
        <f t="shared" si="12"/>
        <v>#REF!</v>
      </c>
      <c r="T63" s="198"/>
      <c r="U63" s="323"/>
      <c r="V63" s="198"/>
      <c r="W63" s="198"/>
      <c r="X63" s="198"/>
      <c r="Y63" s="198"/>
      <c r="Z63" s="198"/>
      <c r="AA63" s="198"/>
      <c r="AB63" s="198"/>
      <c r="AC63" s="198"/>
    </row>
    <row r="64" spans="1:29" s="188" customFormat="1" ht="11.25" customHeight="1">
      <c r="A64" s="13"/>
      <c r="B64" s="365">
        <v>45737</v>
      </c>
      <c r="C64" s="19" t="s">
        <v>131</v>
      </c>
      <c r="D64" s="21"/>
      <c r="E64" s="20">
        <v>38</v>
      </c>
      <c r="F64" s="57" t="s">
        <v>32</v>
      </c>
      <c r="G64" s="14"/>
      <c r="H64" s="34"/>
      <c r="I64" s="291"/>
      <c r="J64" s="34"/>
      <c r="K64" s="368">
        <v>359</v>
      </c>
      <c r="L64" s="293" t="e">
        <f>#REF!</f>
        <v>#REF!</v>
      </c>
      <c r="M64" s="397" t="e">
        <f t="shared" si="11"/>
        <v>#REF!</v>
      </c>
      <c r="N64" s="295" t="e">
        <f t="shared" si="9"/>
        <v>#REF!</v>
      </c>
      <c r="O64" s="295" t="e">
        <f t="shared" si="10"/>
        <v>#REF!</v>
      </c>
      <c r="P64" s="296" t="s">
        <v>130</v>
      </c>
      <c r="Q64" s="297"/>
      <c r="R64" s="296" t="s">
        <v>77</v>
      </c>
      <c r="S64" s="298" t="e">
        <f t="shared" si="12"/>
        <v>#REF!</v>
      </c>
      <c r="T64" s="198"/>
      <c r="U64" s="323"/>
      <c r="V64" s="198"/>
      <c r="W64" s="198"/>
      <c r="X64" s="198"/>
      <c r="Y64" s="198"/>
      <c r="Z64" s="198"/>
      <c r="AA64" s="198"/>
      <c r="AB64" s="198"/>
      <c r="AC64" s="198"/>
    </row>
    <row r="65" spans="1:29" s="188" customFormat="1" ht="11.25" customHeight="1">
      <c r="A65" s="13"/>
      <c r="B65" s="365">
        <v>45737</v>
      </c>
      <c r="C65" s="19" t="s">
        <v>30</v>
      </c>
      <c r="D65" s="21"/>
      <c r="E65" s="20">
        <v>39</v>
      </c>
      <c r="F65" s="57" t="s">
        <v>30</v>
      </c>
      <c r="G65" s="14" t="s">
        <v>31</v>
      </c>
      <c r="H65" s="34"/>
      <c r="I65" s="291"/>
      <c r="J65" s="34"/>
      <c r="K65" s="292">
        <v>169</v>
      </c>
      <c r="L65" s="293" t="e">
        <f>#REF!</f>
        <v>#REF!</v>
      </c>
      <c r="M65" s="397" t="e">
        <f t="shared" si="11"/>
        <v>#REF!</v>
      </c>
      <c r="N65" s="295" t="e">
        <f t="shared" si="9"/>
        <v>#REF!</v>
      </c>
      <c r="O65" s="295" t="e">
        <f t="shared" si="10"/>
        <v>#REF!</v>
      </c>
      <c r="P65" s="296" t="s">
        <v>130</v>
      </c>
      <c r="Q65" s="297"/>
      <c r="R65" s="296" t="s">
        <v>77</v>
      </c>
      <c r="S65" s="298" t="e">
        <f t="shared" si="12"/>
        <v>#REF!</v>
      </c>
      <c r="T65" s="198"/>
      <c r="U65" s="323"/>
      <c r="V65" s="198"/>
      <c r="W65" s="198"/>
      <c r="X65" s="198"/>
      <c r="Y65" s="198"/>
      <c r="Z65" s="198"/>
      <c r="AA65" s="198"/>
      <c r="AB65" s="198"/>
      <c r="AC65" s="198"/>
    </row>
    <row r="66" spans="1:29" s="188" customFormat="1" ht="11.25" customHeight="1">
      <c r="A66" s="13"/>
      <c r="B66" s="365">
        <v>45737</v>
      </c>
      <c r="C66" s="19" t="s">
        <v>63</v>
      </c>
      <c r="D66" s="21"/>
      <c r="E66" s="20">
        <v>40</v>
      </c>
      <c r="F66" s="57" t="s">
        <v>25</v>
      </c>
      <c r="G66" s="14" t="s">
        <v>26</v>
      </c>
      <c r="H66" s="34"/>
      <c r="I66" s="291"/>
      <c r="J66" s="34"/>
      <c r="K66" s="292">
        <v>432.12</v>
      </c>
      <c r="L66" s="293" t="e">
        <f>#REF!</f>
        <v>#REF!</v>
      </c>
      <c r="M66" s="397" t="e">
        <f t="shared" si="11"/>
        <v>#REF!</v>
      </c>
      <c r="N66" s="295" t="e">
        <f t="shared" si="9"/>
        <v>#REF!</v>
      </c>
      <c r="O66" s="295" t="e">
        <f t="shared" si="10"/>
        <v>#REF!</v>
      </c>
      <c r="P66" s="296" t="s">
        <v>130</v>
      </c>
      <c r="Q66" s="297"/>
      <c r="R66" s="296" t="s">
        <v>77</v>
      </c>
      <c r="S66" s="298" t="e">
        <f t="shared" si="12"/>
        <v>#REF!</v>
      </c>
      <c r="T66" s="198"/>
      <c r="U66" s="323"/>
      <c r="V66" s="198"/>
      <c r="W66" s="198"/>
      <c r="X66" s="198"/>
      <c r="Y66" s="198"/>
      <c r="Z66" s="198"/>
      <c r="AA66" s="198"/>
      <c r="AB66" s="198"/>
      <c r="AC66" s="198"/>
    </row>
    <row r="67" spans="1:29" s="188" customFormat="1" ht="11.25" customHeight="1">
      <c r="A67" s="13"/>
      <c r="B67" s="365">
        <v>45737</v>
      </c>
      <c r="C67" s="19" t="s">
        <v>61</v>
      </c>
      <c r="D67" s="21"/>
      <c r="E67" s="20">
        <v>41</v>
      </c>
      <c r="F67" s="57" t="s">
        <v>25</v>
      </c>
      <c r="G67" s="14" t="s">
        <v>26</v>
      </c>
      <c r="H67" s="34"/>
      <c r="I67" s="291"/>
      <c r="J67" s="34"/>
      <c r="K67" s="292">
        <v>10460.81</v>
      </c>
      <c r="L67" s="293" t="e">
        <f>#REF!</f>
        <v>#REF!</v>
      </c>
      <c r="M67" s="397" t="e">
        <f t="shared" si="11"/>
        <v>#REF!</v>
      </c>
      <c r="N67" s="295" t="e">
        <f t="shared" si="9"/>
        <v>#REF!</v>
      </c>
      <c r="O67" s="295" t="e">
        <f t="shared" si="10"/>
        <v>#REF!</v>
      </c>
      <c r="P67" s="296" t="s">
        <v>130</v>
      </c>
      <c r="Q67" s="297"/>
      <c r="R67" s="296" t="s">
        <v>77</v>
      </c>
      <c r="S67" s="298" t="e">
        <f t="shared" si="12"/>
        <v>#REF!</v>
      </c>
      <c r="T67" s="198"/>
      <c r="U67" s="323"/>
      <c r="V67" s="198"/>
      <c r="W67" s="198"/>
      <c r="X67" s="198"/>
      <c r="Y67" s="198"/>
      <c r="Z67" s="198"/>
      <c r="AA67" s="198"/>
      <c r="AB67" s="198"/>
      <c r="AC67" s="198"/>
    </row>
    <row r="68" spans="1:29" s="188" customFormat="1" ht="11.25" customHeight="1">
      <c r="A68" s="13"/>
      <c r="B68" s="365">
        <v>45737</v>
      </c>
      <c r="C68" s="19" t="s">
        <v>49</v>
      </c>
      <c r="D68" s="21"/>
      <c r="E68" s="20">
        <v>42</v>
      </c>
      <c r="F68" s="57" t="s">
        <v>32</v>
      </c>
      <c r="G68" s="14"/>
      <c r="H68" s="34"/>
      <c r="I68" s="291"/>
      <c r="J68" s="34"/>
      <c r="K68" s="292">
        <v>7.2</v>
      </c>
      <c r="L68" s="293" t="e">
        <f>#REF!</f>
        <v>#REF!</v>
      </c>
      <c r="M68" s="397" t="e">
        <f t="shared" si="11"/>
        <v>#REF!</v>
      </c>
      <c r="N68" s="295" t="e">
        <f t="shared" si="9"/>
        <v>#REF!</v>
      </c>
      <c r="O68" s="295" t="e">
        <f t="shared" si="10"/>
        <v>#REF!</v>
      </c>
      <c r="P68" s="296" t="s">
        <v>130</v>
      </c>
      <c r="Q68" s="297"/>
      <c r="R68" s="296" t="s">
        <v>77</v>
      </c>
      <c r="S68" s="298" t="e">
        <f t="shared" si="12"/>
        <v>#REF!</v>
      </c>
      <c r="T68" s="198"/>
      <c r="U68" s="323"/>
      <c r="V68" s="198"/>
      <c r="W68" s="198"/>
      <c r="X68" s="198"/>
      <c r="Y68" s="198"/>
      <c r="Z68" s="198"/>
      <c r="AA68" s="198"/>
      <c r="AB68" s="198"/>
      <c r="AC68" s="198"/>
    </row>
    <row r="69" spans="1:29" ht="11.25" customHeight="1">
      <c r="B69" s="365">
        <v>45737</v>
      </c>
      <c r="C69" s="19" t="s">
        <v>71</v>
      </c>
      <c r="D69" s="21"/>
      <c r="E69" s="20">
        <v>43</v>
      </c>
      <c r="F69" s="57" t="s">
        <v>25</v>
      </c>
      <c r="G69" s="14" t="s">
        <v>26</v>
      </c>
      <c r="H69" s="34"/>
      <c r="I69" s="291"/>
      <c r="J69" s="34"/>
      <c r="K69" s="292">
        <v>2800</v>
      </c>
      <c r="L69" s="293" t="e">
        <f>#REF!</f>
        <v>#REF!</v>
      </c>
      <c r="M69" s="397" t="e">
        <f t="shared" si="11"/>
        <v>#REF!</v>
      </c>
      <c r="N69" s="295" t="e">
        <f t="shared" si="9"/>
        <v>#REF!</v>
      </c>
      <c r="O69" s="295" t="e">
        <f t="shared" si="10"/>
        <v>#REF!</v>
      </c>
      <c r="P69" s="296" t="s">
        <v>130</v>
      </c>
      <c r="Q69" s="297"/>
      <c r="R69" s="296" t="s">
        <v>72</v>
      </c>
      <c r="S69" s="298" t="e">
        <f t="shared" si="12"/>
        <v>#REF!</v>
      </c>
    </row>
    <row r="70" spans="1:29" ht="11.25" customHeight="1">
      <c r="B70" s="365">
        <v>45737</v>
      </c>
      <c r="C70" s="19" t="s">
        <v>73</v>
      </c>
      <c r="D70" s="21"/>
      <c r="E70" s="20">
        <v>44</v>
      </c>
      <c r="F70" s="57" t="s">
        <v>25</v>
      </c>
      <c r="G70" s="14" t="s">
        <v>26</v>
      </c>
      <c r="H70" s="34"/>
      <c r="I70" s="291"/>
      <c r="J70" s="34"/>
      <c r="K70" s="292">
        <v>191</v>
      </c>
      <c r="L70" s="293" t="e">
        <f>#REF!</f>
        <v>#REF!</v>
      </c>
      <c r="M70" s="397" t="e">
        <f t="shared" si="11"/>
        <v>#REF!</v>
      </c>
      <c r="N70" s="295" t="e">
        <f t="shared" si="9"/>
        <v>#REF!</v>
      </c>
      <c r="O70" s="295" t="e">
        <f t="shared" si="10"/>
        <v>#REF!</v>
      </c>
      <c r="P70" s="296" t="s">
        <v>130</v>
      </c>
      <c r="Q70" s="297"/>
      <c r="R70" s="296" t="s">
        <v>72</v>
      </c>
      <c r="S70" s="298" t="e">
        <f t="shared" si="12"/>
        <v>#REF!</v>
      </c>
    </row>
    <row r="71" spans="1:29" ht="11.25" customHeight="1">
      <c r="B71" s="365">
        <v>45737</v>
      </c>
      <c r="C71" s="19" t="s">
        <v>132</v>
      </c>
      <c r="D71" s="21"/>
      <c r="E71" s="20">
        <v>45</v>
      </c>
      <c r="F71" s="57" t="s">
        <v>25</v>
      </c>
      <c r="G71" s="14" t="s">
        <v>26</v>
      </c>
      <c r="H71" s="34"/>
      <c r="I71" s="291"/>
      <c r="J71" s="34"/>
      <c r="K71" s="292">
        <v>98</v>
      </c>
      <c r="L71" s="293" t="e">
        <f>#REF!</f>
        <v>#REF!</v>
      </c>
      <c r="M71" s="397" t="e">
        <f t="shared" si="11"/>
        <v>#REF!</v>
      </c>
      <c r="N71" s="295" t="e">
        <f t="shared" si="9"/>
        <v>#REF!</v>
      </c>
      <c r="O71" s="295" t="e">
        <f t="shared" si="10"/>
        <v>#REF!</v>
      </c>
      <c r="P71" s="296" t="s">
        <v>130</v>
      </c>
      <c r="Q71" s="297"/>
      <c r="R71" s="296" t="s">
        <v>72</v>
      </c>
      <c r="S71" s="298" t="e">
        <f t="shared" si="12"/>
        <v>#REF!</v>
      </c>
    </row>
    <row r="72" spans="1:29" ht="11.25" customHeight="1">
      <c r="B72" s="365">
        <v>45737</v>
      </c>
      <c r="C72" s="19" t="s">
        <v>74</v>
      </c>
      <c r="D72" s="21"/>
      <c r="E72" s="20">
        <v>46</v>
      </c>
      <c r="F72" s="57" t="s">
        <v>25</v>
      </c>
      <c r="G72" s="14" t="s">
        <v>26</v>
      </c>
      <c r="H72" s="34"/>
      <c r="I72" s="291"/>
      <c r="J72" s="34"/>
      <c r="K72" s="292">
        <v>800</v>
      </c>
      <c r="L72" s="293" t="e">
        <f>#REF!</f>
        <v>#REF!</v>
      </c>
      <c r="M72" s="397" t="e">
        <f t="shared" si="11"/>
        <v>#REF!</v>
      </c>
      <c r="N72" s="295" t="e">
        <f t="shared" si="9"/>
        <v>#REF!</v>
      </c>
      <c r="O72" s="295" t="e">
        <f t="shared" si="10"/>
        <v>#REF!</v>
      </c>
      <c r="P72" s="296" t="s">
        <v>130</v>
      </c>
      <c r="Q72" s="297"/>
      <c r="R72" s="296" t="s">
        <v>72</v>
      </c>
      <c r="S72" s="298" t="e">
        <f t="shared" si="12"/>
        <v>#REF!</v>
      </c>
    </row>
    <row r="73" spans="1:29" ht="11.25" customHeight="1">
      <c r="B73" s="365">
        <v>45737</v>
      </c>
      <c r="C73" s="19" t="s">
        <v>49</v>
      </c>
      <c r="D73" s="21"/>
      <c r="E73" s="20">
        <v>47</v>
      </c>
      <c r="F73" s="57" t="s">
        <v>32</v>
      </c>
      <c r="G73" s="14"/>
      <c r="H73" s="34"/>
      <c r="I73" s="291"/>
      <c r="J73" s="34"/>
      <c r="K73" s="292">
        <v>3.6</v>
      </c>
      <c r="L73" s="293" t="e">
        <f>#REF!</f>
        <v>#REF!</v>
      </c>
      <c r="M73" s="397" t="e">
        <f t="shared" si="11"/>
        <v>#REF!</v>
      </c>
      <c r="N73" s="295" t="e">
        <f t="shared" si="9"/>
        <v>#REF!</v>
      </c>
      <c r="O73" s="295" t="e">
        <f t="shared" si="10"/>
        <v>#REF!</v>
      </c>
      <c r="P73" s="296" t="s">
        <v>130</v>
      </c>
      <c r="Q73" s="297"/>
      <c r="R73" s="296" t="s">
        <v>72</v>
      </c>
      <c r="S73" s="298" t="e">
        <f t="shared" si="12"/>
        <v>#REF!</v>
      </c>
    </row>
    <row r="74" spans="1:29" ht="11.25" customHeight="1">
      <c r="B74" s="365">
        <v>45737</v>
      </c>
      <c r="C74" s="19" t="s">
        <v>71</v>
      </c>
      <c r="D74" s="21"/>
      <c r="E74" s="20">
        <v>48</v>
      </c>
      <c r="F74" s="57" t="s">
        <v>25</v>
      </c>
      <c r="G74" s="14" t="s">
        <v>26</v>
      </c>
      <c r="H74" s="34"/>
      <c r="I74" s="291"/>
      <c r="J74" s="34"/>
      <c r="K74" s="292">
        <v>2779</v>
      </c>
      <c r="L74" s="293" t="e">
        <f>#REF!</f>
        <v>#REF!</v>
      </c>
      <c r="M74" s="397" t="e">
        <f t="shared" si="11"/>
        <v>#REF!</v>
      </c>
      <c r="N74" s="295" t="e">
        <f t="shared" si="9"/>
        <v>#REF!</v>
      </c>
      <c r="O74" s="295" t="e">
        <f t="shared" si="10"/>
        <v>#REF!</v>
      </c>
      <c r="P74" s="296" t="s">
        <v>130</v>
      </c>
      <c r="Q74" s="297"/>
      <c r="R74" s="296" t="s">
        <v>75</v>
      </c>
      <c r="S74" s="298" t="e">
        <f t="shared" si="12"/>
        <v>#REF!</v>
      </c>
    </row>
    <row r="75" spans="1:29" ht="11.25" customHeight="1">
      <c r="B75" s="365">
        <v>45737</v>
      </c>
      <c r="C75" s="19" t="s">
        <v>132</v>
      </c>
      <c r="D75" s="21"/>
      <c r="E75" s="20">
        <v>49</v>
      </c>
      <c r="F75" s="57" t="s">
        <v>25</v>
      </c>
      <c r="G75" s="14" t="s">
        <v>26</v>
      </c>
      <c r="H75" s="34"/>
      <c r="I75" s="291"/>
      <c r="J75" s="34"/>
      <c r="K75" s="292">
        <v>98</v>
      </c>
      <c r="L75" s="293" t="e">
        <f>#REF!</f>
        <v>#REF!</v>
      </c>
      <c r="M75" s="397" t="e">
        <f t="shared" si="11"/>
        <v>#REF!</v>
      </c>
      <c r="N75" s="295" t="e">
        <f t="shared" si="9"/>
        <v>#REF!</v>
      </c>
      <c r="O75" s="295" t="e">
        <f t="shared" si="10"/>
        <v>#REF!</v>
      </c>
      <c r="P75" s="296" t="s">
        <v>130</v>
      </c>
      <c r="Q75" s="297"/>
      <c r="R75" s="296" t="s">
        <v>75</v>
      </c>
      <c r="S75" s="298" t="e">
        <f t="shared" si="12"/>
        <v>#REF!</v>
      </c>
    </row>
    <row r="76" spans="1:29" ht="11.25" customHeight="1">
      <c r="B76" s="365">
        <v>45737</v>
      </c>
      <c r="C76" s="19" t="s">
        <v>74</v>
      </c>
      <c r="D76" s="21"/>
      <c r="E76" s="20">
        <v>50</v>
      </c>
      <c r="F76" s="57" t="s">
        <v>25</v>
      </c>
      <c r="G76" s="14" t="s">
        <v>26</v>
      </c>
      <c r="H76" s="34"/>
      <c r="I76" s="291"/>
      <c r="J76" s="34"/>
      <c r="K76" s="292">
        <v>743</v>
      </c>
      <c r="L76" s="293" t="e">
        <f>#REF!</f>
        <v>#REF!</v>
      </c>
      <c r="M76" s="397" t="e">
        <f t="shared" si="11"/>
        <v>#REF!</v>
      </c>
      <c r="N76" s="295" t="e">
        <f t="shared" si="9"/>
        <v>#REF!</v>
      </c>
      <c r="O76" s="295" t="e">
        <f t="shared" si="10"/>
        <v>#REF!</v>
      </c>
      <c r="P76" s="296" t="s">
        <v>130</v>
      </c>
      <c r="Q76" s="297"/>
      <c r="R76" s="296" t="s">
        <v>75</v>
      </c>
      <c r="S76" s="298" t="e">
        <f t="shared" si="12"/>
        <v>#REF!</v>
      </c>
    </row>
    <row r="77" spans="1:29" ht="11.25" customHeight="1">
      <c r="B77" s="365">
        <v>45737</v>
      </c>
      <c r="C77" s="19" t="s">
        <v>73</v>
      </c>
      <c r="D77" s="21"/>
      <c r="E77" s="20">
        <v>51</v>
      </c>
      <c r="F77" s="57" t="s">
        <v>25</v>
      </c>
      <c r="G77" s="14" t="s">
        <v>26</v>
      </c>
      <c r="H77" s="34"/>
      <c r="I77" s="291"/>
      <c r="J77" s="34"/>
      <c r="K77" s="292">
        <v>291</v>
      </c>
      <c r="L77" s="293" t="e">
        <f>#REF!</f>
        <v>#REF!</v>
      </c>
      <c r="M77" s="397" t="e">
        <f t="shared" si="11"/>
        <v>#REF!</v>
      </c>
      <c r="N77" s="295" t="e">
        <f t="shared" si="9"/>
        <v>#REF!</v>
      </c>
      <c r="O77" s="295" t="e">
        <f t="shared" si="10"/>
        <v>#REF!</v>
      </c>
      <c r="P77" s="296" t="s">
        <v>130</v>
      </c>
      <c r="Q77" s="297"/>
      <c r="R77" s="296" t="s">
        <v>75</v>
      </c>
      <c r="S77" s="298" t="e">
        <f t="shared" si="12"/>
        <v>#REF!</v>
      </c>
    </row>
    <row r="78" spans="1:29" ht="11.25" customHeight="1">
      <c r="B78" s="365">
        <v>45737</v>
      </c>
      <c r="C78" s="19" t="s">
        <v>49</v>
      </c>
      <c r="D78" s="21"/>
      <c r="E78" s="20">
        <v>52</v>
      </c>
      <c r="F78" s="57" t="s">
        <v>32</v>
      </c>
      <c r="G78" s="14"/>
      <c r="H78" s="34"/>
      <c r="I78" s="291"/>
      <c r="J78" s="34"/>
      <c r="K78" s="292">
        <v>3.6</v>
      </c>
      <c r="L78" s="293" t="e">
        <f>#REF!</f>
        <v>#REF!</v>
      </c>
      <c r="M78" s="397" t="e">
        <f t="shared" si="11"/>
        <v>#REF!</v>
      </c>
      <c r="N78" s="295" t="e">
        <f t="shared" si="9"/>
        <v>#REF!</v>
      </c>
      <c r="O78" s="295" t="e">
        <f t="shared" si="10"/>
        <v>#REF!</v>
      </c>
      <c r="P78" s="296" t="s">
        <v>130</v>
      </c>
      <c r="Q78" s="297"/>
      <c r="R78" s="296" t="s">
        <v>75</v>
      </c>
      <c r="S78" s="298" t="e">
        <f t="shared" si="12"/>
        <v>#REF!</v>
      </c>
    </row>
    <row r="79" spans="1:29" ht="11.25" customHeight="1">
      <c r="B79" s="365">
        <v>45740</v>
      </c>
      <c r="C79" s="19" t="s">
        <v>80</v>
      </c>
      <c r="D79" s="21"/>
      <c r="E79" s="20">
        <v>53</v>
      </c>
      <c r="F79" s="57" t="s">
        <v>32</v>
      </c>
      <c r="G79" s="14"/>
      <c r="H79" s="34"/>
      <c r="I79" s="291"/>
      <c r="J79" s="34"/>
      <c r="K79" s="292">
        <v>16000</v>
      </c>
      <c r="L79" s="293" t="e">
        <f>#REF!</f>
        <v>#REF!</v>
      </c>
      <c r="M79" s="397" t="e">
        <f t="shared" si="11"/>
        <v>#REF!</v>
      </c>
      <c r="N79" s="295" t="e">
        <f t="shared" si="9"/>
        <v>#REF!</v>
      </c>
      <c r="O79" s="295" t="e">
        <f t="shared" si="10"/>
        <v>#REF!</v>
      </c>
      <c r="P79" s="296" t="s">
        <v>130</v>
      </c>
      <c r="Q79" s="297"/>
      <c r="R79" s="296" t="s">
        <v>76</v>
      </c>
      <c r="S79" s="298" t="e">
        <f t="shared" si="12"/>
        <v>#REF!</v>
      </c>
    </row>
    <row r="80" spans="1:29" ht="11.25" customHeight="1">
      <c r="B80" s="365">
        <v>45740</v>
      </c>
      <c r="C80" s="19" t="s">
        <v>81</v>
      </c>
      <c r="D80" s="21"/>
      <c r="E80" s="20">
        <v>53</v>
      </c>
      <c r="F80" s="57" t="s">
        <v>32</v>
      </c>
      <c r="G80" s="14"/>
      <c r="H80" s="34"/>
      <c r="I80" s="291"/>
      <c r="J80" s="34"/>
      <c r="K80" s="292">
        <v>24000</v>
      </c>
      <c r="L80" s="293" t="e">
        <f>#REF!</f>
        <v>#REF!</v>
      </c>
      <c r="M80" s="397" t="e">
        <f t="shared" si="11"/>
        <v>#REF!</v>
      </c>
      <c r="N80" s="295" t="e">
        <f t="shared" si="9"/>
        <v>#REF!</v>
      </c>
      <c r="O80" s="295" t="e">
        <f t="shared" si="10"/>
        <v>#REF!</v>
      </c>
      <c r="P80" s="296" t="s">
        <v>130</v>
      </c>
      <c r="Q80" s="297"/>
      <c r="R80" s="296" t="s">
        <v>76</v>
      </c>
      <c r="S80" s="298" t="e">
        <f t="shared" si="12"/>
        <v>#REF!</v>
      </c>
    </row>
    <row r="81" spans="2:19" ht="11.25" customHeight="1">
      <c r="B81" s="365">
        <v>45740</v>
      </c>
      <c r="C81" s="19" t="s">
        <v>82</v>
      </c>
      <c r="D81" s="21"/>
      <c r="E81" s="20">
        <v>53</v>
      </c>
      <c r="F81" s="57" t="s">
        <v>32</v>
      </c>
      <c r="G81" s="14"/>
      <c r="H81" s="34"/>
      <c r="I81" s="291"/>
      <c r="J81" s="34"/>
      <c r="K81" s="292">
        <v>5305.1900000000014</v>
      </c>
      <c r="L81" s="293" t="e">
        <f>#REF!</f>
        <v>#REF!</v>
      </c>
      <c r="M81" s="397" t="e">
        <f t="shared" si="11"/>
        <v>#REF!</v>
      </c>
      <c r="N81" s="295" t="e">
        <f t="shared" si="9"/>
        <v>#REF!</v>
      </c>
      <c r="O81" s="295" t="e">
        <f t="shared" si="10"/>
        <v>#REF!</v>
      </c>
      <c r="P81" s="296" t="s">
        <v>130</v>
      </c>
      <c r="Q81" s="297"/>
      <c r="R81" s="296" t="s">
        <v>76</v>
      </c>
      <c r="S81" s="298" t="e">
        <f t="shared" si="12"/>
        <v>#REF!</v>
      </c>
    </row>
    <row r="82" spans="2:19" ht="11.25" customHeight="1">
      <c r="B82" s="365">
        <v>45740</v>
      </c>
      <c r="C82" s="19" t="s">
        <v>83</v>
      </c>
      <c r="D82" s="21"/>
      <c r="E82" s="20">
        <v>53</v>
      </c>
      <c r="F82" s="57" t="s">
        <v>32</v>
      </c>
      <c r="G82" s="14"/>
      <c r="H82" s="34"/>
      <c r="I82" s="291"/>
      <c r="J82" s="34"/>
      <c r="K82" s="292">
        <v>3336.7999999999988</v>
      </c>
      <c r="L82" s="293" t="e">
        <f>#REF!</f>
        <v>#REF!</v>
      </c>
      <c r="M82" s="397" t="e">
        <f t="shared" si="11"/>
        <v>#REF!</v>
      </c>
      <c r="N82" s="295" t="e">
        <f t="shared" si="9"/>
        <v>#REF!</v>
      </c>
      <c r="O82" s="295" t="e">
        <f t="shared" si="10"/>
        <v>#REF!</v>
      </c>
      <c r="P82" s="296" t="s">
        <v>130</v>
      </c>
      <c r="Q82" s="297"/>
      <c r="R82" s="296" t="s">
        <v>76</v>
      </c>
      <c r="S82" s="298" t="e">
        <f t="shared" si="12"/>
        <v>#REF!</v>
      </c>
    </row>
    <row r="83" spans="2:19" ht="11.25" customHeight="1">
      <c r="B83" s="365">
        <v>45740</v>
      </c>
      <c r="C83" s="19" t="s">
        <v>84</v>
      </c>
      <c r="D83" s="21"/>
      <c r="E83" s="20">
        <v>53</v>
      </c>
      <c r="F83" s="57" t="s">
        <v>32</v>
      </c>
      <c r="G83" s="14"/>
      <c r="H83" s="34"/>
      <c r="I83" s="291"/>
      <c r="J83" s="34"/>
      <c r="K83" s="292">
        <v>300</v>
      </c>
      <c r="L83" s="293" t="e">
        <f>#REF!</f>
        <v>#REF!</v>
      </c>
      <c r="M83" s="397" t="e">
        <f t="shared" si="11"/>
        <v>#REF!</v>
      </c>
      <c r="N83" s="295" t="e">
        <f t="shared" si="9"/>
        <v>#REF!</v>
      </c>
      <c r="O83" s="295" t="e">
        <f t="shared" si="10"/>
        <v>#REF!</v>
      </c>
      <c r="P83" s="296" t="s">
        <v>130</v>
      </c>
      <c r="Q83" s="297"/>
      <c r="R83" s="296" t="s">
        <v>76</v>
      </c>
      <c r="S83" s="298" t="e">
        <f t="shared" si="12"/>
        <v>#REF!</v>
      </c>
    </row>
    <row r="84" spans="2:19" ht="11.25" customHeight="1">
      <c r="B84" s="365">
        <v>45740</v>
      </c>
      <c r="C84" s="19" t="s">
        <v>80</v>
      </c>
      <c r="D84" s="21"/>
      <c r="E84" s="20">
        <v>53</v>
      </c>
      <c r="F84" s="57" t="s">
        <v>32</v>
      </c>
      <c r="G84" s="14"/>
      <c r="H84" s="34"/>
      <c r="I84" s="291"/>
      <c r="J84" s="34"/>
      <c r="K84" s="292">
        <v>16000</v>
      </c>
      <c r="L84" s="293" t="e">
        <f>#REF!</f>
        <v>#REF!</v>
      </c>
      <c r="M84" s="397" t="e">
        <f t="shared" si="11"/>
        <v>#REF!</v>
      </c>
      <c r="N84" s="295" t="e">
        <f t="shared" ref="N84:N104" si="13">N83+H84-K84</f>
        <v>#REF!</v>
      </c>
      <c r="O84" s="295" t="e">
        <f t="shared" ref="O84:O104" si="14">O83+J84-M84</f>
        <v>#REF!</v>
      </c>
      <c r="P84" s="296" t="s">
        <v>130</v>
      </c>
      <c r="Q84" s="297"/>
      <c r="R84" s="296" t="s">
        <v>60</v>
      </c>
      <c r="S84" s="298" t="e">
        <f t="shared" si="12"/>
        <v>#REF!</v>
      </c>
    </row>
    <row r="85" spans="2:19" ht="11.25" customHeight="1">
      <c r="B85" s="365">
        <v>45740</v>
      </c>
      <c r="C85" s="19" t="s">
        <v>81</v>
      </c>
      <c r="D85" s="21"/>
      <c r="E85" s="20">
        <v>53</v>
      </c>
      <c r="F85" s="57" t="s">
        <v>32</v>
      </c>
      <c r="G85" s="14"/>
      <c r="H85" s="34"/>
      <c r="I85" s="291"/>
      <c r="J85" s="34"/>
      <c r="K85" s="292">
        <v>24000</v>
      </c>
      <c r="L85" s="293" t="e">
        <f>#REF!</f>
        <v>#REF!</v>
      </c>
      <c r="M85" s="397" t="e">
        <f t="shared" si="11"/>
        <v>#REF!</v>
      </c>
      <c r="N85" s="295" t="e">
        <f t="shared" si="13"/>
        <v>#REF!</v>
      </c>
      <c r="O85" s="295" t="e">
        <f t="shared" si="14"/>
        <v>#REF!</v>
      </c>
      <c r="P85" s="296" t="s">
        <v>130</v>
      </c>
      <c r="Q85" s="297"/>
      <c r="R85" s="296" t="s">
        <v>60</v>
      </c>
      <c r="S85" s="298" t="e">
        <f t="shared" si="12"/>
        <v>#REF!</v>
      </c>
    </row>
    <row r="86" spans="2:19" ht="11.25" customHeight="1">
      <c r="B86" s="365">
        <v>45740</v>
      </c>
      <c r="C86" s="19" t="s">
        <v>82</v>
      </c>
      <c r="D86" s="21"/>
      <c r="E86" s="20">
        <v>53</v>
      </c>
      <c r="F86" s="57" t="s">
        <v>32</v>
      </c>
      <c r="G86" s="14"/>
      <c r="H86" s="34"/>
      <c r="I86" s="291"/>
      <c r="J86" s="34"/>
      <c r="K86" s="292">
        <v>10463.19</v>
      </c>
      <c r="L86" s="293" t="e">
        <f>#REF!</f>
        <v>#REF!</v>
      </c>
      <c r="M86" s="397" t="e">
        <f t="shared" si="11"/>
        <v>#REF!</v>
      </c>
      <c r="N86" s="295" t="e">
        <f t="shared" si="13"/>
        <v>#REF!</v>
      </c>
      <c r="O86" s="295" t="e">
        <f t="shared" si="14"/>
        <v>#REF!</v>
      </c>
      <c r="P86" s="296" t="s">
        <v>130</v>
      </c>
      <c r="Q86" s="297"/>
      <c r="R86" s="296" t="s">
        <v>60</v>
      </c>
      <c r="S86" s="298" t="e">
        <f t="shared" si="12"/>
        <v>#REF!</v>
      </c>
    </row>
    <row r="87" spans="2:19" ht="11.25" customHeight="1">
      <c r="B87" s="365">
        <v>45740</v>
      </c>
      <c r="C87" s="19" t="s">
        <v>83</v>
      </c>
      <c r="D87" s="21"/>
      <c r="E87" s="20">
        <v>53</v>
      </c>
      <c r="F87" s="57" t="s">
        <v>32</v>
      </c>
      <c r="G87" s="14"/>
      <c r="H87" s="34"/>
      <c r="I87" s="291"/>
      <c r="J87" s="34"/>
      <c r="K87" s="292">
        <v>3100.4</v>
      </c>
      <c r="L87" s="293" t="e">
        <f>#REF!</f>
        <v>#REF!</v>
      </c>
      <c r="M87" s="397" t="e">
        <f t="shared" si="11"/>
        <v>#REF!</v>
      </c>
      <c r="N87" s="295" t="e">
        <f t="shared" si="13"/>
        <v>#REF!</v>
      </c>
      <c r="O87" s="295" t="e">
        <f t="shared" si="14"/>
        <v>#REF!</v>
      </c>
      <c r="P87" s="296" t="s">
        <v>130</v>
      </c>
      <c r="Q87" s="297"/>
      <c r="R87" s="296" t="s">
        <v>60</v>
      </c>
      <c r="S87" s="298" t="e">
        <f t="shared" si="12"/>
        <v>#REF!</v>
      </c>
    </row>
    <row r="88" spans="2:19" ht="11.25" customHeight="1">
      <c r="B88" s="365">
        <v>45740</v>
      </c>
      <c r="C88" s="19" t="s">
        <v>84</v>
      </c>
      <c r="D88" s="21"/>
      <c r="E88" s="20">
        <v>53</v>
      </c>
      <c r="F88" s="57" t="s">
        <v>32</v>
      </c>
      <c r="G88" s="14"/>
      <c r="H88" s="34"/>
      <c r="I88" s="291"/>
      <c r="J88" s="34"/>
      <c r="K88" s="292">
        <v>300</v>
      </c>
      <c r="L88" s="293" t="e">
        <f>#REF!</f>
        <v>#REF!</v>
      </c>
      <c r="M88" s="397" t="e">
        <f t="shared" si="11"/>
        <v>#REF!</v>
      </c>
      <c r="N88" s="295" t="e">
        <f t="shared" si="13"/>
        <v>#REF!</v>
      </c>
      <c r="O88" s="295" t="e">
        <f t="shared" si="14"/>
        <v>#REF!</v>
      </c>
      <c r="P88" s="296" t="s">
        <v>130</v>
      </c>
      <c r="Q88" s="297"/>
      <c r="R88" s="296" t="s">
        <v>60</v>
      </c>
      <c r="S88" s="298" t="e">
        <f t="shared" si="12"/>
        <v>#REF!</v>
      </c>
    </row>
    <row r="89" spans="2:19" ht="11.25" customHeight="1">
      <c r="B89" s="365">
        <v>45740</v>
      </c>
      <c r="C89" s="19" t="s">
        <v>85</v>
      </c>
      <c r="D89" s="21"/>
      <c r="E89" s="20">
        <v>53</v>
      </c>
      <c r="F89" s="57" t="s">
        <v>32</v>
      </c>
      <c r="G89" s="14"/>
      <c r="H89" s="34"/>
      <c r="I89" s="291"/>
      <c r="J89" s="34"/>
      <c r="K89" s="292">
        <v>25750</v>
      </c>
      <c r="L89" s="293" t="e">
        <f>#REF!</f>
        <v>#REF!</v>
      </c>
      <c r="M89" s="397" t="e">
        <f t="shared" si="11"/>
        <v>#REF!</v>
      </c>
      <c r="N89" s="295" t="e">
        <f t="shared" si="13"/>
        <v>#REF!</v>
      </c>
      <c r="O89" s="295" t="e">
        <f t="shared" si="14"/>
        <v>#REF!</v>
      </c>
      <c r="P89" s="296" t="s">
        <v>130</v>
      </c>
      <c r="Q89" s="297"/>
      <c r="R89" s="296" t="s">
        <v>62</v>
      </c>
      <c r="S89" s="298" t="e">
        <f t="shared" si="12"/>
        <v>#REF!</v>
      </c>
    </row>
    <row r="90" spans="2:19" ht="11.25" customHeight="1">
      <c r="B90" s="365">
        <v>45740</v>
      </c>
      <c r="C90" s="19" t="s">
        <v>88</v>
      </c>
      <c r="D90" s="21"/>
      <c r="E90" s="20">
        <v>53</v>
      </c>
      <c r="F90" s="57" t="s">
        <v>32</v>
      </c>
      <c r="G90" s="14"/>
      <c r="H90" s="34"/>
      <c r="I90" s="291"/>
      <c r="J90" s="34"/>
      <c r="K90" s="292">
        <v>7431.44</v>
      </c>
      <c r="L90" s="293" t="e">
        <f>#REF!</f>
        <v>#REF!</v>
      </c>
      <c r="M90" s="397" t="e">
        <f t="shared" si="11"/>
        <v>#REF!</v>
      </c>
      <c r="N90" s="295" t="e">
        <f t="shared" si="13"/>
        <v>#REF!</v>
      </c>
      <c r="O90" s="295" t="e">
        <f t="shared" si="14"/>
        <v>#REF!</v>
      </c>
      <c r="P90" s="296" t="s">
        <v>130</v>
      </c>
      <c r="Q90" s="297"/>
      <c r="R90" s="296" t="s">
        <v>62</v>
      </c>
      <c r="S90" s="298" t="e">
        <f t="shared" si="12"/>
        <v>#REF!</v>
      </c>
    </row>
    <row r="91" spans="2:19" ht="11.25" customHeight="1">
      <c r="B91" s="365">
        <v>45740</v>
      </c>
      <c r="C91" s="19" t="s">
        <v>84</v>
      </c>
      <c r="D91" s="21"/>
      <c r="E91" s="20">
        <v>53</v>
      </c>
      <c r="F91" s="57" t="s">
        <v>32</v>
      </c>
      <c r="G91" s="14"/>
      <c r="H91" s="34"/>
      <c r="I91" s="291"/>
      <c r="J91" s="34"/>
      <c r="K91" s="292">
        <v>300</v>
      </c>
      <c r="L91" s="293" t="e">
        <f>#REF!</f>
        <v>#REF!</v>
      </c>
      <c r="M91" s="397" t="e">
        <f t="shared" si="11"/>
        <v>#REF!</v>
      </c>
      <c r="N91" s="295" t="e">
        <f t="shared" si="13"/>
        <v>#REF!</v>
      </c>
      <c r="O91" s="295" t="e">
        <f t="shared" si="14"/>
        <v>#REF!</v>
      </c>
      <c r="P91" s="296" t="s">
        <v>130</v>
      </c>
      <c r="Q91" s="297"/>
      <c r="R91" s="296" t="s">
        <v>62</v>
      </c>
      <c r="S91" s="298" t="e">
        <f t="shared" si="12"/>
        <v>#REF!</v>
      </c>
    </row>
    <row r="92" spans="2:19" ht="11.25" customHeight="1">
      <c r="B92" s="365">
        <v>45740</v>
      </c>
      <c r="C92" s="19" t="s">
        <v>89</v>
      </c>
      <c r="D92" s="21"/>
      <c r="E92" s="20">
        <v>53</v>
      </c>
      <c r="F92" s="57" t="s">
        <v>32</v>
      </c>
      <c r="G92" s="14"/>
      <c r="H92" s="34"/>
      <c r="I92" s="291"/>
      <c r="J92" s="34"/>
      <c r="K92" s="292">
        <v>300</v>
      </c>
      <c r="L92" s="293" t="e">
        <f>#REF!</f>
        <v>#REF!</v>
      </c>
      <c r="M92" s="397" t="e">
        <f t="shared" si="11"/>
        <v>#REF!</v>
      </c>
      <c r="N92" s="295" t="e">
        <f t="shared" si="13"/>
        <v>#REF!</v>
      </c>
      <c r="O92" s="295" t="e">
        <f t="shared" si="14"/>
        <v>#REF!</v>
      </c>
      <c r="P92" s="296" t="s">
        <v>130</v>
      </c>
      <c r="Q92" s="297"/>
      <c r="R92" s="296" t="s">
        <v>62</v>
      </c>
      <c r="S92" s="298" t="e">
        <f t="shared" si="12"/>
        <v>#REF!</v>
      </c>
    </row>
    <row r="93" spans="2:19" ht="11.25" customHeight="1">
      <c r="B93" s="365">
        <v>45740</v>
      </c>
      <c r="C93" s="19" t="s">
        <v>85</v>
      </c>
      <c r="D93" s="21"/>
      <c r="E93" s="20">
        <v>53</v>
      </c>
      <c r="F93" s="57" t="s">
        <v>32</v>
      </c>
      <c r="G93" s="14"/>
      <c r="H93" s="34"/>
      <c r="I93" s="291"/>
      <c r="J93" s="34"/>
      <c r="K93" s="292">
        <v>13390</v>
      </c>
      <c r="L93" s="293" t="e">
        <f>#REF!</f>
        <v>#REF!</v>
      </c>
      <c r="M93" s="397" t="e">
        <f t="shared" si="11"/>
        <v>#REF!</v>
      </c>
      <c r="N93" s="295" t="e">
        <f t="shared" si="13"/>
        <v>#REF!</v>
      </c>
      <c r="O93" s="295" t="e">
        <f t="shared" si="14"/>
        <v>#REF!</v>
      </c>
      <c r="P93" s="296" t="s">
        <v>130</v>
      </c>
      <c r="Q93" s="297"/>
      <c r="R93" s="296" t="s">
        <v>65</v>
      </c>
      <c r="S93" s="298" t="e">
        <f t="shared" si="12"/>
        <v>#REF!</v>
      </c>
    </row>
    <row r="94" spans="2:19" ht="11.25" customHeight="1">
      <c r="B94" s="365">
        <v>45740</v>
      </c>
      <c r="C94" s="19" t="s">
        <v>88</v>
      </c>
      <c r="D94" s="21"/>
      <c r="E94" s="20">
        <v>53</v>
      </c>
      <c r="F94" s="57" t="s">
        <v>32</v>
      </c>
      <c r="G94" s="14"/>
      <c r="H94" s="34"/>
      <c r="I94" s="291"/>
      <c r="J94" s="34"/>
      <c r="K94" s="292">
        <v>3281.57</v>
      </c>
      <c r="L94" s="293" t="e">
        <f>#REF!</f>
        <v>#REF!</v>
      </c>
      <c r="M94" s="397" t="e">
        <f t="shared" si="11"/>
        <v>#REF!</v>
      </c>
      <c r="N94" s="295" t="e">
        <f t="shared" si="13"/>
        <v>#REF!</v>
      </c>
      <c r="O94" s="295" t="e">
        <f t="shared" si="14"/>
        <v>#REF!</v>
      </c>
      <c r="P94" s="296" t="s">
        <v>130</v>
      </c>
      <c r="Q94" s="297"/>
      <c r="R94" s="296" t="s">
        <v>65</v>
      </c>
      <c r="S94" s="298" t="e">
        <f t="shared" si="12"/>
        <v>#REF!</v>
      </c>
    </row>
    <row r="95" spans="2:19" ht="11.25" customHeight="1">
      <c r="B95" s="365">
        <v>45740</v>
      </c>
      <c r="C95" s="19" t="s">
        <v>84</v>
      </c>
      <c r="D95" s="21"/>
      <c r="E95" s="20">
        <v>53</v>
      </c>
      <c r="F95" s="57" t="s">
        <v>32</v>
      </c>
      <c r="G95" s="14"/>
      <c r="H95" s="34"/>
      <c r="I95" s="291"/>
      <c r="J95" s="34"/>
      <c r="K95" s="292">
        <v>300</v>
      </c>
      <c r="L95" s="293" t="e">
        <f>#REF!</f>
        <v>#REF!</v>
      </c>
      <c r="M95" s="397">
        <v>41.56</v>
      </c>
      <c r="N95" s="295" t="e">
        <f t="shared" si="13"/>
        <v>#REF!</v>
      </c>
      <c r="O95" s="295" t="e">
        <f t="shared" si="14"/>
        <v>#REF!</v>
      </c>
      <c r="P95" s="296" t="s">
        <v>130</v>
      </c>
      <c r="Q95" s="297"/>
      <c r="R95" s="296" t="s">
        <v>65</v>
      </c>
      <c r="S95" s="298" t="e">
        <f t="shared" si="12"/>
        <v>#REF!</v>
      </c>
    </row>
    <row r="96" spans="2:19" ht="11.25" customHeight="1">
      <c r="B96" s="365">
        <v>45740</v>
      </c>
      <c r="C96" s="19" t="s">
        <v>89</v>
      </c>
      <c r="D96" s="21"/>
      <c r="E96" s="20">
        <v>53</v>
      </c>
      <c r="F96" s="57" t="s">
        <v>32</v>
      </c>
      <c r="G96" s="14"/>
      <c r="H96" s="34"/>
      <c r="I96" s="291"/>
      <c r="J96" s="34"/>
      <c r="K96" s="292">
        <v>900</v>
      </c>
      <c r="L96" s="293" t="e">
        <f>#REF!</f>
        <v>#REF!</v>
      </c>
      <c r="M96" s="397" t="e">
        <f t="shared" ref="M96:M104" si="15">K96/L96</f>
        <v>#REF!</v>
      </c>
      <c r="N96" s="295" t="e">
        <f t="shared" si="13"/>
        <v>#REF!</v>
      </c>
      <c r="O96" s="295" t="e">
        <f t="shared" si="14"/>
        <v>#REF!</v>
      </c>
      <c r="P96" s="296" t="s">
        <v>130</v>
      </c>
      <c r="Q96" s="297"/>
      <c r="R96" s="296" t="s">
        <v>65</v>
      </c>
      <c r="S96" s="298" t="e">
        <f t="shared" si="12"/>
        <v>#REF!</v>
      </c>
    </row>
    <row r="97" spans="2:19" ht="11.25" customHeight="1">
      <c r="B97" s="365">
        <v>45740</v>
      </c>
      <c r="C97" s="19" t="s">
        <v>85</v>
      </c>
      <c r="D97" s="21"/>
      <c r="E97" s="20">
        <v>53</v>
      </c>
      <c r="F97" s="57" t="s">
        <v>32</v>
      </c>
      <c r="G97" s="14"/>
      <c r="H97" s="34"/>
      <c r="I97" s="291"/>
      <c r="J97" s="34"/>
      <c r="K97" s="292">
        <v>25750</v>
      </c>
      <c r="L97" s="293" t="e">
        <f>#REF!</f>
        <v>#REF!</v>
      </c>
      <c r="M97" s="397" t="e">
        <f t="shared" si="15"/>
        <v>#REF!</v>
      </c>
      <c r="N97" s="295" t="e">
        <f t="shared" si="13"/>
        <v>#REF!</v>
      </c>
      <c r="O97" s="295" t="e">
        <f t="shared" si="14"/>
        <v>#REF!</v>
      </c>
      <c r="P97" s="296" t="s">
        <v>130</v>
      </c>
      <c r="Q97" s="297"/>
      <c r="R97" s="296" t="s">
        <v>133</v>
      </c>
      <c r="S97" s="298" t="e">
        <f t="shared" si="12"/>
        <v>#REF!</v>
      </c>
    </row>
    <row r="98" spans="2:19" ht="11.25" customHeight="1">
      <c r="B98" s="365">
        <v>45740</v>
      </c>
      <c r="C98" s="19" t="s">
        <v>88</v>
      </c>
      <c r="D98" s="21"/>
      <c r="E98" s="20">
        <v>53</v>
      </c>
      <c r="F98" s="57" t="s">
        <v>32</v>
      </c>
      <c r="G98" s="14"/>
      <c r="H98" s="34"/>
      <c r="I98" s="291"/>
      <c r="J98" s="34"/>
      <c r="K98" s="292">
        <v>7431.44</v>
      </c>
      <c r="L98" s="293" t="e">
        <f>#REF!</f>
        <v>#REF!</v>
      </c>
      <c r="M98" s="397" t="e">
        <f t="shared" si="15"/>
        <v>#REF!</v>
      </c>
      <c r="N98" s="295" t="e">
        <f t="shared" si="13"/>
        <v>#REF!</v>
      </c>
      <c r="O98" s="295" t="e">
        <f t="shared" si="14"/>
        <v>#REF!</v>
      </c>
      <c r="P98" s="296" t="s">
        <v>130</v>
      </c>
      <c r="Q98" s="297"/>
      <c r="R98" s="296" t="s">
        <v>133</v>
      </c>
      <c r="S98" s="298" t="e">
        <f t="shared" si="12"/>
        <v>#REF!</v>
      </c>
    </row>
    <row r="99" spans="2:19" ht="11.25" customHeight="1">
      <c r="B99" s="365">
        <v>45740</v>
      </c>
      <c r="C99" s="19" t="s">
        <v>84</v>
      </c>
      <c r="D99" s="21"/>
      <c r="E99" s="20">
        <v>53</v>
      </c>
      <c r="F99" s="57" t="s">
        <v>32</v>
      </c>
      <c r="G99" s="14"/>
      <c r="H99" s="34"/>
      <c r="I99" s="291"/>
      <c r="J99" s="34"/>
      <c r="K99" s="292">
        <v>300</v>
      </c>
      <c r="L99" s="293" t="e">
        <f>#REF!</f>
        <v>#REF!</v>
      </c>
      <c r="M99" s="397" t="e">
        <f t="shared" si="15"/>
        <v>#REF!</v>
      </c>
      <c r="N99" s="295" t="e">
        <f t="shared" si="13"/>
        <v>#REF!</v>
      </c>
      <c r="O99" s="295" t="e">
        <f t="shared" si="14"/>
        <v>#REF!</v>
      </c>
      <c r="P99" s="296" t="s">
        <v>130</v>
      </c>
      <c r="Q99" s="297"/>
      <c r="R99" s="296" t="s">
        <v>133</v>
      </c>
      <c r="S99" s="298" t="e">
        <f t="shared" si="12"/>
        <v>#REF!</v>
      </c>
    </row>
    <row r="100" spans="2:19" ht="11.25" customHeight="1">
      <c r="B100" s="365">
        <v>45740</v>
      </c>
      <c r="C100" s="19" t="s">
        <v>85</v>
      </c>
      <c r="D100" s="21"/>
      <c r="E100" s="20">
        <v>53</v>
      </c>
      <c r="F100" s="57" t="s">
        <v>32</v>
      </c>
      <c r="G100" s="14"/>
      <c r="H100" s="34"/>
      <c r="I100" s="291"/>
      <c r="J100" s="34"/>
      <c r="K100" s="292">
        <v>21300</v>
      </c>
      <c r="L100" s="293" t="e">
        <f>#REF!</f>
        <v>#REF!</v>
      </c>
      <c r="M100" s="397" t="e">
        <f t="shared" si="15"/>
        <v>#REF!</v>
      </c>
      <c r="N100" s="295" t="e">
        <f t="shared" si="13"/>
        <v>#REF!</v>
      </c>
      <c r="O100" s="295" t="e">
        <f t="shared" si="14"/>
        <v>#REF!</v>
      </c>
      <c r="P100" s="296" t="s">
        <v>130</v>
      </c>
      <c r="Q100" s="297"/>
      <c r="R100" s="296" t="s">
        <v>134</v>
      </c>
      <c r="S100" s="298" t="e">
        <f t="shared" si="12"/>
        <v>#REF!</v>
      </c>
    </row>
    <row r="101" spans="2:19" ht="11.25" customHeight="1">
      <c r="B101" s="365">
        <v>45740</v>
      </c>
      <c r="C101" s="19" t="s">
        <v>88</v>
      </c>
      <c r="D101" s="21"/>
      <c r="E101" s="20">
        <v>53</v>
      </c>
      <c r="F101" s="57" t="s">
        <v>32</v>
      </c>
      <c r="G101" s="14"/>
      <c r="H101" s="34"/>
      <c r="I101" s="291"/>
      <c r="J101" s="34"/>
      <c r="K101" s="292">
        <v>5941.29</v>
      </c>
      <c r="L101" s="293" t="e">
        <f>#REF!</f>
        <v>#REF!</v>
      </c>
      <c r="M101" s="397" t="e">
        <f t="shared" si="15"/>
        <v>#REF!</v>
      </c>
      <c r="N101" s="295" t="e">
        <f t="shared" si="13"/>
        <v>#REF!</v>
      </c>
      <c r="O101" s="295" t="e">
        <f t="shared" si="14"/>
        <v>#REF!</v>
      </c>
      <c r="P101" s="296" t="s">
        <v>130</v>
      </c>
      <c r="Q101" s="297"/>
      <c r="R101" s="296" t="s">
        <v>134</v>
      </c>
      <c r="S101" s="298" t="e">
        <f t="shared" si="12"/>
        <v>#REF!</v>
      </c>
    </row>
    <row r="102" spans="2:19" ht="11.25" customHeight="1">
      <c r="B102" s="365">
        <v>45740</v>
      </c>
      <c r="C102" s="19" t="s">
        <v>84</v>
      </c>
      <c r="D102" s="21"/>
      <c r="E102" s="20">
        <v>53</v>
      </c>
      <c r="F102" s="57" t="s">
        <v>32</v>
      </c>
      <c r="G102" s="14"/>
      <c r="H102" s="34"/>
      <c r="I102" s="291"/>
      <c r="J102" s="34"/>
      <c r="K102" s="292">
        <v>300</v>
      </c>
      <c r="L102" s="293" t="e">
        <f>#REF!</f>
        <v>#REF!</v>
      </c>
      <c r="M102" s="397" t="e">
        <f t="shared" si="15"/>
        <v>#REF!</v>
      </c>
      <c r="N102" s="295" t="e">
        <f t="shared" si="13"/>
        <v>#REF!</v>
      </c>
      <c r="O102" s="295" t="e">
        <f t="shared" si="14"/>
        <v>#REF!</v>
      </c>
      <c r="P102" s="296" t="s">
        <v>130</v>
      </c>
      <c r="Q102" s="297"/>
      <c r="R102" s="296" t="s">
        <v>134</v>
      </c>
      <c r="S102" s="298" t="e">
        <f t="shared" si="12"/>
        <v>#REF!</v>
      </c>
    </row>
    <row r="103" spans="2:19" ht="11.25" customHeight="1">
      <c r="B103" s="365">
        <v>45740</v>
      </c>
      <c r="C103" s="19" t="s">
        <v>89</v>
      </c>
      <c r="D103" s="21"/>
      <c r="E103" s="20">
        <v>53</v>
      </c>
      <c r="F103" s="57" t="s">
        <v>32</v>
      </c>
      <c r="G103" s="14"/>
      <c r="H103" s="34"/>
      <c r="I103" s="291"/>
      <c r="J103" s="34"/>
      <c r="K103" s="292">
        <v>1000</v>
      </c>
      <c r="L103" s="293" t="e">
        <f>#REF!</f>
        <v>#REF!</v>
      </c>
      <c r="M103" s="397" t="e">
        <f t="shared" si="15"/>
        <v>#REF!</v>
      </c>
      <c r="N103" s="295" t="e">
        <f t="shared" si="13"/>
        <v>#REF!</v>
      </c>
      <c r="O103" s="295" t="e">
        <f t="shared" si="14"/>
        <v>#REF!</v>
      </c>
      <c r="P103" s="296" t="s">
        <v>130</v>
      </c>
      <c r="Q103" s="297"/>
      <c r="R103" s="296" t="s">
        <v>134</v>
      </c>
      <c r="S103" s="298" t="e">
        <f t="shared" si="12"/>
        <v>#REF!</v>
      </c>
    </row>
    <row r="104" spans="2:19" ht="11.25" customHeight="1">
      <c r="B104" s="365">
        <v>45740</v>
      </c>
      <c r="C104" s="19" t="s">
        <v>49</v>
      </c>
      <c r="D104" s="21"/>
      <c r="E104" s="20">
        <v>54</v>
      </c>
      <c r="F104" s="57" t="s">
        <v>32</v>
      </c>
      <c r="G104" s="14"/>
      <c r="H104" s="34"/>
      <c r="I104" s="291"/>
      <c r="J104" s="34"/>
      <c r="K104" s="292">
        <v>12</v>
      </c>
      <c r="L104" s="293" t="e">
        <f>#REF!</f>
        <v>#REF!</v>
      </c>
      <c r="M104" s="397" t="e">
        <f t="shared" si="15"/>
        <v>#REF!</v>
      </c>
      <c r="N104" s="294" t="e">
        <f t="shared" si="13"/>
        <v>#REF!</v>
      </c>
      <c r="O104" s="294" t="e">
        <f t="shared" si="14"/>
        <v>#REF!</v>
      </c>
      <c r="P104" s="296" t="s">
        <v>130</v>
      </c>
      <c r="Q104" s="297"/>
      <c r="R104" s="297"/>
      <c r="S104" s="398" t="e">
        <f t="shared" si="12"/>
        <v>#REF!</v>
      </c>
    </row>
    <row r="105" spans="2:19" ht="11.25" customHeight="1">
      <c r="M105" s="399"/>
    </row>
    <row r="106" spans="2:19" ht="11.25" customHeight="1">
      <c r="M106" s="399"/>
    </row>
  </sheetData>
  <autoFilter ref="B18:R104" xr:uid="{00000000-0009-0000-0000-000003000000}">
    <filterColumn colId="14" showButton="0"/>
    <sortState xmlns:xlrd2="http://schemas.microsoft.com/office/spreadsheetml/2017/richdata2" ref="B19:R104">
      <sortCondition sortBy="cellColor" ref="M18:M104" dxfId="3"/>
    </sortState>
  </autoFilter>
  <mergeCells count="5">
    <mergeCell ref="N17:O17"/>
    <mergeCell ref="P18:Q18"/>
    <mergeCell ref="P17:Q17"/>
    <mergeCell ref="K17:M17"/>
    <mergeCell ref="H17:J17"/>
  </mergeCells>
  <phoneticPr fontId="3" type="noConversion"/>
  <pageMargins left="0.7" right="0.7" top="0.75" bottom="0.75" header="0.3" footer="0.3"/>
  <pageSetup paperSize="256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000"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13" customWidth="1"/>
    <col min="2" max="2" width="9.75" style="186" customWidth="1"/>
    <col min="3" max="3" width="24" style="200" customWidth="1"/>
    <col min="4" max="4" width="9.75" style="198" customWidth="1"/>
    <col min="5" max="5" width="12.125" style="198" customWidth="1"/>
    <col min="6" max="6" width="12.5" style="198" customWidth="1"/>
    <col min="7" max="7" width="9.875" style="188" customWidth="1"/>
    <col min="8" max="8" width="9.75" style="198" customWidth="1"/>
    <col min="9" max="9" width="9.875" style="198" customWidth="1"/>
    <col min="10" max="10" width="10.5" style="188" customWidth="1"/>
    <col min="11" max="11" width="11" style="250" customWidth="1"/>
    <col min="12" max="12" width="11.125" style="198" customWidth="1"/>
    <col min="13" max="13" width="9.75" style="198" customWidth="1"/>
    <col min="14" max="14" width="12.375" style="198" customWidth="1"/>
    <col min="15" max="15" width="9.875" style="198" customWidth="1"/>
    <col min="16" max="16" width="10.75" style="198" customWidth="1"/>
    <col min="17" max="17" width="9.625" style="198" customWidth="1"/>
    <col min="18" max="18" width="31.5" style="188" customWidth="1"/>
    <col min="19" max="19" width="10.5" style="12" bestFit="1" customWidth="1"/>
    <col min="20" max="20" width="9" style="198" customWidth="1"/>
    <col min="21" max="21" width="9" style="323" customWidth="1"/>
    <col min="22" max="22" width="9" style="198" customWidth="1"/>
    <col min="23" max="16384" width="9" style="198"/>
  </cols>
  <sheetData>
    <row r="1" spans="1:29" ht="4.5" customHeight="1">
      <c r="A1" s="9"/>
      <c r="B1" s="324"/>
      <c r="C1" s="372"/>
      <c r="D1" s="325"/>
      <c r="E1" s="326"/>
      <c r="F1" s="326"/>
      <c r="G1" s="327"/>
      <c r="H1" s="326"/>
      <c r="I1" s="326"/>
      <c r="J1" s="328"/>
      <c r="K1" s="373"/>
      <c r="L1" s="326"/>
      <c r="M1" s="329"/>
      <c r="N1" s="329"/>
      <c r="O1" s="325"/>
      <c r="P1" s="330"/>
      <c r="Q1" s="330"/>
      <c r="R1" s="331"/>
      <c r="S1" s="10"/>
    </row>
    <row r="2" spans="1:29" ht="15" customHeight="1">
      <c r="B2" s="332" t="s">
        <v>135</v>
      </c>
      <c r="D2" s="200"/>
      <c r="F2" s="201"/>
      <c r="G2" s="188" t="s">
        <v>13</v>
      </c>
      <c r="H2" s="40" t="s">
        <v>14</v>
      </c>
      <c r="I2" s="202"/>
      <c r="J2" s="202"/>
      <c r="K2" s="374"/>
      <c r="L2" s="202"/>
      <c r="M2" s="202"/>
      <c r="N2" s="204"/>
      <c r="O2" s="205"/>
      <c r="Q2" s="202"/>
    </row>
    <row r="3" spans="1:29" s="206" customFormat="1" ht="11.25" customHeight="1">
      <c r="A3" s="11"/>
      <c r="B3" s="207" t="s">
        <v>125</v>
      </c>
      <c r="C3" s="208"/>
      <c r="D3" s="208"/>
      <c r="E3" s="208"/>
      <c r="F3" s="31">
        <v>1446.3</v>
      </c>
      <c r="G3" s="209"/>
      <c r="H3" s="207" t="s">
        <v>136</v>
      </c>
      <c r="I3" s="208"/>
      <c r="K3" s="375"/>
      <c r="L3" s="31">
        <v>1482.9</v>
      </c>
      <c r="N3" s="207"/>
      <c r="O3" s="207"/>
      <c r="P3" s="207"/>
      <c r="Q3" s="207"/>
      <c r="R3" s="207"/>
      <c r="T3" s="207"/>
      <c r="U3" s="208"/>
      <c r="V3" s="210"/>
      <c r="W3" s="210"/>
      <c r="X3" s="211">
        <v>1327.2</v>
      </c>
    </row>
    <row r="4" spans="1:29" ht="11.25" customHeight="1">
      <c r="A4" s="9"/>
      <c r="B4" s="212" t="s">
        <v>18</v>
      </c>
      <c r="C4" s="376" t="s">
        <v>19</v>
      </c>
      <c r="D4" s="213" t="s">
        <v>20</v>
      </c>
      <c r="E4" s="214" t="s">
        <v>21</v>
      </c>
      <c r="F4" s="215" t="s">
        <v>22</v>
      </c>
      <c r="H4" s="212" t="s">
        <v>18</v>
      </c>
      <c r="I4" s="213" t="s">
        <v>19</v>
      </c>
      <c r="J4" s="216" t="s">
        <v>20</v>
      </c>
      <c r="K4" s="217" t="s">
        <v>21</v>
      </c>
      <c r="L4" s="215" t="s">
        <v>22</v>
      </c>
      <c r="M4" s="218"/>
      <c r="N4" s="207"/>
      <c r="O4" s="207"/>
      <c r="P4" s="207"/>
      <c r="Q4" s="207"/>
      <c r="R4" s="207"/>
      <c r="U4" s="198"/>
    </row>
    <row r="5" spans="1:29" ht="11.25" customHeight="1">
      <c r="A5" s="12">
        <v>51131050</v>
      </c>
      <c r="B5" s="219" t="s">
        <v>23</v>
      </c>
      <c r="C5" s="220" t="s">
        <v>24</v>
      </c>
      <c r="D5" s="221"/>
      <c r="E5" s="222"/>
      <c r="F5" s="223">
        <f t="shared" ref="F5:F10" si="0">ROUND(E5*$F$3,0)</f>
        <v>0</v>
      </c>
      <c r="G5" s="224"/>
      <c r="H5" s="225" t="s">
        <v>23</v>
      </c>
      <c r="I5" s="225" t="s">
        <v>24</v>
      </c>
      <c r="J5" s="226">
        <v>19195.400000000001</v>
      </c>
      <c r="K5" s="377">
        <v>2619.0300000000002</v>
      </c>
      <c r="L5" s="223">
        <f t="shared" ref="L5:L12" si="1">ROUND(K5*$L$3,0)</f>
        <v>3883760</v>
      </c>
      <c r="M5" s="400">
        <f t="shared" ref="M5:M13" si="2">L5+F5</f>
        <v>3883760</v>
      </c>
      <c r="N5" s="207"/>
      <c r="O5" s="207"/>
      <c r="P5" s="207"/>
      <c r="Q5" s="207"/>
      <c r="R5" s="207"/>
      <c r="S5" s="228">
        <f t="shared" ref="S5:S13" si="3">F5+L5+R5</f>
        <v>3883760</v>
      </c>
      <c r="U5" s="198"/>
    </row>
    <row r="6" spans="1:29" ht="11.25" customHeight="1">
      <c r="A6" s="12">
        <v>51061030</v>
      </c>
      <c r="B6" s="219" t="s">
        <v>25</v>
      </c>
      <c r="C6" s="220" t="s">
        <v>26</v>
      </c>
      <c r="D6" s="221"/>
      <c r="E6" s="221"/>
      <c r="F6" s="223">
        <f t="shared" si="0"/>
        <v>0</v>
      </c>
      <c r="G6" s="229"/>
      <c r="H6" s="225" t="s">
        <v>25</v>
      </c>
      <c r="I6" s="225" t="s">
        <v>26</v>
      </c>
      <c r="J6" s="226">
        <v>30648.81</v>
      </c>
      <c r="K6" s="377">
        <v>4181.74</v>
      </c>
      <c r="L6" s="223">
        <f t="shared" si="1"/>
        <v>6201102</v>
      </c>
      <c r="M6" s="400">
        <f t="shared" si="2"/>
        <v>6201102</v>
      </c>
      <c r="N6" s="207"/>
      <c r="O6" s="207"/>
      <c r="P6" s="207"/>
      <c r="Q6" s="207"/>
      <c r="R6" s="207"/>
      <c r="S6" s="228">
        <f t="shared" si="3"/>
        <v>6201102</v>
      </c>
      <c r="U6" s="198"/>
      <c r="AB6" s="202"/>
      <c r="AC6" s="188"/>
    </row>
    <row r="7" spans="1:29" ht="11.25" customHeight="1">
      <c r="A7" s="12">
        <v>51201020</v>
      </c>
      <c r="B7" s="219" t="s">
        <v>27</v>
      </c>
      <c r="C7" s="220" t="s">
        <v>28</v>
      </c>
      <c r="D7" s="221">
        <v>142.16999999999999</v>
      </c>
      <c r="E7" s="221">
        <v>19.7</v>
      </c>
      <c r="F7" s="223">
        <f t="shared" si="0"/>
        <v>28492</v>
      </c>
      <c r="G7" s="230"/>
      <c r="H7" s="225" t="s">
        <v>27</v>
      </c>
      <c r="I7" s="225" t="s">
        <v>28</v>
      </c>
      <c r="J7" s="226">
        <v>24914.83</v>
      </c>
      <c r="K7" s="377">
        <v>3399.39</v>
      </c>
      <c r="L7" s="223">
        <f t="shared" si="1"/>
        <v>5040955</v>
      </c>
      <c r="M7" s="400">
        <f t="shared" si="2"/>
        <v>5069447</v>
      </c>
      <c r="N7" s="207"/>
      <c r="O7" s="207"/>
      <c r="P7" s="207"/>
      <c r="Q7" s="207"/>
      <c r="R7" s="207"/>
      <c r="S7" s="228">
        <f t="shared" si="3"/>
        <v>5069447</v>
      </c>
      <c r="U7" s="198"/>
    </row>
    <row r="8" spans="1:29" ht="15" customHeight="1">
      <c r="A8" s="12">
        <v>51201030</v>
      </c>
      <c r="B8" s="219" t="s">
        <v>27</v>
      </c>
      <c r="C8" s="220" t="s">
        <v>29</v>
      </c>
      <c r="D8" s="221"/>
      <c r="E8" s="221"/>
      <c r="F8" s="223">
        <f t="shared" si="0"/>
        <v>0</v>
      </c>
      <c r="G8" s="230"/>
      <c r="H8" s="225" t="s">
        <v>27</v>
      </c>
      <c r="I8" s="220" t="s">
        <v>29</v>
      </c>
      <c r="J8" s="226">
        <v>17500</v>
      </c>
      <c r="K8" s="377">
        <v>2387.71</v>
      </c>
      <c r="L8" s="223">
        <f t="shared" si="1"/>
        <v>3540735</v>
      </c>
      <c r="M8" s="400">
        <f t="shared" si="2"/>
        <v>3540735</v>
      </c>
      <c r="N8" s="207"/>
      <c r="O8" s="207"/>
      <c r="P8" s="207"/>
      <c r="Q8" s="207"/>
      <c r="R8" s="207"/>
      <c r="S8" s="228">
        <f t="shared" si="3"/>
        <v>3540735</v>
      </c>
      <c r="U8" s="198"/>
    </row>
    <row r="9" spans="1:29" ht="11.25" customHeight="1">
      <c r="A9" s="12">
        <v>51071700</v>
      </c>
      <c r="B9" s="219" t="s">
        <v>30</v>
      </c>
      <c r="C9" s="220" t="s">
        <v>31</v>
      </c>
      <c r="D9" s="221"/>
      <c r="E9" s="221"/>
      <c r="F9" s="223">
        <f t="shared" si="0"/>
        <v>0</v>
      </c>
      <c r="G9" s="231"/>
      <c r="H9" s="225" t="s">
        <v>30</v>
      </c>
      <c r="I9" s="220" t="s">
        <v>31</v>
      </c>
      <c r="J9" s="226">
        <v>1469.1</v>
      </c>
      <c r="K9" s="377">
        <v>200.44</v>
      </c>
      <c r="L9" s="223">
        <f t="shared" si="1"/>
        <v>297232</v>
      </c>
      <c r="M9" s="400">
        <f t="shared" si="2"/>
        <v>297232</v>
      </c>
      <c r="N9" s="207"/>
      <c r="O9" s="207"/>
      <c r="P9" s="207"/>
      <c r="Q9" s="207"/>
      <c r="R9" s="207"/>
      <c r="S9" s="228">
        <f t="shared" si="3"/>
        <v>297232</v>
      </c>
      <c r="U9" s="198"/>
    </row>
    <row r="10" spans="1:29" ht="11.25" customHeight="1">
      <c r="A10" s="12">
        <v>51321010</v>
      </c>
      <c r="B10" s="219" t="s">
        <v>32</v>
      </c>
      <c r="C10" s="220"/>
      <c r="D10" s="221">
        <v>52250.879999999997</v>
      </c>
      <c r="E10" s="221">
        <v>7239.17</v>
      </c>
      <c r="F10" s="223">
        <f t="shared" si="0"/>
        <v>10470012</v>
      </c>
      <c r="G10" s="232"/>
      <c r="H10" s="225" t="s">
        <v>32</v>
      </c>
      <c r="I10" s="225"/>
      <c r="J10" s="226">
        <v>265516.81</v>
      </c>
      <c r="K10" s="377">
        <v>36252.26</v>
      </c>
      <c r="L10" s="223">
        <f t="shared" si="1"/>
        <v>53758476</v>
      </c>
      <c r="M10" s="400">
        <f t="shared" si="2"/>
        <v>64228488</v>
      </c>
      <c r="N10" s="207"/>
      <c r="O10" s="207"/>
      <c r="P10" s="207"/>
      <c r="Q10" s="207"/>
      <c r="R10" s="207"/>
      <c r="S10" s="228">
        <f t="shared" si="3"/>
        <v>64228488</v>
      </c>
      <c r="U10" s="198"/>
      <c r="AB10" s="202"/>
      <c r="AC10" s="188"/>
    </row>
    <row r="11" spans="1:29" ht="11.25" customHeight="1">
      <c r="A11" s="12">
        <v>51031020</v>
      </c>
      <c r="B11" s="233" t="s">
        <v>33</v>
      </c>
      <c r="C11" s="378" t="s">
        <v>34</v>
      </c>
      <c r="D11" s="233"/>
      <c r="E11" s="233"/>
      <c r="F11" s="235"/>
      <c r="G11" s="236">
        <f>G13/G12</f>
        <v>1446.3000439462342</v>
      </c>
      <c r="H11" s="233" t="s">
        <v>33</v>
      </c>
      <c r="I11" s="233" t="s">
        <v>35</v>
      </c>
      <c r="J11" s="237"/>
      <c r="K11" s="379"/>
      <c r="L11" s="239">
        <f t="shared" si="1"/>
        <v>0</v>
      </c>
      <c r="M11" s="400">
        <f t="shared" si="2"/>
        <v>0</v>
      </c>
      <c r="N11" s="207"/>
      <c r="O11" s="248"/>
      <c r="P11" s="248"/>
      <c r="Q11" s="248"/>
      <c r="R11" s="207"/>
      <c r="S11" s="228">
        <f t="shared" si="3"/>
        <v>0</v>
      </c>
      <c r="U11" s="198"/>
      <c r="AB11" s="202"/>
      <c r="AC11" s="188"/>
    </row>
    <row r="12" spans="1:29" ht="11.25" customHeight="1">
      <c r="A12" s="12">
        <v>52981010</v>
      </c>
      <c r="B12" s="225" t="s">
        <v>36</v>
      </c>
      <c r="C12" s="220" t="s">
        <v>37</v>
      </c>
      <c r="D12" s="23"/>
      <c r="E12" s="221"/>
      <c r="F12" s="223">
        <f>ROUND(E12*$F$3,0)</f>
        <v>0</v>
      </c>
      <c r="G12" s="240">
        <f>E13+Q13+AB13</f>
        <v>7258.87</v>
      </c>
      <c r="H12" s="225" t="s">
        <v>36</v>
      </c>
      <c r="I12" s="225" t="s">
        <v>37</v>
      </c>
      <c r="J12" s="241"/>
      <c r="K12" s="380"/>
      <c r="L12" s="223">
        <f t="shared" si="1"/>
        <v>0</v>
      </c>
      <c r="M12" s="400">
        <f t="shared" si="2"/>
        <v>0</v>
      </c>
      <c r="N12" s="207"/>
      <c r="O12" s="248"/>
      <c r="P12" s="248"/>
      <c r="Q12" s="248"/>
      <c r="R12" s="207"/>
      <c r="S12" s="228">
        <f t="shared" si="3"/>
        <v>0</v>
      </c>
      <c r="U12" s="198"/>
      <c r="AB12" s="202"/>
      <c r="AC12" s="188"/>
    </row>
    <row r="13" spans="1:29" s="188" customFormat="1" ht="11.25" customHeight="1">
      <c r="A13" s="17"/>
      <c r="B13" s="242" t="s">
        <v>38</v>
      </c>
      <c r="C13" s="381"/>
      <c r="D13" s="244">
        <f>SUM(D5:D11)-D12</f>
        <v>52393.049999999996</v>
      </c>
      <c r="E13" s="382">
        <f>SUM(E5:E11)-E12</f>
        <v>7258.87</v>
      </c>
      <c r="F13" s="245">
        <f>SUM(F5:F11)-F12</f>
        <v>10498504</v>
      </c>
      <c r="G13" s="246">
        <f>F13+R13+AC13</f>
        <v>10498504</v>
      </c>
      <c r="H13" s="242" t="s">
        <v>38</v>
      </c>
      <c r="I13" s="243"/>
      <c r="J13" s="244">
        <f>SUM(J5:J11)-J12</f>
        <v>359244.95</v>
      </c>
      <c r="K13" s="217">
        <f>SUM(K5:K11)-K12</f>
        <v>49040.57</v>
      </c>
      <c r="L13" s="245">
        <f>SUM(L5:L11)-L12</f>
        <v>72722260</v>
      </c>
      <c r="M13" s="227">
        <f t="shared" si="2"/>
        <v>83220764</v>
      </c>
      <c r="N13" s="207"/>
      <c r="O13" s="248"/>
      <c r="P13" s="248"/>
      <c r="Q13" s="248"/>
      <c r="R13" s="207"/>
      <c r="S13" s="228">
        <f t="shared" si="3"/>
        <v>83220764</v>
      </c>
      <c r="U13" s="247"/>
      <c r="X13" s="248">
        <f>F13+R13</f>
        <v>10498504</v>
      </c>
      <c r="Y13" s="249"/>
      <c r="Z13" s="250"/>
      <c r="AB13" s="203"/>
    </row>
    <row r="14" spans="1:29" ht="14.25" customHeight="1">
      <c r="A14" s="9"/>
      <c r="D14" s="383"/>
      <c r="E14" s="383"/>
      <c r="F14" s="384"/>
      <c r="G14" s="252"/>
      <c r="J14" s="253">
        <f>J13+D13+P13</f>
        <v>411638</v>
      </c>
      <c r="K14" s="385">
        <f>K13+E13+Q13</f>
        <v>56299.44</v>
      </c>
      <c r="L14" s="254">
        <f>L13+F13+R13</f>
        <v>83220764</v>
      </c>
      <c r="M14" s="255" t="e">
        <f>M16-E12</f>
        <v>#REF!</v>
      </c>
      <c r="N14" s="207"/>
      <c r="O14" s="248"/>
      <c r="P14" s="248"/>
      <c r="Q14" s="248"/>
      <c r="R14" s="207"/>
      <c r="X14" s="202"/>
      <c r="Y14" s="202"/>
      <c r="AB14" s="202"/>
      <c r="AC14" s="188"/>
    </row>
    <row r="15" spans="1:29" ht="14.25" customHeight="1">
      <c r="A15" s="9"/>
      <c r="D15" s="383"/>
      <c r="E15" s="383"/>
      <c r="F15" s="383"/>
      <c r="G15" s="252"/>
      <c r="J15" s="255" t="e">
        <f>J16-#REF!</f>
        <v>#REF!</v>
      </c>
      <c r="K15" s="255" t="e">
        <f>K16-#REF!</f>
        <v>#REF!</v>
      </c>
      <c r="L15" s="255" t="e">
        <f>L16-#REF!</f>
        <v>#REF!</v>
      </c>
      <c r="M15" s="255" t="e">
        <f>M16-#REF!</f>
        <v>#REF!</v>
      </c>
      <c r="O15" s="248"/>
      <c r="P15" s="248"/>
      <c r="Q15" s="248"/>
      <c r="R15" s="256"/>
      <c r="X15" s="202"/>
      <c r="Y15" s="202"/>
      <c r="AB15" s="202"/>
      <c r="AC15" s="188"/>
    </row>
    <row r="16" spans="1:29" ht="18.75" customHeight="1">
      <c r="A16" s="9"/>
      <c r="D16" s="200"/>
      <c r="E16" s="257"/>
      <c r="F16" s="257"/>
      <c r="G16" s="252"/>
      <c r="I16" s="202"/>
      <c r="J16" s="203"/>
      <c r="K16" s="386">
        <f>SUBTOTAL(9,K19:K105)</f>
        <v>123285</v>
      </c>
      <c r="L16" s="259"/>
      <c r="M16" s="386" t="e">
        <f>SUBTOTAL(9,M19:M105)</f>
        <v>#REF!</v>
      </c>
      <c r="N16" s="202"/>
      <c r="Q16" s="202"/>
    </row>
    <row r="17" spans="1:29" ht="11.25" customHeight="1">
      <c r="A17" s="9"/>
      <c r="B17" s="340" t="s">
        <v>39</v>
      </c>
      <c r="C17" s="387" t="s">
        <v>40</v>
      </c>
      <c r="D17" s="341" t="s">
        <v>41</v>
      </c>
      <c r="E17" s="342" t="s">
        <v>42</v>
      </c>
      <c r="F17" s="341" t="s">
        <v>18</v>
      </c>
      <c r="G17" s="343" t="s">
        <v>19</v>
      </c>
      <c r="H17" s="628" t="s">
        <v>3</v>
      </c>
      <c r="I17" s="629"/>
      <c r="J17" s="625"/>
      <c r="K17" s="628" t="s">
        <v>4</v>
      </c>
      <c r="L17" s="629"/>
      <c r="M17" s="625"/>
      <c r="N17" s="624" t="s">
        <v>5</v>
      </c>
      <c r="O17" s="625"/>
      <c r="P17" s="627"/>
      <c r="Q17" s="625"/>
      <c r="R17" s="343" t="s">
        <v>43</v>
      </c>
    </row>
    <row r="18" spans="1:29" ht="11.25" customHeight="1">
      <c r="A18" s="9"/>
      <c r="B18" s="345" t="s">
        <v>39</v>
      </c>
      <c r="C18" s="388" t="s">
        <v>40</v>
      </c>
      <c r="D18" s="346" t="s">
        <v>41</v>
      </c>
      <c r="E18" s="347" t="s">
        <v>42</v>
      </c>
      <c r="F18" s="346" t="s">
        <v>18</v>
      </c>
      <c r="G18" s="348" t="s">
        <v>19</v>
      </c>
      <c r="H18" s="349" t="s">
        <v>44</v>
      </c>
      <c r="I18" s="349" t="s">
        <v>7</v>
      </c>
      <c r="J18" s="350" t="s">
        <v>9</v>
      </c>
      <c r="K18" s="350" t="s">
        <v>44</v>
      </c>
      <c r="L18" s="349" t="s">
        <v>7</v>
      </c>
      <c r="M18" s="389" t="s">
        <v>9</v>
      </c>
      <c r="N18" s="344" t="s">
        <v>44</v>
      </c>
      <c r="O18" s="344" t="s">
        <v>9</v>
      </c>
      <c r="P18" s="626" t="s">
        <v>45</v>
      </c>
      <c r="Q18" s="625"/>
      <c r="R18" s="348" t="s">
        <v>43</v>
      </c>
    </row>
    <row r="19" spans="1:29" ht="11.25" hidden="1" customHeight="1">
      <c r="B19" s="351">
        <v>45747</v>
      </c>
      <c r="C19" s="353"/>
      <c r="D19" s="352"/>
      <c r="E19" s="353"/>
      <c r="F19" s="354"/>
      <c r="G19" s="355"/>
      <c r="H19" s="356"/>
      <c r="I19" s="352"/>
      <c r="J19" s="355"/>
      <c r="K19" s="401"/>
      <c r="L19" s="358"/>
      <c r="M19" s="359"/>
      <c r="N19" s="360">
        <v>52366.410000000556</v>
      </c>
      <c r="O19" s="360">
        <v>7258.8679692091628</v>
      </c>
      <c r="P19" s="361"/>
      <c r="Q19" s="353"/>
      <c r="R19" s="362"/>
      <c r="S19" s="289">
        <v>7258.866444387002</v>
      </c>
    </row>
    <row r="20" spans="1:29" s="323" customFormat="1" ht="12" hidden="1" customHeight="1">
      <c r="A20" s="13"/>
      <c r="B20" s="365">
        <v>45757</v>
      </c>
      <c r="C20" s="61" t="s">
        <v>137</v>
      </c>
      <c r="D20" s="104"/>
      <c r="E20" s="20">
        <v>1</v>
      </c>
      <c r="F20" s="34" t="s">
        <v>32</v>
      </c>
      <c r="G20" s="34"/>
      <c r="H20" s="34"/>
      <c r="I20" s="34"/>
      <c r="J20" s="34"/>
      <c r="K20" s="402">
        <v>52250.879999999997</v>
      </c>
      <c r="L20" s="293" t="e">
        <f>#REF!</f>
        <v>#REF!</v>
      </c>
      <c r="M20" s="397" t="e">
        <f>K20/L20</f>
        <v>#REF!</v>
      </c>
      <c r="N20" s="295">
        <f t="shared" ref="N20:N51" si="4">N19+H20-K20</f>
        <v>115.53000000055908</v>
      </c>
      <c r="O20" s="295" t="e">
        <f t="shared" ref="O20:O51" si="5">O19+J20-M20</f>
        <v>#REF!</v>
      </c>
      <c r="P20" s="296" t="s">
        <v>130</v>
      </c>
      <c r="Q20" s="297"/>
      <c r="R20" s="297"/>
      <c r="S20" s="298" t="e">
        <f>S19-M20+J20</f>
        <v>#REF!</v>
      </c>
      <c r="T20" s="198"/>
      <c r="V20" s="198"/>
      <c r="W20" s="198"/>
      <c r="X20" s="198"/>
      <c r="Y20" s="198"/>
      <c r="Z20" s="198"/>
      <c r="AA20" s="198"/>
      <c r="AB20" s="198"/>
      <c r="AC20" s="198"/>
    </row>
    <row r="21" spans="1:29" s="323" customFormat="1" ht="12" hidden="1" customHeight="1">
      <c r="A21" s="13"/>
      <c r="B21" s="403">
        <v>45757</v>
      </c>
      <c r="C21" s="62" t="s">
        <v>48</v>
      </c>
      <c r="D21" s="60"/>
      <c r="E21" s="18">
        <v>2</v>
      </c>
      <c r="F21" s="58"/>
      <c r="G21" s="58"/>
      <c r="H21" s="63">
        <v>404322.65</v>
      </c>
      <c r="I21" s="404"/>
      <c r="J21" s="63">
        <v>55191</v>
      </c>
      <c r="K21" s="405"/>
      <c r="L21" s="396"/>
      <c r="M21" s="406"/>
      <c r="N21" s="295">
        <f t="shared" si="4"/>
        <v>404438.18000000058</v>
      </c>
      <c r="O21" s="295" t="e">
        <f t="shared" si="5"/>
        <v>#REF!</v>
      </c>
      <c r="P21" s="407"/>
      <c r="Q21" s="408"/>
      <c r="R21" s="408"/>
      <c r="S21" s="298"/>
      <c r="T21" s="198"/>
      <c r="V21" s="198"/>
      <c r="W21" s="198"/>
      <c r="X21" s="198"/>
      <c r="Y21" s="198"/>
      <c r="Z21" s="198"/>
      <c r="AA21" s="198"/>
      <c r="AB21" s="198"/>
      <c r="AC21" s="198"/>
    </row>
    <row r="22" spans="1:29" s="323" customFormat="1" ht="12" hidden="1" customHeight="1">
      <c r="A22" s="13"/>
      <c r="B22" s="403">
        <v>45757</v>
      </c>
      <c r="C22" s="25" t="s">
        <v>49</v>
      </c>
      <c r="D22" s="60"/>
      <c r="E22" s="18"/>
      <c r="F22" s="58" t="s">
        <v>32</v>
      </c>
      <c r="G22" s="58"/>
      <c r="H22" s="63"/>
      <c r="I22" s="404"/>
      <c r="J22" s="63"/>
      <c r="K22" s="405"/>
      <c r="L22" s="396"/>
      <c r="M22" s="409">
        <v>25</v>
      </c>
      <c r="N22" s="295">
        <f t="shared" si="4"/>
        <v>404438.18000000058</v>
      </c>
      <c r="O22" s="295" t="e">
        <f t="shared" si="5"/>
        <v>#REF!</v>
      </c>
      <c r="P22" s="407" t="s">
        <v>138</v>
      </c>
      <c r="Q22" s="408"/>
      <c r="R22" s="408"/>
      <c r="S22" s="298"/>
      <c r="T22" s="198"/>
      <c r="V22" s="198"/>
      <c r="W22" s="198"/>
      <c r="X22" s="198"/>
      <c r="Y22" s="198"/>
      <c r="Z22" s="198"/>
      <c r="AA22" s="198"/>
      <c r="AB22" s="198"/>
      <c r="AC22" s="198"/>
    </row>
    <row r="23" spans="1:29" s="323" customFormat="1" ht="12" hidden="1" customHeight="1">
      <c r="A23" s="13"/>
      <c r="B23" s="365">
        <v>45762</v>
      </c>
      <c r="C23" s="26" t="s">
        <v>51</v>
      </c>
      <c r="D23" s="21"/>
      <c r="E23" s="20">
        <v>3</v>
      </c>
      <c r="F23" s="34" t="s">
        <v>27</v>
      </c>
      <c r="G23" s="34" t="s">
        <v>28</v>
      </c>
      <c r="H23" s="34"/>
      <c r="I23" s="34"/>
      <c r="J23" s="34"/>
      <c r="K23" s="393" t="e">
        <f>L23*M23</f>
        <v>#REF!</v>
      </c>
      <c r="L23" s="293" t="e">
        <f>#REF!</f>
        <v>#REF!</v>
      </c>
      <c r="M23" s="397">
        <v>19.696706274948159</v>
      </c>
      <c r="N23" s="295" t="e">
        <f t="shared" si="4"/>
        <v>#REF!</v>
      </c>
      <c r="O23" s="295" t="e">
        <f t="shared" si="5"/>
        <v>#REF!</v>
      </c>
      <c r="P23" s="296" t="s">
        <v>130</v>
      </c>
      <c r="Q23" s="297"/>
      <c r="R23" s="297"/>
      <c r="S23" s="298"/>
      <c r="T23" s="198"/>
      <c r="V23" s="198"/>
      <c r="W23" s="198"/>
      <c r="X23" s="198"/>
      <c r="Y23" s="198"/>
      <c r="Z23" s="198"/>
      <c r="AA23" s="198"/>
      <c r="AB23" s="198"/>
      <c r="AC23" s="198"/>
    </row>
    <row r="24" spans="1:29" s="323" customFormat="1" ht="12" hidden="1" customHeight="1">
      <c r="A24" s="13"/>
      <c r="B24" s="365">
        <v>45762</v>
      </c>
      <c r="C24" s="26" t="s">
        <v>51</v>
      </c>
      <c r="D24" s="21"/>
      <c r="E24" s="20">
        <v>3</v>
      </c>
      <c r="F24" s="34" t="s">
        <v>27</v>
      </c>
      <c r="G24" s="34" t="s">
        <v>28</v>
      </c>
      <c r="H24" s="34"/>
      <c r="I24" s="34"/>
      <c r="J24" s="34"/>
      <c r="K24" s="393" t="e">
        <f>25057-K23</f>
        <v>#REF!</v>
      </c>
      <c r="L24" s="293" t="e">
        <f>#REF!</f>
        <v>#REF!</v>
      </c>
      <c r="M24" s="409" t="e">
        <f t="shared" ref="M24:M55" si="6">K24/L24</f>
        <v>#REF!</v>
      </c>
      <c r="N24" s="295" t="e">
        <f t="shared" si="4"/>
        <v>#REF!</v>
      </c>
      <c r="O24" s="295" t="e">
        <f t="shared" si="5"/>
        <v>#REF!</v>
      </c>
      <c r="P24" s="296" t="s">
        <v>138</v>
      </c>
      <c r="Q24" s="297"/>
      <c r="R24" s="410"/>
      <c r="S24" s="298" t="e">
        <f>55166-M24</f>
        <v>#REF!</v>
      </c>
      <c r="T24" s="198"/>
      <c r="V24" s="198"/>
      <c r="W24" s="198"/>
      <c r="X24" s="198"/>
      <c r="Y24" s="198"/>
      <c r="Z24" s="198"/>
      <c r="AA24" s="198"/>
      <c r="AB24" s="198"/>
      <c r="AC24" s="198"/>
    </row>
    <row r="25" spans="1:29" s="323" customFormat="1" ht="12" hidden="1" customHeight="1">
      <c r="A25" s="13"/>
      <c r="B25" s="365">
        <v>45762</v>
      </c>
      <c r="C25" s="19" t="s">
        <v>49</v>
      </c>
      <c r="D25" s="104"/>
      <c r="E25" s="20">
        <v>4</v>
      </c>
      <c r="F25" s="34" t="s">
        <v>32</v>
      </c>
      <c r="G25" s="34"/>
      <c r="H25" s="34"/>
      <c r="I25" s="34"/>
      <c r="J25" s="34"/>
      <c r="K25" s="402">
        <v>7.2</v>
      </c>
      <c r="L25" s="293" t="e">
        <f>#REF!</f>
        <v>#REF!</v>
      </c>
      <c r="M25" s="409" t="e">
        <f t="shared" si="6"/>
        <v>#REF!</v>
      </c>
      <c r="N25" s="295" t="e">
        <f t="shared" si="4"/>
        <v>#REF!</v>
      </c>
      <c r="O25" s="295" t="e">
        <f t="shared" si="5"/>
        <v>#REF!</v>
      </c>
      <c r="P25" s="296" t="s">
        <v>138</v>
      </c>
      <c r="Q25" s="297"/>
      <c r="R25" s="410"/>
      <c r="S25" s="298" t="e">
        <f t="shared" ref="S25:S56" si="7">S24-M25+J25</f>
        <v>#REF!</v>
      </c>
      <c r="T25" s="198"/>
      <c r="V25" s="198"/>
      <c r="W25" s="198"/>
      <c r="X25" s="198"/>
      <c r="Y25" s="198"/>
      <c r="Z25" s="198"/>
      <c r="AA25" s="198"/>
      <c r="AB25" s="198"/>
      <c r="AC25" s="198"/>
    </row>
    <row r="26" spans="1:29" s="323" customFormat="1" ht="12" hidden="1" customHeight="1">
      <c r="A26" s="13"/>
      <c r="B26" s="365">
        <v>45762</v>
      </c>
      <c r="C26" s="26" t="s">
        <v>53</v>
      </c>
      <c r="D26" s="21"/>
      <c r="E26" s="20">
        <v>5</v>
      </c>
      <c r="F26" s="57" t="s">
        <v>25</v>
      </c>
      <c r="G26" s="14" t="s">
        <v>26</v>
      </c>
      <c r="H26" s="34"/>
      <c r="I26" s="34"/>
      <c r="J26" s="34"/>
      <c r="K26" s="393">
        <v>1600</v>
      </c>
      <c r="L26" s="293" t="e">
        <f>#REF!</f>
        <v>#REF!</v>
      </c>
      <c r="M26" s="409" t="e">
        <f t="shared" si="6"/>
        <v>#REF!</v>
      </c>
      <c r="N26" s="295" t="e">
        <f t="shared" si="4"/>
        <v>#REF!</v>
      </c>
      <c r="O26" s="295" t="e">
        <f t="shared" si="5"/>
        <v>#REF!</v>
      </c>
      <c r="P26" s="296" t="s">
        <v>138</v>
      </c>
      <c r="Q26" s="297"/>
      <c r="R26" s="410"/>
      <c r="S26" s="298" t="e">
        <f t="shared" si="7"/>
        <v>#REF!</v>
      </c>
      <c r="T26" s="198"/>
      <c r="V26" s="198"/>
      <c r="W26" s="198"/>
      <c r="X26" s="198"/>
      <c r="Y26" s="198"/>
      <c r="Z26" s="198"/>
      <c r="AA26" s="198"/>
      <c r="AB26" s="198"/>
      <c r="AC26" s="198"/>
    </row>
    <row r="27" spans="1:29" s="323" customFormat="1" ht="12" hidden="1" customHeight="1">
      <c r="A27" s="13"/>
      <c r="B27" s="365">
        <v>45762</v>
      </c>
      <c r="C27" s="19" t="s">
        <v>49</v>
      </c>
      <c r="D27" s="104"/>
      <c r="E27" s="20">
        <v>6</v>
      </c>
      <c r="F27" s="34" t="s">
        <v>32</v>
      </c>
      <c r="G27" s="34"/>
      <c r="H27" s="34"/>
      <c r="I27" s="34"/>
      <c r="J27" s="34"/>
      <c r="K27" s="393">
        <v>3.6</v>
      </c>
      <c r="L27" s="293" t="e">
        <f>#REF!</f>
        <v>#REF!</v>
      </c>
      <c r="M27" s="409" t="e">
        <f t="shared" si="6"/>
        <v>#REF!</v>
      </c>
      <c r="N27" s="295" t="e">
        <f t="shared" si="4"/>
        <v>#REF!</v>
      </c>
      <c r="O27" s="295" t="e">
        <f t="shared" si="5"/>
        <v>#REF!</v>
      </c>
      <c r="P27" s="296" t="s">
        <v>138</v>
      </c>
      <c r="Q27" s="297"/>
      <c r="R27" s="410"/>
      <c r="S27" s="298" t="e">
        <f t="shared" si="7"/>
        <v>#REF!</v>
      </c>
      <c r="T27" s="198"/>
      <c r="V27" s="198"/>
      <c r="W27" s="198"/>
      <c r="X27" s="198"/>
      <c r="Y27" s="198"/>
      <c r="Z27" s="198"/>
      <c r="AA27" s="198"/>
      <c r="AB27" s="198"/>
      <c r="AC27" s="198"/>
    </row>
    <row r="28" spans="1:29" s="323" customFormat="1" ht="12" hidden="1" customHeight="1">
      <c r="A28" s="13"/>
      <c r="B28" s="365">
        <v>45768</v>
      </c>
      <c r="C28" s="26" t="s">
        <v>54</v>
      </c>
      <c r="D28" s="104"/>
      <c r="E28" s="20">
        <v>7</v>
      </c>
      <c r="F28" s="34" t="s">
        <v>32</v>
      </c>
      <c r="G28" s="34"/>
      <c r="H28" s="34"/>
      <c r="I28" s="34"/>
      <c r="J28" s="34"/>
      <c r="K28" s="393">
        <v>1010</v>
      </c>
      <c r="L28" s="293" t="e">
        <f>#REF!</f>
        <v>#REF!</v>
      </c>
      <c r="M28" s="409" t="e">
        <f t="shared" si="6"/>
        <v>#REF!</v>
      </c>
      <c r="N28" s="295" t="e">
        <f t="shared" si="4"/>
        <v>#REF!</v>
      </c>
      <c r="O28" s="295" t="e">
        <f t="shared" si="5"/>
        <v>#REF!</v>
      </c>
      <c r="P28" s="296" t="s">
        <v>138</v>
      </c>
      <c r="Q28" s="297"/>
      <c r="R28" s="410"/>
      <c r="S28" s="298" t="e">
        <f t="shared" si="7"/>
        <v>#REF!</v>
      </c>
      <c r="T28" s="198"/>
      <c r="V28" s="198"/>
      <c r="W28" s="198"/>
      <c r="X28" s="198"/>
      <c r="Y28" s="198"/>
      <c r="Z28" s="198"/>
      <c r="AA28" s="198"/>
      <c r="AB28" s="198"/>
      <c r="AC28" s="198"/>
    </row>
    <row r="29" spans="1:29" s="323" customFormat="1" ht="12" hidden="1" customHeight="1">
      <c r="A29" s="13"/>
      <c r="B29" s="365">
        <v>45768</v>
      </c>
      <c r="C29" s="19" t="s">
        <v>49</v>
      </c>
      <c r="D29" s="104"/>
      <c r="E29" s="20">
        <v>8</v>
      </c>
      <c r="F29" s="34" t="s">
        <v>32</v>
      </c>
      <c r="G29" s="34"/>
      <c r="H29" s="34"/>
      <c r="I29" s="34"/>
      <c r="J29" s="34"/>
      <c r="K29" s="393">
        <v>3.6</v>
      </c>
      <c r="L29" s="293" t="e">
        <f>#REF!</f>
        <v>#REF!</v>
      </c>
      <c r="M29" s="409" t="e">
        <f t="shared" si="6"/>
        <v>#REF!</v>
      </c>
      <c r="N29" s="295" t="e">
        <f t="shared" si="4"/>
        <v>#REF!</v>
      </c>
      <c r="O29" s="295" t="e">
        <f t="shared" si="5"/>
        <v>#REF!</v>
      </c>
      <c r="P29" s="296" t="s">
        <v>138</v>
      </c>
      <c r="Q29" s="297"/>
      <c r="R29" s="410"/>
      <c r="S29" s="298" t="e">
        <f t="shared" si="7"/>
        <v>#REF!</v>
      </c>
      <c r="T29" s="198"/>
      <c r="V29" s="198"/>
      <c r="W29" s="198"/>
      <c r="X29" s="198"/>
      <c r="Y29" s="198"/>
      <c r="Z29" s="198"/>
      <c r="AA29" s="198"/>
      <c r="AB29" s="198"/>
      <c r="AC29" s="198"/>
    </row>
    <row r="30" spans="1:29" s="188" customFormat="1" ht="11.25" hidden="1" customHeight="1">
      <c r="A30" s="13"/>
      <c r="B30" s="365">
        <v>45768</v>
      </c>
      <c r="C30" s="19" t="s">
        <v>55</v>
      </c>
      <c r="D30" s="21"/>
      <c r="E30" s="21">
        <v>9</v>
      </c>
      <c r="F30" s="57" t="s">
        <v>27</v>
      </c>
      <c r="G30" s="14" t="s">
        <v>29</v>
      </c>
      <c r="H30" s="22"/>
      <c r="I30" s="36"/>
      <c r="J30" s="36"/>
      <c r="K30" s="292">
        <v>10500</v>
      </c>
      <c r="L30" s="293" t="e">
        <f>#REF!</f>
        <v>#REF!</v>
      </c>
      <c r="M30" s="409" t="e">
        <f t="shared" si="6"/>
        <v>#REF!</v>
      </c>
      <c r="N30" s="295" t="e">
        <f t="shared" si="4"/>
        <v>#REF!</v>
      </c>
      <c r="O30" s="295" t="e">
        <f t="shared" si="5"/>
        <v>#REF!</v>
      </c>
      <c r="P30" s="296" t="s">
        <v>138</v>
      </c>
      <c r="Q30" s="297"/>
      <c r="R30" s="410"/>
      <c r="S30" s="298" t="e">
        <f t="shared" si="7"/>
        <v>#REF!</v>
      </c>
      <c r="T30" s="198"/>
      <c r="U30" s="323"/>
      <c r="V30" s="198"/>
      <c r="W30" s="198"/>
      <c r="X30" s="198"/>
      <c r="Y30" s="198"/>
      <c r="Z30" s="198"/>
      <c r="AA30" s="198"/>
      <c r="AB30" s="198"/>
      <c r="AC30" s="198"/>
    </row>
    <row r="31" spans="1:29" s="188" customFormat="1" ht="11.25" hidden="1" customHeight="1">
      <c r="A31" s="13"/>
      <c r="B31" s="365">
        <v>45768</v>
      </c>
      <c r="C31" s="19" t="s">
        <v>57</v>
      </c>
      <c r="D31" s="104"/>
      <c r="E31" s="21">
        <v>9</v>
      </c>
      <c r="F31" s="57" t="s">
        <v>32</v>
      </c>
      <c r="G31" s="14"/>
      <c r="H31" s="22"/>
      <c r="I31" s="36"/>
      <c r="J31" s="36"/>
      <c r="K31" s="292">
        <v>6000</v>
      </c>
      <c r="L31" s="293" t="e">
        <f>#REF!</f>
        <v>#REF!</v>
      </c>
      <c r="M31" s="409" t="e">
        <f t="shared" si="6"/>
        <v>#REF!</v>
      </c>
      <c r="N31" s="295" t="e">
        <f t="shared" si="4"/>
        <v>#REF!</v>
      </c>
      <c r="O31" s="295" t="e">
        <f t="shared" si="5"/>
        <v>#REF!</v>
      </c>
      <c r="P31" s="296" t="s">
        <v>138</v>
      </c>
      <c r="Q31" s="297"/>
      <c r="R31" s="410"/>
      <c r="S31" s="298" t="e">
        <f t="shared" si="7"/>
        <v>#REF!</v>
      </c>
      <c r="T31" s="198"/>
      <c r="U31" s="323"/>
      <c r="V31" s="198"/>
      <c r="W31" s="198"/>
      <c r="X31" s="198"/>
      <c r="Y31" s="198"/>
      <c r="Z31" s="198"/>
      <c r="AA31" s="198"/>
      <c r="AB31" s="198"/>
      <c r="AC31" s="198"/>
    </row>
    <row r="32" spans="1:29" s="188" customFormat="1" ht="11.25" hidden="1" customHeight="1">
      <c r="A32" s="13"/>
      <c r="B32" s="365">
        <v>45768</v>
      </c>
      <c r="C32" s="19" t="s">
        <v>58</v>
      </c>
      <c r="D32" s="104"/>
      <c r="E32" s="21">
        <v>9</v>
      </c>
      <c r="F32" s="57" t="s">
        <v>32</v>
      </c>
      <c r="G32" s="14"/>
      <c r="H32" s="22"/>
      <c r="I32" s="36"/>
      <c r="J32" s="36"/>
      <c r="K32" s="292">
        <v>470</v>
      </c>
      <c r="L32" s="293" t="e">
        <f>#REF!</f>
        <v>#REF!</v>
      </c>
      <c r="M32" s="409" t="e">
        <f t="shared" si="6"/>
        <v>#REF!</v>
      </c>
      <c r="N32" s="295" t="e">
        <f t="shared" si="4"/>
        <v>#REF!</v>
      </c>
      <c r="O32" s="295" t="e">
        <f t="shared" si="5"/>
        <v>#REF!</v>
      </c>
      <c r="P32" s="296" t="s">
        <v>138</v>
      </c>
      <c r="Q32" s="297"/>
      <c r="R32" s="410"/>
      <c r="S32" s="298" t="e">
        <f t="shared" si="7"/>
        <v>#REF!</v>
      </c>
      <c r="T32" s="198"/>
      <c r="U32" s="323"/>
      <c r="V32" s="198"/>
      <c r="W32" s="198"/>
      <c r="X32" s="198"/>
      <c r="Y32" s="198"/>
      <c r="Z32" s="198"/>
      <c r="AA32" s="198"/>
      <c r="AB32" s="198"/>
      <c r="AC32" s="198"/>
    </row>
    <row r="33" spans="1:29" s="188" customFormat="1" ht="11.25" hidden="1" customHeight="1">
      <c r="A33" s="13"/>
      <c r="B33" s="365">
        <v>45768</v>
      </c>
      <c r="C33" s="19" t="s">
        <v>55</v>
      </c>
      <c r="D33" s="21"/>
      <c r="E33" s="21">
        <v>9</v>
      </c>
      <c r="F33" s="57" t="s">
        <v>27</v>
      </c>
      <c r="G33" s="14" t="s">
        <v>29</v>
      </c>
      <c r="H33" s="22"/>
      <c r="I33" s="36"/>
      <c r="J33" s="36"/>
      <c r="K33" s="292">
        <v>7000</v>
      </c>
      <c r="L33" s="293" t="e">
        <f>#REF!</f>
        <v>#REF!</v>
      </c>
      <c r="M33" s="409" t="e">
        <f t="shared" si="6"/>
        <v>#REF!</v>
      </c>
      <c r="N33" s="295" t="e">
        <f t="shared" si="4"/>
        <v>#REF!</v>
      </c>
      <c r="O33" s="295" t="e">
        <f t="shared" si="5"/>
        <v>#REF!</v>
      </c>
      <c r="P33" s="296" t="s">
        <v>138</v>
      </c>
      <c r="Q33" s="297"/>
      <c r="R33" s="410"/>
      <c r="S33" s="298" t="e">
        <f t="shared" si="7"/>
        <v>#REF!</v>
      </c>
      <c r="T33" s="198"/>
      <c r="U33" s="323"/>
      <c r="V33" s="198"/>
      <c r="W33" s="198"/>
      <c r="X33" s="198"/>
      <c r="Y33" s="198"/>
      <c r="Z33" s="198"/>
      <c r="AA33" s="198"/>
      <c r="AB33" s="198"/>
      <c r="AC33" s="198"/>
    </row>
    <row r="34" spans="1:29" s="188" customFormat="1" ht="11.25" hidden="1" customHeight="1">
      <c r="A34" s="13"/>
      <c r="B34" s="365">
        <v>45768</v>
      </c>
      <c r="C34" s="19" t="s">
        <v>57</v>
      </c>
      <c r="D34" s="104"/>
      <c r="E34" s="21">
        <v>9</v>
      </c>
      <c r="F34" s="57" t="s">
        <v>32</v>
      </c>
      <c r="G34" s="14"/>
      <c r="H34" s="22"/>
      <c r="I34" s="36"/>
      <c r="J34" s="36"/>
      <c r="K34" s="292">
        <v>6000</v>
      </c>
      <c r="L34" s="293" t="e">
        <f>#REF!</f>
        <v>#REF!</v>
      </c>
      <c r="M34" s="409" t="e">
        <f t="shared" si="6"/>
        <v>#REF!</v>
      </c>
      <c r="N34" s="295" t="e">
        <f t="shared" si="4"/>
        <v>#REF!</v>
      </c>
      <c r="O34" s="295" t="e">
        <f t="shared" si="5"/>
        <v>#REF!</v>
      </c>
      <c r="P34" s="296" t="s">
        <v>138</v>
      </c>
      <c r="Q34" s="297"/>
      <c r="R34" s="410"/>
      <c r="S34" s="298" t="e">
        <f t="shared" si="7"/>
        <v>#REF!</v>
      </c>
      <c r="T34" s="198"/>
      <c r="U34" s="323"/>
      <c r="V34" s="198"/>
      <c r="W34" s="198"/>
      <c r="X34" s="198"/>
      <c r="Y34" s="198"/>
      <c r="Z34" s="198"/>
      <c r="AA34" s="198"/>
      <c r="AB34" s="198"/>
      <c r="AC34" s="198"/>
    </row>
    <row r="35" spans="1:29" s="188" customFormat="1" ht="11.25" hidden="1" customHeight="1">
      <c r="A35" s="13"/>
      <c r="B35" s="365">
        <v>45768</v>
      </c>
      <c r="C35" s="19" t="s">
        <v>58</v>
      </c>
      <c r="D35" s="104"/>
      <c r="E35" s="21">
        <v>9</v>
      </c>
      <c r="F35" s="57" t="s">
        <v>32</v>
      </c>
      <c r="G35" s="14"/>
      <c r="H35" s="22"/>
      <c r="I35" s="36"/>
      <c r="J35" s="36"/>
      <c r="K35" s="292">
        <v>400</v>
      </c>
      <c r="L35" s="293" t="e">
        <f>#REF!</f>
        <v>#REF!</v>
      </c>
      <c r="M35" s="409" t="e">
        <f t="shared" si="6"/>
        <v>#REF!</v>
      </c>
      <c r="N35" s="295" t="e">
        <f t="shared" si="4"/>
        <v>#REF!</v>
      </c>
      <c r="O35" s="295" t="e">
        <f t="shared" si="5"/>
        <v>#REF!</v>
      </c>
      <c r="P35" s="296" t="s">
        <v>138</v>
      </c>
      <c r="Q35" s="297"/>
      <c r="R35" s="410"/>
      <c r="S35" s="298" t="e">
        <f t="shared" si="7"/>
        <v>#REF!</v>
      </c>
      <c r="T35" s="198"/>
      <c r="U35" s="323"/>
      <c r="V35" s="198"/>
      <c r="W35" s="198"/>
      <c r="X35" s="198"/>
      <c r="Y35" s="198"/>
      <c r="Z35" s="198"/>
      <c r="AA35" s="198"/>
      <c r="AB35" s="198"/>
      <c r="AC35" s="198"/>
    </row>
    <row r="36" spans="1:29" s="188" customFormat="1" ht="11.25" hidden="1" customHeight="1">
      <c r="A36" s="13"/>
      <c r="B36" s="365">
        <v>45768</v>
      </c>
      <c r="C36" s="19" t="s">
        <v>49</v>
      </c>
      <c r="D36" s="104"/>
      <c r="E36" s="21">
        <v>10</v>
      </c>
      <c r="F36" s="57" t="s">
        <v>32</v>
      </c>
      <c r="G36" s="14"/>
      <c r="H36" s="22"/>
      <c r="I36" s="36"/>
      <c r="J36" s="36"/>
      <c r="K36" s="393">
        <v>7.2</v>
      </c>
      <c r="L36" s="293" t="e">
        <f>#REF!</f>
        <v>#REF!</v>
      </c>
      <c r="M36" s="409" t="e">
        <f t="shared" si="6"/>
        <v>#REF!</v>
      </c>
      <c r="N36" s="295" t="e">
        <f t="shared" si="4"/>
        <v>#REF!</v>
      </c>
      <c r="O36" s="295" t="e">
        <f t="shared" si="5"/>
        <v>#REF!</v>
      </c>
      <c r="P36" s="296" t="s">
        <v>138</v>
      </c>
      <c r="Q36" s="297"/>
      <c r="R36" s="410"/>
      <c r="S36" s="298" t="e">
        <f t="shared" si="7"/>
        <v>#REF!</v>
      </c>
      <c r="T36" s="198"/>
      <c r="U36" s="323"/>
      <c r="V36" s="198"/>
      <c r="W36" s="198"/>
      <c r="X36" s="198"/>
      <c r="Y36" s="198"/>
      <c r="Z36" s="198"/>
      <c r="AA36" s="198"/>
      <c r="AB36" s="198"/>
      <c r="AC36" s="198"/>
    </row>
    <row r="37" spans="1:29" s="188" customFormat="1" ht="11.25" hidden="1" customHeight="1">
      <c r="A37" s="13"/>
      <c r="B37" s="365">
        <v>45768</v>
      </c>
      <c r="C37" s="19" t="s">
        <v>97</v>
      </c>
      <c r="D37" s="64"/>
      <c r="E37" s="20">
        <v>11</v>
      </c>
      <c r="F37" s="34" t="s">
        <v>30</v>
      </c>
      <c r="G37" s="34" t="s">
        <v>31</v>
      </c>
      <c r="H37" s="34"/>
      <c r="I37" s="34"/>
      <c r="J37" s="34"/>
      <c r="K37" s="411">
        <v>418</v>
      </c>
      <c r="L37" s="293" t="e">
        <f>#REF!</f>
        <v>#REF!</v>
      </c>
      <c r="M37" s="409" t="e">
        <f t="shared" si="6"/>
        <v>#REF!</v>
      </c>
      <c r="N37" s="295" t="e">
        <f t="shared" si="4"/>
        <v>#REF!</v>
      </c>
      <c r="O37" s="295" t="e">
        <f t="shared" si="5"/>
        <v>#REF!</v>
      </c>
      <c r="P37" s="296" t="s">
        <v>138</v>
      </c>
      <c r="Q37" s="297"/>
      <c r="R37" s="65" t="s">
        <v>60</v>
      </c>
      <c r="S37" s="298" t="e">
        <f t="shared" si="7"/>
        <v>#REF!</v>
      </c>
      <c r="T37" s="198"/>
      <c r="U37" s="323"/>
      <c r="V37" s="198"/>
      <c r="W37" s="198"/>
      <c r="X37" s="198"/>
      <c r="Y37" s="198"/>
      <c r="Z37" s="198"/>
      <c r="AA37" s="198"/>
      <c r="AB37" s="198"/>
      <c r="AC37" s="198"/>
    </row>
    <row r="38" spans="1:29" s="188" customFormat="1" ht="11.25" hidden="1" customHeight="1">
      <c r="A38" s="13"/>
      <c r="B38" s="365">
        <v>45768</v>
      </c>
      <c r="C38" s="19" t="s">
        <v>49</v>
      </c>
      <c r="D38" s="104"/>
      <c r="E38" s="20">
        <v>12</v>
      </c>
      <c r="F38" s="34" t="s">
        <v>32</v>
      </c>
      <c r="G38" s="34"/>
      <c r="H38" s="34"/>
      <c r="I38" s="34"/>
      <c r="J38" s="34"/>
      <c r="K38" s="411">
        <v>3.6</v>
      </c>
      <c r="L38" s="293" t="e">
        <f>#REF!</f>
        <v>#REF!</v>
      </c>
      <c r="M38" s="409" t="e">
        <f t="shared" si="6"/>
        <v>#REF!</v>
      </c>
      <c r="N38" s="295" t="e">
        <f t="shared" si="4"/>
        <v>#REF!</v>
      </c>
      <c r="O38" s="295" t="e">
        <f t="shared" si="5"/>
        <v>#REF!</v>
      </c>
      <c r="P38" s="296" t="s">
        <v>138</v>
      </c>
      <c r="Q38" s="297"/>
      <c r="R38" s="65" t="s">
        <v>60</v>
      </c>
      <c r="S38" s="298" t="e">
        <f t="shared" si="7"/>
        <v>#REF!</v>
      </c>
      <c r="T38" s="198"/>
      <c r="U38" s="323"/>
      <c r="V38" s="198"/>
      <c r="W38" s="198"/>
      <c r="X38" s="198"/>
      <c r="Y38" s="198"/>
      <c r="Z38" s="198"/>
      <c r="AA38" s="198"/>
      <c r="AB38" s="198"/>
      <c r="AC38" s="198"/>
    </row>
    <row r="39" spans="1:29" s="188" customFormat="1" ht="11.25" hidden="1" customHeight="1">
      <c r="A39" s="13"/>
      <c r="B39" s="365">
        <v>45768</v>
      </c>
      <c r="C39" s="19" t="s">
        <v>139</v>
      </c>
      <c r="D39" s="21"/>
      <c r="E39" s="21">
        <v>13</v>
      </c>
      <c r="F39" s="57" t="s">
        <v>25</v>
      </c>
      <c r="G39" s="14" t="s">
        <v>26</v>
      </c>
      <c r="H39" s="34"/>
      <c r="I39" s="34"/>
      <c r="J39" s="34"/>
      <c r="K39" s="411">
        <v>128.41</v>
      </c>
      <c r="L39" s="293" t="e">
        <f>#REF!</f>
        <v>#REF!</v>
      </c>
      <c r="M39" s="409" t="e">
        <f t="shared" si="6"/>
        <v>#REF!</v>
      </c>
      <c r="N39" s="295" t="e">
        <f t="shared" si="4"/>
        <v>#REF!</v>
      </c>
      <c r="O39" s="295" t="e">
        <f t="shared" si="5"/>
        <v>#REF!</v>
      </c>
      <c r="P39" s="296" t="s">
        <v>138</v>
      </c>
      <c r="Q39" s="297"/>
      <c r="R39" s="26" t="s">
        <v>62</v>
      </c>
      <c r="S39" s="298" t="e">
        <f t="shared" si="7"/>
        <v>#REF!</v>
      </c>
      <c r="T39" s="198"/>
      <c r="U39" s="323"/>
      <c r="V39" s="198"/>
      <c r="W39" s="198"/>
      <c r="X39" s="198"/>
      <c r="Y39" s="198"/>
      <c r="Z39" s="198"/>
      <c r="AA39" s="198"/>
      <c r="AB39" s="198"/>
      <c r="AC39" s="198"/>
    </row>
    <row r="40" spans="1:29" s="188" customFormat="1" ht="11.25" hidden="1" customHeight="1">
      <c r="A40" s="13"/>
      <c r="B40" s="365">
        <v>45768</v>
      </c>
      <c r="C40" s="19" t="s">
        <v>98</v>
      </c>
      <c r="D40" s="21"/>
      <c r="E40" s="21">
        <v>14</v>
      </c>
      <c r="F40" s="57" t="s">
        <v>25</v>
      </c>
      <c r="G40" s="14" t="s">
        <v>26</v>
      </c>
      <c r="H40" s="34"/>
      <c r="I40" s="34"/>
      <c r="J40" s="34"/>
      <c r="K40" s="292">
        <v>4365.3599999999997</v>
      </c>
      <c r="L40" s="293" t="e">
        <f>#REF!</f>
        <v>#REF!</v>
      </c>
      <c r="M40" s="409" t="e">
        <f t="shared" si="6"/>
        <v>#REF!</v>
      </c>
      <c r="N40" s="295" t="e">
        <f t="shared" si="4"/>
        <v>#REF!</v>
      </c>
      <c r="O40" s="295" t="e">
        <f t="shared" si="5"/>
        <v>#REF!</v>
      </c>
      <c r="P40" s="296" t="s">
        <v>138</v>
      </c>
      <c r="Q40" s="297"/>
      <c r="R40" s="26" t="s">
        <v>62</v>
      </c>
      <c r="S40" s="298" t="e">
        <f t="shared" si="7"/>
        <v>#REF!</v>
      </c>
      <c r="T40" s="198"/>
      <c r="U40" s="323"/>
      <c r="V40" s="198"/>
      <c r="W40" s="198"/>
      <c r="X40" s="198"/>
      <c r="Y40" s="198"/>
      <c r="Z40" s="198"/>
      <c r="AA40" s="198"/>
      <c r="AB40" s="198"/>
      <c r="AC40" s="198"/>
    </row>
    <row r="41" spans="1:29" s="188" customFormat="1" ht="11.25" hidden="1" customHeight="1">
      <c r="A41" s="13"/>
      <c r="B41" s="365">
        <v>45768</v>
      </c>
      <c r="C41" s="19" t="s">
        <v>99</v>
      </c>
      <c r="D41" s="21"/>
      <c r="E41" s="21">
        <v>15</v>
      </c>
      <c r="F41" s="34" t="s">
        <v>30</v>
      </c>
      <c r="G41" s="34" t="s">
        <v>31</v>
      </c>
      <c r="H41" s="34"/>
      <c r="I41" s="34"/>
      <c r="J41" s="34"/>
      <c r="K41" s="292">
        <v>153.6</v>
      </c>
      <c r="L41" s="293" t="e">
        <f>#REF!</f>
        <v>#REF!</v>
      </c>
      <c r="M41" s="409" t="e">
        <f t="shared" si="6"/>
        <v>#REF!</v>
      </c>
      <c r="N41" s="295" t="e">
        <f t="shared" si="4"/>
        <v>#REF!</v>
      </c>
      <c r="O41" s="295" t="e">
        <f t="shared" si="5"/>
        <v>#REF!</v>
      </c>
      <c r="P41" s="296" t="s">
        <v>138</v>
      </c>
      <c r="Q41" s="297"/>
      <c r="R41" s="26" t="s">
        <v>62</v>
      </c>
      <c r="S41" s="298" t="e">
        <f t="shared" si="7"/>
        <v>#REF!</v>
      </c>
      <c r="T41" s="198"/>
      <c r="U41" s="323"/>
      <c r="V41" s="198"/>
      <c r="W41" s="198"/>
      <c r="X41" s="198"/>
      <c r="Y41" s="198"/>
      <c r="Z41" s="198"/>
      <c r="AA41" s="198"/>
      <c r="AB41" s="198"/>
      <c r="AC41" s="198"/>
    </row>
    <row r="42" spans="1:29" s="188" customFormat="1" ht="11.25" hidden="1" customHeight="1">
      <c r="A42" s="13"/>
      <c r="B42" s="365">
        <v>45768</v>
      </c>
      <c r="C42" s="19" t="s">
        <v>140</v>
      </c>
      <c r="D42" s="104"/>
      <c r="E42" s="21">
        <v>16</v>
      </c>
      <c r="F42" s="34" t="s">
        <v>32</v>
      </c>
      <c r="G42" s="34"/>
      <c r="H42" s="34"/>
      <c r="I42" s="34"/>
      <c r="J42" s="34"/>
      <c r="K42" s="292">
        <v>135</v>
      </c>
      <c r="L42" s="293" t="e">
        <f>#REF!</f>
        <v>#REF!</v>
      </c>
      <c r="M42" s="409" t="e">
        <f t="shared" si="6"/>
        <v>#REF!</v>
      </c>
      <c r="N42" s="295" t="e">
        <f t="shared" si="4"/>
        <v>#REF!</v>
      </c>
      <c r="O42" s="295" t="e">
        <f t="shared" si="5"/>
        <v>#REF!</v>
      </c>
      <c r="P42" s="296" t="s">
        <v>138</v>
      </c>
      <c r="Q42" s="297"/>
      <c r="R42" s="26" t="s">
        <v>62</v>
      </c>
      <c r="S42" s="298" t="e">
        <f t="shared" si="7"/>
        <v>#REF!</v>
      </c>
      <c r="T42" s="198"/>
      <c r="U42" s="323"/>
      <c r="V42" s="198"/>
      <c r="W42" s="198"/>
      <c r="X42" s="198"/>
      <c r="Y42" s="198"/>
      <c r="Z42" s="198"/>
      <c r="AA42" s="198"/>
      <c r="AB42" s="198"/>
      <c r="AC42" s="198"/>
    </row>
    <row r="43" spans="1:29" s="188" customFormat="1" ht="11.25" hidden="1" customHeight="1">
      <c r="A43" s="13"/>
      <c r="B43" s="365">
        <v>45768</v>
      </c>
      <c r="C43" s="19" t="s">
        <v>49</v>
      </c>
      <c r="D43" s="104"/>
      <c r="E43" s="21">
        <v>17</v>
      </c>
      <c r="F43" s="34" t="s">
        <v>32</v>
      </c>
      <c r="G43" s="34"/>
      <c r="H43" s="34"/>
      <c r="I43" s="34"/>
      <c r="J43" s="34"/>
      <c r="K43" s="292">
        <v>3.6</v>
      </c>
      <c r="L43" s="293" t="e">
        <f>#REF!</f>
        <v>#REF!</v>
      </c>
      <c r="M43" s="409" t="e">
        <f t="shared" si="6"/>
        <v>#REF!</v>
      </c>
      <c r="N43" s="295" t="e">
        <f t="shared" si="4"/>
        <v>#REF!</v>
      </c>
      <c r="O43" s="295" t="e">
        <f t="shared" si="5"/>
        <v>#REF!</v>
      </c>
      <c r="P43" s="296" t="s">
        <v>138</v>
      </c>
      <c r="Q43" s="297"/>
      <c r="R43" s="26" t="s">
        <v>62</v>
      </c>
      <c r="S43" s="298" t="e">
        <f t="shared" si="7"/>
        <v>#REF!</v>
      </c>
      <c r="T43" s="198"/>
      <c r="U43" s="323"/>
      <c r="V43" s="198"/>
      <c r="W43" s="198"/>
      <c r="X43" s="198"/>
      <c r="Y43" s="198"/>
      <c r="Z43" s="198"/>
      <c r="AA43" s="198"/>
      <c r="AB43" s="198"/>
      <c r="AC43" s="198"/>
    </row>
    <row r="44" spans="1:29" s="188" customFormat="1" ht="11.25" hidden="1" customHeight="1">
      <c r="A44" s="13"/>
      <c r="B44" s="365">
        <v>45768</v>
      </c>
      <c r="C44" s="314" t="s">
        <v>63</v>
      </c>
      <c r="D44" s="21"/>
      <c r="E44" s="21">
        <v>18</v>
      </c>
      <c r="F44" s="57" t="s">
        <v>25</v>
      </c>
      <c r="G44" s="14" t="s">
        <v>26</v>
      </c>
      <c r="H44" s="34"/>
      <c r="I44" s="34"/>
      <c r="J44" s="34"/>
      <c r="K44" s="411">
        <v>207.37</v>
      </c>
      <c r="L44" s="293" t="e">
        <f>#REF!</f>
        <v>#REF!</v>
      </c>
      <c r="M44" s="409" t="e">
        <f t="shared" si="6"/>
        <v>#REF!</v>
      </c>
      <c r="N44" s="295" t="e">
        <f t="shared" si="4"/>
        <v>#REF!</v>
      </c>
      <c r="O44" s="295" t="e">
        <f t="shared" si="5"/>
        <v>#REF!</v>
      </c>
      <c r="P44" s="296" t="s">
        <v>138</v>
      </c>
      <c r="Q44" s="297"/>
      <c r="R44" s="65" t="s">
        <v>65</v>
      </c>
      <c r="S44" s="298" t="e">
        <f t="shared" si="7"/>
        <v>#REF!</v>
      </c>
      <c r="T44" s="198"/>
      <c r="U44" s="323"/>
      <c r="V44" s="198"/>
      <c r="W44" s="198"/>
      <c r="X44" s="198"/>
      <c r="Y44" s="198"/>
      <c r="Z44" s="198"/>
      <c r="AA44" s="198"/>
      <c r="AB44" s="198"/>
      <c r="AC44" s="198"/>
    </row>
    <row r="45" spans="1:29" s="188" customFormat="1" ht="11.25" hidden="1" customHeight="1">
      <c r="A45" s="13"/>
      <c r="B45" s="365">
        <v>45768</v>
      </c>
      <c r="C45" s="26" t="s">
        <v>61</v>
      </c>
      <c r="D45" s="21"/>
      <c r="E45" s="21">
        <v>19</v>
      </c>
      <c r="F45" s="57" t="s">
        <v>25</v>
      </c>
      <c r="G45" s="14" t="s">
        <v>26</v>
      </c>
      <c r="H45" s="34"/>
      <c r="I45" s="34"/>
      <c r="J45" s="34"/>
      <c r="K45" s="292">
        <v>941.79</v>
      </c>
      <c r="L45" s="293" t="e">
        <f>#REF!</f>
        <v>#REF!</v>
      </c>
      <c r="M45" s="409" t="e">
        <f t="shared" si="6"/>
        <v>#REF!</v>
      </c>
      <c r="N45" s="295" t="e">
        <f t="shared" si="4"/>
        <v>#REF!</v>
      </c>
      <c r="O45" s="295" t="e">
        <f t="shared" si="5"/>
        <v>#REF!</v>
      </c>
      <c r="P45" s="296" t="s">
        <v>138</v>
      </c>
      <c r="Q45" s="297"/>
      <c r="R45" s="65" t="s">
        <v>65</v>
      </c>
      <c r="S45" s="298" t="e">
        <f t="shared" si="7"/>
        <v>#REF!</v>
      </c>
      <c r="T45" s="198"/>
      <c r="U45" s="323"/>
      <c r="V45" s="198"/>
      <c r="W45" s="198"/>
      <c r="X45" s="198"/>
      <c r="Y45" s="198"/>
      <c r="Z45" s="198"/>
      <c r="AA45" s="198"/>
      <c r="AB45" s="198"/>
      <c r="AC45" s="198"/>
    </row>
    <row r="46" spans="1:29" s="188" customFormat="1" ht="11.25" hidden="1" customHeight="1">
      <c r="A46" s="13"/>
      <c r="B46" s="365">
        <v>45768</v>
      </c>
      <c r="C46" s="26" t="s">
        <v>30</v>
      </c>
      <c r="D46" s="21"/>
      <c r="E46" s="21">
        <v>20</v>
      </c>
      <c r="F46" s="34" t="s">
        <v>30</v>
      </c>
      <c r="G46" s="34" t="s">
        <v>31</v>
      </c>
      <c r="H46" s="34"/>
      <c r="I46" s="34"/>
      <c r="J46" s="34"/>
      <c r="K46" s="368">
        <v>400</v>
      </c>
      <c r="L46" s="293" t="e">
        <f>#REF!</f>
        <v>#REF!</v>
      </c>
      <c r="M46" s="409" t="e">
        <f t="shared" si="6"/>
        <v>#REF!</v>
      </c>
      <c r="N46" s="295" t="e">
        <f t="shared" si="4"/>
        <v>#REF!</v>
      </c>
      <c r="O46" s="295" t="e">
        <f t="shared" si="5"/>
        <v>#REF!</v>
      </c>
      <c r="P46" s="296" t="s">
        <v>138</v>
      </c>
      <c r="Q46" s="297"/>
      <c r="R46" s="65" t="s">
        <v>65</v>
      </c>
      <c r="S46" s="298" t="e">
        <f t="shared" si="7"/>
        <v>#REF!</v>
      </c>
      <c r="T46" s="198"/>
      <c r="U46" s="323"/>
      <c r="V46" s="198"/>
      <c r="W46" s="198"/>
      <c r="X46" s="198"/>
      <c r="Y46" s="198"/>
      <c r="Z46" s="198"/>
      <c r="AA46" s="198"/>
      <c r="AB46" s="198"/>
      <c r="AC46" s="198"/>
    </row>
    <row r="47" spans="1:29" s="188" customFormat="1" ht="11.25" hidden="1" customHeight="1">
      <c r="A47" s="13"/>
      <c r="B47" s="365">
        <v>45768</v>
      </c>
      <c r="C47" s="26" t="s">
        <v>23</v>
      </c>
      <c r="D47" s="21"/>
      <c r="E47" s="21">
        <v>21</v>
      </c>
      <c r="F47" s="34" t="s">
        <v>23</v>
      </c>
      <c r="G47" s="34" t="s">
        <v>24</v>
      </c>
      <c r="H47" s="34"/>
      <c r="I47" s="34"/>
      <c r="J47" s="34"/>
      <c r="K47" s="368">
        <v>179</v>
      </c>
      <c r="L47" s="293" t="e">
        <f>#REF!</f>
        <v>#REF!</v>
      </c>
      <c r="M47" s="409" t="e">
        <f t="shared" si="6"/>
        <v>#REF!</v>
      </c>
      <c r="N47" s="295" t="e">
        <f t="shared" si="4"/>
        <v>#REF!</v>
      </c>
      <c r="O47" s="295" t="e">
        <f t="shared" si="5"/>
        <v>#REF!</v>
      </c>
      <c r="P47" s="296" t="s">
        <v>138</v>
      </c>
      <c r="Q47" s="297"/>
      <c r="R47" s="65" t="s">
        <v>65</v>
      </c>
      <c r="S47" s="298" t="e">
        <f t="shared" si="7"/>
        <v>#REF!</v>
      </c>
      <c r="T47" s="198"/>
      <c r="U47" s="323"/>
      <c r="V47" s="198"/>
      <c r="W47" s="198"/>
      <c r="X47" s="198"/>
      <c r="Y47" s="198"/>
      <c r="Z47" s="198"/>
      <c r="AA47" s="198"/>
      <c r="AB47" s="198"/>
      <c r="AC47" s="198"/>
    </row>
    <row r="48" spans="1:29" s="188" customFormat="1" ht="11.25" hidden="1" customHeight="1">
      <c r="A48" s="13"/>
      <c r="B48" s="365">
        <v>45768</v>
      </c>
      <c r="C48" s="26" t="s">
        <v>64</v>
      </c>
      <c r="D48" s="104"/>
      <c r="E48" s="21">
        <v>22</v>
      </c>
      <c r="F48" s="34" t="s">
        <v>32</v>
      </c>
      <c r="G48" s="34"/>
      <c r="H48" s="34"/>
      <c r="I48" s="34"/>
      <c r="J48" s="34"/>
      <c r="K48" s="368">
        <v>424.55</v>
      </c>
      <c r="L48" s="293" t="e">
        <f>#REF!</f>
        <v>#REF!</v>
      </c>
      <c r="M48" s="409" t="e">
        <f t="shared" si="6"/>
        <v>#REF!</v>
      </c>
      <c r="N48" s="295" t="e">
        <f t="shared" si="4"/>
        <v>#REF!</v>
      </c>
      <c r="O48" s="295" t="e">
        <f t="shared" si="5"/>
        <v>#REF!</v>
      </c>
      <c r="P48" s="296" t="s">
        <v>138</v>
      </c>
      <c r="Q48" s="297"/>
      <c r="R48" s="65" t="s">
        <v>65</v>
      </c>
      <c r="S48" s="298" t="e">
        <f t="shared" si="7"/>
        <v>#REF!</v>
      </c>
      <c r="T48" s="198"/>
      <c r="U48" s="323"/>
      <c r="V48" s="198"/>
      <c r="W48" s="198"/>
      <c r="X48" s="198"/>
      <c r="Y48" s="198"/>
      <c r="Z48" s="198"/>
      <c r="AA48" s="198"/>
      <c r="AB48" s="198"/>
      <c r="AC48" s="198"/>
    </row>
    <row r="49" spans="1:29" s="188" customFormat="1" ht="11.25" hidden="1" customHeight="1">
      <c r="A49" s="13"/>
      <c r="B49" s="365">
        <v>45768</v>
      </c>
      <c r="C49" s="26" t="s">
        <v>67</v>
      </c>
      <c r="D49" s="104"/>
      <c r="E49" s="21">
        <v>23</v>
      </c>
      <c r="F49" s="34" t="s">
        <v>32</v>
      </c>
      <c r="G49" s="34"/>
      <c r="H49" s="34"/>
      <c r="I49" s="34"/>
      <c r="J49" s="34"/>
      <c r="K49" s="368">
        <v>127.56</v>
      </c>
      <c r="L49" s="293" t="e">
        <f>#REF!</f>
        <v>#REF!</v>
      </c>
      <c r="M49" s="409" t="e">
        <f t="shared" si="6"/>
        <v>#REF!</v>
      </c>
      <c r="N49" s="295" t="e">
        <f t="shared" si="4"/>
        <v>#REF!</v>
      </c>
      <c r="O49" s="295" t="e">
        <f t="shared" si="5"/>
        <v>#REF!</v>
      </c>
      <c r="P49" s="296" t="s">
        <v>138</v>
      </c>
      <c r="Q49" s="297"/>
      <c r="R49" s="65" t="s">
        <v>65</v>
      </c>
      <c r="S49" s="298" t="e">
        <f t="shared" si="7"/>
        <v>#REF!</v>
      </c>
      <c r="T49" s="198"/>
      <c r="U49" s="323"/>
      <c r="V49" s="198"/>
      <c r="W49" s="198"/>
      <c r="X49" s="198"/>
      <c r="Y49" s="198"/>
      <c r="Z49" s="198"/>
      <c r="AA49" s="198"/>
      <c r="AB49" s="198"/>
      <c r="AC49" s="198"/>
    </row>
    <row r="50" spans="1:29" s="188" customFormat="1" ht="11.25" hidden="1" customHeight="1">
      <c r="A50" s="13"/>
      <c r="B50" s="365">
        <v>45768</v>
      </c>
      <c r="C50" s="26" t="s">
        <v>49</v>
      </c>
      <c r="D50" s="104"/>
      <c r="E50" s="21">
        <v>24</v>
      </c>
      <c r="F50" s="34" t="s">
        <v>32</v>
      </c>
      <c r="G50" s="34"/>
      <c r="H50" s="34"/>
      <c r="I50" s="34"/>
      <c r="J50" s="34"/>
      <c r="K50" s="368">
        <v>3.6</v>
      </c>
      <c r="L50" s="293" t="e">
        <f>#REF!</f>
        <v>#REF!</v>
      </c>
      <c r="M50" s="409" t="e">
        <f t="shared" si="6"/>
        <v>#REF!</v>
      </c>
      <c r="N50" s="295" t="e">
        <f t="shared" si="4"/>
        <v>#REF!</v>
      </c>
      <c r="O50" s="295" t="e">
        <f t="shared" si="5"/>
        <v>#REF!</v>
      </c>
      <c r="P50" s="296" t="s">
        <v>138</v>
      </c>
      <c r="Q50" s="297"/>
      <c r="R50" s="65" t="s">
        <v>65</v>
      </c>
      <c r="S50" s="298" t="e">
        <f t="shared" si="7"/>
        <v>#REF!</v>
      </c>
      <c r="T50" s="198"/>
      <c r="U50" s="323"/>
      <c r="V50" s="198"/>
      <c r="W50" s="198"/>
      <c r="X50" s="198"/>
      <c r="Y50" s="198"/>
      <c r="Z50" s="198"/>
      <c r="AA50" s="198"/>
      <c r="AB50" s="198"/>
      <c r="AC50" s="198"/>
    </row>
    <row r="51" spans="1:29" s="188" customFormat="1" ht="11.25" hidden="1" customHeight="1">
      <c r="A51" s="13"/>
      <c r="B51" s="365">
        <v>45768</v>
      </c>
      <c r="C51" s="26" t="s">
        <v>128</v>
      </c>
      <c r="D51" s="21"/>
      <c r="E51" s="21">
        <v>25</v>
      </c>
      <c r="F51" s="57" t="s">
        <v>25</v>
      </c>
      <c r="G51" s="14" t="s">
        <v>26</v>
      </c>
      <c r="H51" s="34"/>
      <c r="I51" s="34"/>
      <c r="J51" s="34"/>
      <c r="K51" s="411">
        <v>663.95</v>
      </c>
      <c r="L51" s="293" t="e">
        <f>#REF!</f>
        <v>#REF!</v>
      </c>
      <c r="M51" s="409" t="e">
        <f t="shared" si="6"/>
        <v>#REF!</v>
      </c>
      <c r="N51" s="295" t="e">
        <f t="shared" si="4"/>
        <v>#REF!</v>
      </c>
      <c r="O51" s="295" t="e">
        <f t="shared" si="5"/>
        <v>#REF!</v>
      </c>
      <c r="P51" s="296" t="s">
        <v>138</v>
      </c>
      <c r="Q51" s="297"/>
      <c r="R51" s="296" t="s">
        <v>69</v>
      </c>
      <c r="S51" s="298" t="e">
        <f t="shared" si="7"/>
        <v>#REF!</v>
      </c>
      <c r="T51" s="198"/>
      <c r="U51" s="323"/>
      <c r="V51" s="198"/>
      <c r="W51" s="198"/>
      <c r="X51" s="198"/>
      <c r="Y51" s="198"/>
      <c r="Z51" s="198"/>
      <c r="AA51" s="198"/>
      <c r="AB51" s="198"/>
      <c r="AC51" s="198"/>
    </row>
    <row r="52" spans="1:29" s="188" customFormat="1" ht="11.25" hidden="1" customHeight="1">
      <c r="A52" s="13"/>
      <c r="B52" s="365">
        <v>45768</v>
      </c>
      <c r="C52" s="26" t="s">
        <v>30</v>
      </c>
      <c r="D52" s="21"/>
      <c r="E52" s="21">
        <v>26</v>
      </c>
      <c r="F52" s="34" t="s">
        <v>30</v>
      </c>
      <c r="G52" s="34" t="s">
        <v>31</v>
      </c>
      <c r="H52" s="34"/>
      <c r="I52" s="34"/>
      <c r="J52" s="34"/>
      <c r="K52" s="368">
        <v>299.39999999999998</v>
      </c>
      <c r="L52" s="293" t="e">
        <f>#REF!</f>
        <v>#REF!</v>
      </c>
      <c r="M52" s="409" t="e">
        <f t="shared" si="6"/>
        <v>#REF!</v>
      </c>
      <c r="N52" s="295" t="e">
        <f t="shared" ref="N52:N83" si="8">N51+H52-K52</f>
        <v>#REF!</v>
      </c>
      <c r="O52" s="295" t="e">
        <f t="shared" ref="O52:O83" si="9">O51+J52-M52</f>
        <v>#REF!</v>
      </c>
      <c r="P52" s="296" t="s">
        <v>138</v>
      </c>
      <c r="Q52" s="297"/>
      <c r="R52" s="296" t="s">
        <v>69</v>
      </c>
      <c r="S52" s="298" t="e">
        <f t="shared" si="7"/>
        <v>#REF!</v>
      </c>
      <c r="T52" s="198"/>
      <c r="U52" s="323"/>
      <c r="V52" s="198"/>
      <c r="W52" s="198"/>
      <c r="X52" s="198"/>
      <c r="Y52" s="198"/>
      <c r="Z52" s="198"/>
      <c r="AA52" s="198"/>
      <c r="AB52" s="198"/>
      <c r="AC52" s="198"/>
    </row>
    <row r="53" spans="1:29" s="188" customFormat="1" ht="11.25" hidden="1" customHeight="1">
      <c r="A53" s="13"/>
      <c r="B53" s="365">
        <v>45768</v>
      </c>
      <c r="C53" s="26" t="s">
        <v>64</v>
      </c>
      <c r="D53" s="104"/>
      <c r="E53" s="21">
        <v>27</v>
      </c>
      <c r="F53" s="57" t="s">
        <v>32</v>
      </c>
      <c r="G53" s="14"/>
      <c r="H53" s="34"/>
      <c r="I53" s="291"/>
      <c r="J53" s="34"/>
      <c r="K53" s="368">
        <v>36</v>
      </c>
      <c r="L53" s="293" t="e">
        <f>#REF!</f>
        <v>#REF!</v>
      </c>
      <c r="M53" s="409" t="e">
        <f t="shared" si="6"/>
        <v>#REF!</v>
      </c>
      <c r="N53" s="295" t="e">
        <f t="shared" si="8"/>
        <v>#REF!</v>
      </c>
      <c r="O53" s="295" t="e">
        <f t="shared" si="9"/>
        <v>#REF!</v>
      </c>
      <c r="P53" s="296" t="s">
        <v>138</v>
      </c>
      <c r="Q53" s="297"/>
      <c r="R53" s="296" t="s">
        <v>69</v>
      </c>
      <c r="S53" s="298" t="e">
        <f t="shared" si="7"/>
        <v>#REF!</v>
      </c>
      <c r="T53" s="198"/>
      <c r="U53" s="323"/>
      <c r="V53" s="198"/>
      <c r="W53" s="198"/>
      <c r="X53" s="198"/>
      <c r="Y53" s="198"/>
      <c r="Z53" s="198"/>
      <c r="AA53" s="198"/>
      <c r="AB53" s="198"/>
      <c r="AC53" s="198"/>
    </row>
    <row r="54" spans="1:29" s="188" customFormat="1" ht="11.25" hidden="1" customHeight="1">
      <c r="A54" s="13"/>
      <c r="B54" s="365">
        <v>45768</v>
      </c>
      <c r="C54" s="26" t="s">
        <v>61</v>
      </c>
      <c r="D54" s="21"/>
      <c r="E54" s="21">
        <v>28</v>
      </c>
      <c r="F54" s="57" t="s">
        <v>25</v>
      </c>
      <c r="G54" s="14" t="s">
        <v>26</v>
      </c>
      <c r="H54" s="34"/>
      <c r="I54" s="291"/>
      <c r="J54" s="34"/>
      <c r="K54" s="368">
        <v>4536.3</v>
      </c>
      <c r="L54" s="293" t="e">
        <f>#REF!</f>
        <v>#REF!</v>
      </c>
      <c r="M54" s="409" t="e">
        <f t="shared" si="6"/>
        <v>#REF!</v>
      </c>
      <c r="N54" s="295" t="e">
        <f t="shared" si="8"/>
        <v>#REF!</v>
      </c>
      <c r="O54" s="295" t="e">
        <f t="shared" si="9"/>
        <v>#REF!</v>
      </c>
      <c r="P54" s="296" t="s">
        <v>138</v>
      </c>
      <c r="Q54" s="297"/>
      <c r="R54" s="296" t="s">
        <v>69</v>
      </c>
      <c r="S54" s="298" t="e">
        <f t="shared" si="7"/>
        <v>#REF!</v>
      </c>
      <c r="T54" s="198"/>
      <c r="U54" s="323"/>
      <c r="V54" s="198"/>
      <c r="W54" s="198"/>
      <c r="X54" s="198"/>
      <c r="Y54" s="198"/>
      <c r="Z54" s="198"/>
      <c r="AA54" s="198"/>
      <c r="AB54" s="198"/>
      <c r="AC54" s="198"/>
    </row>
    <row r="55" spans="1:29" s="188" customFormat="1" ht="11.25" hidden="1" customHeight="1">
      <c r="A55" s="13"/>
      <c r="B55" s="365">
        <v>45768</v>
      </c>
      <c r="C55" s="26" t="s">
        <v>78</v>
      </c>
      <c r="D55" s="104"/>
      <c r="E55" s="21">
        <v>29</v>
      </c>
      <c r="F55" s="57" t="s">
        <v>32</v>
      </c>
      <c r="G55" s="14"/>
      <c r="H55" s="34"/>
      <c r="I55" s="291"/>
      <c r="J55" s="34"/>
      <c r="K55" s="368">
        <v>172.98</v>
      </c>
      <c r="L55" s="293" t="e">
        <f>#REF!</f>
        <v>#REF!</v>
      </c>
      <c r="M55" s="409" t="e">
        <f t="shared" si="6"/>
        <v>#REF!</v>
      </c>
      <c r="N55" s="295" t="e">
        <f t="shared" si="8"/>
        <v>#REF!</v>
      </c>
      <c r="O55" s="295" t="e">
        <f t="shared" si="9"/>
        <v>#REF!</v>
      </c>
      <c r="P55" s="296" t="s">
        <v>138</v>
      </c>
      <c r="Q55" s="297"/>
      <c r="R55" s="296" t="s">
        <v>69</v>
      </c>
      <c r="S55" s="298" t="e">
        <f t="shared" si="7"/>
        <v>#REF!</v>
      </c>
      <c r="T55" s="198"/>
      <c r="U55" s="323"/>
      <c r="V55" s="198"/>
      <c r="W55" s="198"/>
      <c r="X55" s="198"/>
      <c r="Y55" s="198"/>
      <c r="Z55" s="198"/>
      <c r="AA55" s="198"/>
      <c r="AB55" s="198"/>
      <c r="AC55" s="198"/>
    </row>
    <row r="56" spans="1:29" s="188" customFormat="1" ht="11.25" hidden="1" customHeight="1">
      <c r="A56" s="13"/>
      <c r="B56" s="365">
        <v>45768</v>
      </c>
      <c r="C56" s="26" t="s">
        <v>23</v>
      </c>
      <c r="D56" s="21"/>
      <c r="E56" s="21">
        <v>30</v>
      </c>
      <c r="F56" s="57" t="s">
        <v>23</v>
      </c>
      <c r="G56" s="14" t="s">
        <v>24</v>
      </c>
      <c r="H56" s="34"/>
      <c r="I56" s="291"/>
      <c r="J56" s="34"/>
      <c r="K56" s="368">
        <v>3310.7</v>
      </c>
      <c r="L56" s="293" t="e">
        <f>#REF!</f>
        <v>#REF!</v>
      </c>
      <c r="M56" s="409" t="e">
        <f t="shared" ref="M56:M87" si="10">K56/L56</f>
        <v>#REF!</v>
      </c>
      <c r="N56" s="295" t="e">
        <f t="shared" si="8"/>
        <v>#REF!</v>
      </c>
      <c r="O56" s="295" t="e">
        <f t="shared" si="9"/>
        <v>#REF!</v>
      </c>
      <c r="P56" s="296" t="s">
        <v>138</v>
      </c>
      <c r="Q56" s="297"/>
      <c r="R56" s="296" t="s">
        <v>69</v>
      </c>
      <c r="S56" s="298" t="e">
        <f t="shared" si="7"/>
        <v>#REF!</v>
      </c>
      <c r="T56" s="198"/>
      <c r="U56" s="323"/>
      <c r="V56" s="198"/>
      <c r="W56" s="198"/>
      <c r="X56" s="198"/>
      <c r="Y56" s="198"/>
      <c r="Z56" s="198"/>
      <c r="AA56" s="198"/>
      <c r="AB56" s="198"/>
      <c r="AC56" s="198"/>
    </row>
    <row r="57" spans="1:29" s="188" customFormat="1" ht="11.25" hidden="1" customHeight="1">
      <c r="A57" s="13"/>
      <c r="B57" s="365">
        <v>45768</v>
      </c>
      <c r="C57" s="26" t="s">
        <v>141</v>
      </c>
      <c r="D57" s="104"/>
      <c r="E57" s="21">
        <v>31</v>
      </c>
      <c r="F57" s="57" t="s">
        <v>32</v>
      </c>
      <c r="G57" s="14"/>
      <c r="H57" s="34"/>
      <c r="I57" s="291"/>
      <c r="J57" s="34"/>
      <c r="K57" s="411">
        <v>399</v>
      </c>
      <c r="L57" s="293" t="e">
        <f>#REF!</f>
        <v>#REF!</v>
      </c>
      <c r="M57" s="409" t="e">
        <f t="shared" si="10"/>
        <v>#REF!</v>
      </c>
      <c r="N57" s="295" t="e">
        <f t="shared" si="8"/>
        <v>#REF!</v>
      </c>
      <c r="O57" s="295" t="e">
        <f t="shared" si="9"/>
        <v>#REF!</v>
      </c>
      <c r="P57" s="296" t="s">
        <v>138</v>
      </c>
      <c r="Q57" s="297"/>
      <c r="R57" s="296" t="s">
        <v>69</v>
      </c>
      <c r="S57" s="298" t="e">
        <f t="shared" ref="S57:S88" si="11">S56-M57+J57</f>
        <v>#REF!</v>
      </c>
      <c r="T57" s="198"/>
      <c r="U57" s="323"/>
      <c r="V57" s="198"/>
      <c r="W57" s="198"/>
      <c r="X57" s="198"/>
      <c r="Y57" s="198"/>
      <c r="Z57" s="198"/>
      <c r="AA57" s="198"/>
      <c r="AB57" s="198"/>
      <c r="AC57" s="198"/>
    </row>
    <row r="58" spans="1:29" s="188" customFormat="1" ht="11.25" hidden="1" customHeight="1">
      <c r="A58" s="13"/>
      <c r="B58" s="365">
        <v>45768</v>
      </c>
      <c r="C58" s="26" t="s">
        <v>49</v>
      </c>
      <c r="D58" s="104"/>
      <c r="E58" s="21">
        <v>32</v>
      </c>
      <c r="F58" s="57" t="s">
        <v>32</v>
      </c>
      <c r="G58" s="14"/>
      <c r="H58" s="34"/>
      <c r="I58" s="291"/>
      <c r="J58" s="34"/>
      <c r="K58" s="368">
        <v>3.6</v>
      </c>
      <c r="L58" s="293" t="e">
        <f>#REF!</f>
        <v>#REF!</v>
      </c>
      <c r="M58" s="409" t="e">
        <f t="shared" si="10"/>
        <v>#REF!</v>
      </c>
      <c r="N58" s="295" t="e">
        <f t="shared" si="8"/>
        <v>#REF!</v>
      </c>
      <c r="O58" s="295" t="e">
        <f t="shared" si="9"/>
        <v>#REF!</v>
      </c>
      <c r="P58" s="296" t="s">
        <v>138</v>
      </c>
      <c r="Q58" s="297"/>
      <c r="R58" s="296" t="s">
        <v>69</v>
      </c>
      <c r="S58" s="298" t="e">
        <f t="shared" si="11"/>
        <v>#REF!</v>
      </c>
      <c r="T58" s="198"/>
      <c r="U58" s="323"/>
      <c r="V58" s="198"/>
      <c r="W58" s="198"/>
      <c r="X58" s="198"/>
      <c r="Y58" s="198"/>
      <c r="Z58" s="198"/>
      <c r="AA58" s="198"/>
      <c r="AB58" s="198"/>
      <c r="AC58" s="198"/>
    </row>
    <row r="59" spans="1:29" s="188" customFormat="1" ht="11.25" hidden="1" customHeight="1">
      <c r="A59" s="13"/>
      <c r="B59" s="365">
        <v>45768</v>
      </c>
      <c r="C59" s="26" t="s">
        <v>23</v>
      </c>
      <c r="D59" s="21"/>
      <c r="E59" s="21">
        <v>33</v>
      </c>
      <c r="F59" s="57" t="s">
        <v>23</v>
      </c>
      <c r="G59" s="14" t="s">
        <v>24</v>
      </c>
      <c r="H59" s="34"/>
      <c r="I59" s="291"/>
      <c r="J59" s="34"/>
      <c r="K59" s="368">
        <v>15594.7</v>
      </c>
      <c r="L59" s="293" t="e">
        <f>#REF!</f>
        <v>#REF!</v>
      </c>
      <c r="M59" s="409" t="e">
        <f t="shared" si="10"/>
        <v>#REF!</v>
      </c>
      <c r="N59" s="295" t="e">
        <f t="shared" si="8"/>
        <v>#REF!</v>
      </c>
      <c r="O59" s="295" t="e">
        <f t="shared" si="9"/>
        <v>#REF!</v>
      </c>
      <c r="P59" s="296" t="s">
        <v>138</v>
      </c>
      <c r="Q59" s="297"/>
      <c r="R59" s="296" t="s">
        <v>76</v>
      </c>
      <c r="S59" s="298" t="e">
        <f t="shared" si="11"/>
        <v>#REF!</v>
      </c>
      <c r="T59" s="198"/>
      <c r="U59" s="323"/>
      <c r="V59" s="198"/>
      <c r="W59" s="198"/>
      <c r="X59" s="198"/>
      <c r="Y59" s="198"/>
      <c r="Z59" s="198"/>
      <c r="AA59" s="198"/>
      <c r="AB59" s="198"/>
      <c r="AC59" s="198"/>
    </row>
    <row r="60" spans="1:29" s="188" customFormat="1" ht="11.25" hidden="1" customHeight="1">
      <c r="A60" s="13"/>
      <c r="B60" s="365">
        <v>45768</v>
      </c>
      <c r="C60" s="26" t="s">
        <v>61</v>
      </c>
      <c r="D60" s="21"/>
      <c r="E60" s="21">
        <v>34</v>
      </c>
      <c r="F60" s="57" t="s">
        <v>25</v>
      </c>
      <c r="G60" s="14" t="s">
        <v>26</v>
      </c>
      <c r="H60" s="34"/>
      <c r="I60" s="291"/>
      <c r="J60" s="34"/>
      <c r="K60" s="368">
        <v>12341.06</v>
      </c>
      <c r="L60" s="293" t="e">
        <f>#REF!</f>
        <v>#REF!</v>
      </c>
      <c r="M60" s="409" t="e">
        <f t="shared" si="10"/>
        <v>#REF!</v>
      </c>
      <c r="N60" s="295" t="e">
        <f t="shared" si="8"/>
        <v>#REF!</v>
      </c>
      <c r="O60" s="295" t="e">
        <f t="shared" si="9"/>
        <v>#REF!</v>
      </c>
      <c r="P60" s="296" t="s">
        <v>138</v>
      </c>
      <c r="Q60" s="297"/>
      <c r="R60" s="296" t="s">
        <v>76</v>
      </c>
      <c r="S60" s="298" t="e">
        <f t="shared" si="11"/>
        <v>#REF!</v>
      </c>
      <c r="T60" s="198"/>
      <c r="U60" s="323"/>
      <c r="V60" s="198"/>
      <c r="W60" s="198"/>
      <c r="X60" s="198"/>
      <c r="Y60" s="198"/>
      <c r="Z60" s="198"/>
      <c r="AA60" s="198"/>
      <c r="AB60" s="198"/>
      <c r="AC60" s="198"/>
    </row>
    <row r="61" spans="1:29" s="188" customFormat="1" ht="11.25" hidden="1" customHeight="1">
      <c r="A61" s="13"/>
      <c r="B61" s="365">
        <v>45768</v>
      </c>
      <c r="C61" s="26" t="s">
        <v>10</v>
      </c>
      <c r="D61" s="104"/>
      <c r="E61" s="21">
        <v>35</v>
      </c>
      <c r="F61" s="57" t="s">
        <v>32</v>
      </c>
      <c r="G61" s="14"/>
      <c r="H61" s="34"/>
      <c r="I61" s="291"/>
      <c r="J61" s="34"/>
      <c r="K61" s="368">
        <v>7.2</v>
      </c>
      <c r="L61" s="293" t="e">
        <f>#REF!</f>
        <v>#REF!</v>
      </c>
      <c r="M61" s="409" t="e">
        <f t="shared" si="10"/>
        <v>#REF!</v>
      </c>
      <c r="N61" s="295" t="e">
        <f t="shared" si="8"/>
        <v>#REF!</v>
      </c>
      <c r="O61" s="295" t="e">
        <f t="shared" si="9"/>
        <v>#REF!</v>
      </c>
      <c r="P61" s="296" t="s">
        <v>138</v>
      </c>
      <c r="Q61" s="297"/>
      <c r="R61" s="296" t="s">
        <v>76</v>
      </c>
      <c r="S61" s="298" t="e">
        <f t="shared" si="11"/>
        <v>#REF!</v>
      </c>
      <c r="T61" s="198"/>
      <c r="U61" s="323"/>
      <c r="V61" s="198"/>
      <c r="W61" s="198"/>
      <c r="X61" s="198"/>
      <c r="Y61" s="198"/>
      <c r="Z61" s="198"/>
      <c r="AA61" s="198"/>
      <c r="AB61" s="198"/>
      <c r="AC61" s="198"/>
    </row>
    <row r="62" spans="1:29" s="188" customFormat="1" ht="11.25" hidden="1" customHeight="1">
      <c r="A62" s="13"/>
      <c r="B62" s="365">
        <v>45768</v>
      </c>
      <c r="C62" s="26" t="s">
        <v>63</v>
      </c>
      <c r="D62" s="21"/>
      <c r="E62" s="21">
        <v>36</v>
      </c>
      <c r="F62" s="57" t="s">
        <v>25</v>
      </c>
      <c r="G62" s="14" t="s">
        <v>26</v>
      </c>
      <c r="H62" s="34"/>
      <c r="I62" s="291"/>
      <c r="J62" s="34"/>
      <c r="K62" s="368">
        <v>15.97</v>
      </c>
      <c r="L62" s="293" t="e">
        <f>#REF!</f>
        <v>#REF!</v>
      </c>
      <c r="M62" s="409" t="e">
        <f t="shared" si="10"/>
        <v>#REF!</v>
      </c>
      <c r="N62" s="295" t="e">
        <f t="shared" si="8"/>
        <v>#REF!</v>
      </c>
      <c r="O62" s="295" t="e">
        <f t="shared" si="9"/>
        <v>#REF!</v>
      </c>
      <c r="P62" s="296" t="s">
        <v>138</v>
      </c>
      <c r="Q62" s="297"/>
      <c r="R62" s="296" t="s">
        <v>77</v>
      </c>
      <c r="S62" s="298" t="e">
        <f t="shared" si="11"/>
        <v>#REF!</v>
      </c>
      <c r="T62" s="198"/>
      <c r="U62" s="323"/>
      <c r="V62" s="198"/>
      <c r="W62" s="198"/>
      <c r="X62" s="198"/>
      <c r="Y62" s="198"/>
      <c r="Z62" s="198"/>
      <c r="AA62" s="198"/>
      <c r="AB62" s="198"/>
      <c r="AC62" s="198"/>
    </row>
    <row r="63" spans="1:29" s="188" customFormat="1" ht="11.25" hidden="1" customHeight="1">
      <c r="A63" s="13"/>
      <c r="B63" s="365">
        <v>45768</v>
      </c>
      <c r="C63" s="26" t="s">
        <v>23</v>
      </c>
      <c r="D63" s="21"/>
      <c r="E63" s="21">
        <v>37</v>
      </c>
      <c r="F63" s="57" t="s">
        <v>23</v>
      </c>
      <c r="G63" s="14" t="s">
        <v>24</v>
      </c>
      <c r="H63" s="34"/>
      <c r="I63" s="291"/>
      <c r="J63" s="34"/>
      <c r="K63" s="368">
        <v>111</v>
      </c>
      <c r="L63" s="293" t="e">
        <f>#REF!</f>
        <v>#REF!</v>
      </c>
      <c r="M63" s="409" t="e">
        <f t="shared" si="10"/>
        <v>#REF!</v>
      </c>
      <c r="N63" s="295" t="e">
        <f t="shared" si="8"/>
        <v>#REF!</v>
      </c>
      <c r="O63" s="295" t="e">
        <f t="shared" si="9"/>
        <v>#REF!</v>
      </c>
      <c r="P63" s="296" t="s">
        <v>138</v>
      </c>
      <c r="Q63" s="297"/>
      <c r="R63" s="296" t="s">
        <v>77</v>
      </c>
      <c r="S63" s="298" t="e">
        <f t="shared" si="11"/>
        <v>#REF!</v>
      </c>
      <c r="T63" s="198"/>
      <c r="U63" s="323"/>
      <c r="V63" s="198"/>
      <c r="W63" s="198"/>
      <c r="X63" s="198"/>
      <c r="Y63" s="198"/>
      <c r="Z63" s="198"/>
      <c r="AA63" s="198"/>
      <c r="AB63" s="198"/>
      <c r="AC63" s="198"/>
    </row>
    <row r="64" spans="1:29" s="188" customFormat="1" ht="11.25" hidden="1" customHeight="1">
      <c r="A64" s="13"/>
      <c r="B64" s="365">
        <v>45768</v>
      </c>
      <c r="C64" s="26" t="s">
        <v>30</v>
      </c>
      <c r="D64" s="21"/>
      <c r="E64" s="21">
        <v>38</v>
      </c>
      <c r="F64" s="57" t="s">
        <v>30</v>
      </c>
      <c r="G64" s="14" t="s">
        <v>31</v>
      </c>
      <c r="H64" s="34"/>
      <c r="I64" s="291"/>
      <c r="J64" s="34"/>
      <c r="K64" s="368">
        <v>198.1</v>
      </c>
      <c r="L64" s="293" t="e">
        <f>#REF!</f>
        <v>#REF!</v>
      </c>
      <c r="M64" s="409" t="e">
        <f t="shared" si="10"/>
        <v>#REF!</v>
      </c>
      <c r="N64" s="295" t="e">
        <f t="shared" si="8"/>
        <v>#REF!</v>
      </c>
      <c r="O64" s="295" t="e">
        <f t="shared" si="9"/>
        <v>#REF!</v>
      </c>
      <c r="P64" s="296" t="s">
        <v>138</v>
      </c>
      <c r="Q64" s="297"/>
      <c r="R64" s="296" t="s">
        <v>77</v>
      </c>
      <c r="S64" s="298" t="e">
        <f t="shared" si="11"/>
        <v>#REF!</v>
      </c>
      <c r="T64" s="198"/>
      <c r="U64" s="323"/>
      <c r="V64" s="198"/>
      <c r="W64" s="198"/>
      <c r="X64" s="198"/>
      <c r="Y64" s="198"/>
      <c r="Z64" s="198"/>
      <c r="AA64" s="198"/>
      <c r="AB64" s="198"/>
      <c r="AC64" s="198"/>
    </row>
    <row r="65" spans="1:29" s="188" customFormat="1" ht="11.25" hidden="1" customHeight="1">
      <c r="A65" s="13"/>
      <c r="B65" s="365">
        <v>45768</v>
      </c>
      <c r="C65" s="26" t="s">
        <v>64</v>
      </c>
      <c r="D65" s="104"/>
      <c r="E65" s="21">
        <v>39</v>
      </c>
      <c r="F65" s="57" t="s">
        <v>32</v>
      </c>
      <c r="G65" s="14"/>
      <c r="H65" s="34"/>
      <c r="I65" s="291"/>
      <c r="J65" s="34"/>
      <c r="K65" s="368">
        <v>13</v>
      </c>
      <c r="L65" s="293" t="e">
        <f>#REF!</f>
        <v>#REF!</v>
      </c>
      <c r="M65" s="409" t="e">
        <f t="shared" si="10"/>
        <v>#REF!</v>
      </c>
      <c r="N65" s="295" t="e">
        <f t="shared" si="8"/>
        <v>#REF!</v>
      </c>
      <c r="O65" s="295" t="e">
        <f t="shared" si="9"/>
        <v>#REF!</v>
      </c>
      <c r="P65" s="296" t="s">
        <v>138</v>
      </c>
      <c r="Q65" s="297"/>
      <c r="R65" s="296" t="s">
        <v>77</v>
      </c>
      <c r="S65" s="298" t="e">
        <f t="shared" si="11"/>
        <v>#REF!</v>
      </c>
      <c r="T65" s="198"/>
      <c r="U65" s="323"/>
      <c r="V65" s="198"/>
      <c r="W65" s="198"/>
      <c r="X65" s="198"/>
      <c r="Y65" s="198"/>
      <c r="Z65" s="198"/>
      <c r="AA65" s="198"/>
      <c r="AB65" s="198"/>
      <c r="AC65" s="198"/>
    </row>
    <row r="66" spans="1:29" s="188" customFormat="1" ht="11.25" hidden="1" customHeight="1">
      <c r="A66" s="13"/>
      <c r="B66" s="365">
        <v>45768</v>
      </c>
      <c r="C66" s="26" t="s">
        <v>49</v>
      </c>
      <c r="D66" s="104"/>
      <c r="E66" s="21">
        <v>40</v>
      </c>
      <c r="F66" s="57" t="s">
        <v>32</v>
      </c>
      <c r="G66" s="14"/>
      <c r="H66" s="34"/>
      <c r="I66" s="291"/>
      <c r="J66" s="34"/>
      <c r="K66" s="368">
        <v>3.6</v>
      </c>
      <c r="L66" s="293" t="e">
        <f>#REF!</f>
        <v>#REF!</v>
      </c>
      <c r="M66" s="409" t="e">
        <f t="shared" si="10"/>
        <v>#REF!</v>
      </c>
      <c r="N66" s="295" t="e">
        <f t="shared" si="8"/>
        <v>#REF!</v>
      </c>
      <c r="O66" s="295" t="e">
        <f t="shared" si="9"/>
        <v>#REF!</v>
      </c>
      <c r="P66" s="296" t="s">
        <v>138</v>
      </c>
      <c r="Q66" s="297"/>
      <c r="R66" s="296" t="s">
        <v>77</v>
      </c>
      <c r="S66" s="298" t="e">
        <f t="shared" si="11"/>
        <v>#REF!</v>
      </c>
      <c r="T66" s="198"/>
      <c r="U66" s="323"/>
      <c r="V66" s="198"/>
      <c r="W66" s="198"/>
      <c r="X66" s="198"/>
      <c r="Y66" s="198"/>
      <c r="Z66" s="198"/>
      <c r="AA66" s="198"/>
      <c r="AB66" s="198"/>
      <c r="AC66" s="198"/>
    </row>
    <row r="67" spans="1:29" s="188" customFormat="1" ht="11.25" hidden="1" customHeight="1">
      <c r="A67" s="13"/>
      <c r="B67" s="365">
        <v>45768</v>
      </c>
      <c r="C67" s="26" t="s">
        <v>71</v>
      </c>
      <c r="D67" s="21"/>
      <c r="E67" s="21">
        <v>41</v>
      </c>
      <c r="F67" s="57" t="s">
        <v>25</v>
      </c>
      <c r="G67" s="14" t="s">
        <v>26</v>
      </c>
      <c r="H67" s="34"/>
      <c r="I67" s="291"/>
      <c r="J67" s="34"/>
      <c r="K67" s="368">
        <v>2331</v>
      </c>
      <c r="L67" s="293" t="e">
        <f>#REF!</f>
        <v>#REF!</v>
      </c>
      <c r="M67" s="409" t="e">
        <f t="shared" si="10"/>
        <v>#REF!</v>
      </c>
      <c r="N67" s="295" t="e">
        <f t="shared" si="8"/>
        <v>#REF!</v>
      </c>
      <c r="O67" s="295" t="e">
        <f t="shared" si="9"/>
        <v>#REF!</v>
      </c>
      <c r="P67" s="296" t="s">
        <v>138</v>
      </c>
      <c r="Q67" s="297"/>
      <c r="R67" s="296" t="s">
        <v>142</v>
      </c>
      <c r="S67" s="298" t="e">
        <f t="shared" si="11"/>
        <v>#REF!</v>
      </c>
      <c r="T67" s="198"/>
      <c r="U67" s="323"/>
      <c r="V67" s="198"/>
      <c r="W67" s="198"/>
      <c r="X67" s="198"/>
      <c r="Y67" s="198"/>
      <c r="Z67" s="198"/>
      <c r="AA67" s="198"/>
      <c r="AB67" s="198"/>
      <c r="AC67" s="198"/>
    </row>
    <row r="68" spans="1:29" s="188" customFormat="1" ht="11.25" hidden="1" customHeight="1">
      <c r="A68" s="13"/>
      <c r="B68" s="365">
        <v>45768</v>
      </c>
      <c r="C68" s="26" t="s">
        <v>73</v>
      </c>
      <c r="D68" s="21"/>
      <c r="E68" s="21">
        <v>42</v>
      </c>
      <c r="F68" s="57" t="s">
        <v>25</v>
      </c>
      <c r="G68" s="14" t="s">
        <v>26</v>
      </c>
      <c r="H68" s="34"/>
      <c r="I68" s="291"/>
      <c r="J68" s="34"/>
      <c r="K68" s="368">
        <v>163.6</v>
      </c>
      <c r="L68" s="293" t="e">
        <f>#REF!</f>
        <v>#REF!</v>
      </c>
      <c r="M68" s="409" t="e">
        <f t="shared" si="10"/>
        <v>#REF!</v>
      </c>
      <c r="N68" s="295" t="e">
        <f t="shared" si="8"/>
        <v>#REF!</v>
      </c>
      <c r="O68" s="295" t="e">
        <f t="shared" si="9"/>
        <v>#REF!</v>
      </c>
      <c r="P68" s="296" t="s">
        <v>138</v>
      </c>
      <c r="Q68" s="297"/>
      <c r="R68" s="296" t="s">
        <v>142</v>
      </c>
      <c r="S68" s="298" t="e">
        <f t="shared" si="11"/>
        <v>#REF!</v>
      </c>
      <c r="T68" s="198"/>
      <c r="U68" s="323"/>
      <c r="V68" s="198"/>
      <c r="W68" s="198"/>
      <c r="X68" s="198"/>
      <c r="Y68" s="198"/>
      <c r="Z68" s="198"/>
      <c r="AA68" s="198"/>
      <c r="AB68" s="198"/>
      <c r="AC68" s="198"/>
    </row>
    <row r="69" spans="1:29" s="188" customFormat="1" ht="11.25" hidden="1" customHeight="1">
      <c r="A69" s="13"/>
      <c r="B69" s="365">
        <v>45768</v>
      </c>
      <c r="C69" s="26" t="s">
        <v>74</v>
      </c>
      <c r="D69" s="21"/>
      <c r="E69" s="21">
        <v>43</v>
      </c>
      <c r="F69" s="57" t="s">
        <v>25</v>
      </c>
      <c r="G69" s="14" t="s">
        <v>26</v>
      </c>
      <c r="H69" s="34"/>
      <c r="I69" s="291"/>
      <c r="J69" s="34"/>
      <c r="K69" s="368">
        <v>369</v>
      </c>
      <c r="L69" s="293" t="e">
        <f>#REF!</f>
        <v>#REF!</v>
      </c>
      <c r="M69" s="409" t="e">
        <f t="shared" si="10"/>
        <v>#REF!</v>
      </c>
      <c r="N69" s="295" t="e">
        <f t="shared" si="8"/>
        <v>#REF!</v>
      </c>
      <c r="O69" s="295" t="e">
        <f t="shared" si="9"/>
        <v>#REF!</v>
      </c>
      <c r="P69" s="296" t="s">
        <v>138</v>
      </c>
      <c r="Q69" s="297"/>
      <c r="R69" s="296" t="s">
        <v>142</v>
      </c>
      <c r="S69" s="298" t="e">
        <f t="shared" si="11"/>
        <v>#REF!</v>
      </c>
      <c r="T69" s="198"/>
      <c r="U69" s="323"/>
      <c r="V69" s="198"/>
      <c r="W69" s="198"/>
      <c r="X69" s="198"/>
      <c r="Y69" s="198"/>
      <c r="Z69" s="198"/>
      <c r="AA69" s="198"/>
      <c r="AB69" s="198"/>
      <c r="AC69" s="198"/>
    </row>
    <row r="70" spans="1:29" s="188" customFormat="1" ht="11.25" hidden="1" customHeight="1">
      <c r="A70" s="13"/>
      <c r="B70" s="365">
        <v>45768</v>
      </c>
      <c r="C70" s="26" t="s">
        <v>49</v>
      </c>
      <c r="D70" s="104"/>
      <c r="E70" s="21">
        <v>44</v>
      </c>
      <c r="F70" s="57" t="s">
        <v>32</v>
      </c>
      <c r="G70" s="14"/>
      <c r="H70" s="34"/>
      <c r="I70" s="291"/>
      <c r="J70" s="34"/>
      <c r="K70" s="368">
        <v>3.6</v>
      </c>
      <c r="L70" s="293" t="e">
        <f>#REF!</f>
        <v>#REF!</v>
      </c>
      <c r="M70" s="409" t="e">
        <f t="shared" si="10"/>
        <v>#REF!</v>
      </c>
      <c r="N70" s="295" t="e">
        <f t="shared" si="8"/>
        <v>#REF!</v>
      </c>
      <c r="O70" s="295" t="e">
        <f t="shared" si="9"/>
        <v>#REF!</v>
      </c>
      <c r="P70" s="296" t="s">
        <v>138</v>
      </c>
      <c r="Q70" s="297"/>
      <c r="R70" s="296" t="s">
        <v>142</v>
      </c>
      <c r="S70" s="298" t="e">
        <f t="shared" si="11"/>
        <v>#REF!</v>
      </c>
      <c r="T70" s="198"/>
      <c r="U70" s="323"/>
      <c r="V70" s="198"/>
      <c r="W70" s="198"/>
      <c r="X70" s="198"/>
      <c r="Y70" s="198"/>
      <c r="Z70" s="198"/>
      <c r="AA70" s="198"/>
      <c r="AB70" s="198"/>
      <c r="AC70" s="198"/>
    </row>
    <row r="71" spans="1:29" s="188" customFormat="1" ht="11.25" hidden="1" customHeight="1">
      <c r="A71" s="13"/>
      <c r="B71" s="365">
        <v>45768</v>
      </c>
      <c r="C71" s="26" t="s">
        <v>74</v>
      </c>
      <c r="D71" s="21"/>
      <c r="E71" s="21">
        <v>45</v>
      </c>
      <c r="F71" s="57" t="s">
        <v>25</v>
      </c>
      <c r="G71" s="14" t="s">
        <v>26</v>
      </c>
      <c r="H71" s="34"/>
      <c r="I71" s="291"/>
      <c r="J71" s="34"/>
      <c r="K71" s="368">
        <v>529</v>
      </c>
      <c r="L71" s="293" t="e">
        <f>#REF!</f>
        <v>#REF!</v>
      </c>
      <c r="M71" s="409" t="e">
        <f t="shared" si="10"/>
        <v>#REF!</v>
      </c>
      <c r="N71" s="295" t="e">
        <f t="shared" si="8"/>
        <v>#REF!</v>
      </c>
      <c r="O71" s="295" t="e">
        <f t="shared" si="9"/>
        <v>#REF!</v>
      </c>
      <c r="P71" s="296" t="s">
        <v>138</v>
      </c>
      <c r="Q71" s="297"/>
      <c r="R71" s="296" t="s">
        <v>143</v>
      </c>
      <c r="S71" s="298" t="e">
        <f t="shared" si="11"/>
        <v>#REF!</v>
      </c>
      <c r="T71" s="198"/>
      <c r="U71" s="323"/>
      <c r="V71" s="198"/>
      <c r="W71" s="198"/>
      <c r="X71" s="198"/>
      <c r="Y71" s="198"/>
      <c r="Z71" s="198"/>
      <c r="AA71" s="198"/>
      <c r="AB71" s="198"/>
      <c r="AC71" s="198"/>
    </row>
    <row r="72" spans="1:29" s="188" customFormat="1" ht="11.25" hidden="1" customHeight="1">
      <c r="A72" s="13"/>
      <c r="B72" s="365">
        <v>45768</v>
      </c>
      <c r="C72" s="26" t="s">
        <v>71</v>
      </c>
      <c r="D72" s="21"/>
      <c r="E72" s="21">
        <v>46</v>
      </c>
      <c r="F72" s="57" t="s">
        <v>25</v>
      </c>
      <c r="G72" s="14" t="s">
        <v>26</v>
      </c>
      <c r="H72" s="34"/>
      <c r="I72" s="291"/>
      <c r="J72" s="34"/>
      <c r="K72" s="368">
        <v>2255</v>
      </c>
      <c r="L72" s="293" t="e">
        <f>#REF!</f>
        <v>#REF!</v>
      </c>
      <c r="M72" s="409" t="e">
        <f t="shared" si="10"/>
        <v>#REF!</v>
      </c>
      <c r="N72" s="295" t="e">
        <f t="shared" si="8"/>
        <v>#REF!</v>
      </c>
      <c r="O72" s="295" t="e">
        <f t="shared" si="9"/>
        <v>#REF!</v>
      </c>
      <c r="P72" s="296" t="s">
        <v>138</v>
      </c>
      <c r="Q72" s="297"/>
      <c r="R72" s="296" t="s">
        <v>143</v>
      </c>
      <c r="S72" s="298" t="e">
        <f t="shared" si="11"/>
        <v>#REF!</v>
      </c>
      <c r="T72" s="198"/>
      <c r="U72" s="323"/>
      <c r="V72" s="198"/>
      <c r="W72" s="198"/>
      <c r="X72" s="198"/>
      <c r="Y72" s="198"/>
      <c r="Z72" s="198"/>
      <c r="AA72" s="198"/>
      <c r="AB72" s="198"/>
      <c r="AC72" s="198"/>
    </row>
    <row r="73" spans="1:29" s="188" customFormat="1" ht="11.25" hidden="1" customHeight="1">
      <c r="A73" s="13"/>
      <c r="B73" s="365">
        <v>45768</v>
      </c>
      <c r="C73" s="26" t="s">
        <v>73</v>
      </c>
      <c r="D73" s="21"/>
      <c r="E73" s="21">
        <v>47</v>
      </c>
      <c r="F73" s="57" t="s">
        <v>25</v>
      </c>
      <c r="G73" s="14" t="s">
        <v>26</v>
      </c>
      <c r="H73" s="34"/>
      <c r="I73" s="291"/>
      <c r="J73" s="34"/>
      <c r="K73" s="368">
        <v>201</v>
      </c>
      <c r="L73" s="293" t="e">
        <f>#REF!</f>
        <v>#REF!</v>
      </c>
      <c r="M73" s="409" t="e">
        <f t="shared" si="10"/>
        <v>#REF!</v>
      </c>
      <c r="N73" s="295" t="e">
        <f t="shared" si="8"/>
        <v>#REF!</v>
      </c>
      <c r="O73" s="295" t="e">
        <f t="shared" si="9"/>
        <v>#REF!</v>
      </c>
      <c r="P73" s="296" t="s">
        <v>138</v>
      </c>
      <c r="Q73" s="297"/>
      <c r="R73" s="296" t="s">
        <v>143</v>
      </c>
      <c r="S73" s="298" t="e">
        <f t="shared" si="11"/>
        <v>#REF!</v>
      </c>
      <c r="T73" s="198"/>
      <c r="U73" s="323"/>
      <c r="V73" s="198"/>
      <c r="W73" s="198"/>
      <c r="X73" s="198"/>
      <c r="Y73" s="198"/>
      <c r="Z73" s="198"/>
      <c r="AA73" s="198"/>
      <c r="AB73" s="198"/>
      <c r="AC73" s="198"/>
    </row>
    <row r="74" spans="1:29" s="188" customFormat="1" ht="11.25" hidden="1" customHeight="1">
      <c r="A74" s="13"/>
      <c r="B74" s="365">
        <v>45768</v>
      </c>
      <c r="C74" s="26" t="s">
        <v>49</v>
      </c>
      <c r="D74" s="104"/>
      <c r="E74" s="21">
        <v>48</v>
      </c>
      <c r="F74" s="57" t="s">
        <v>32</v>
      </c>
      <c r="G74" s="14"/>
      <c r="H74" s="34"/>
      <c r="I74" s="291"/>
      <c r="J74" s="34"/>
      <c r="K74" s="368">
        <v>3.6</v>
      </c>
      <c r="L74" s="293" t="e">
        <f>#REF!</f>
        <v>#REF!</v>
      </c>
      <c r="M74" s="409" t="e">
        <f t="shared" si="10"/>
        <v>#REF!</v>
      </c>
      <c r="N74" s="295" t="e">
        <f t="shared" si="8"/>
        <v>#REF!</v>
      </c>
      <c r="O74" s="295" t="e">
        <f t="shared" si="9"/>
        <v>#REF!</v>
      </c>
      <c r="P74" s="296" t="s">
        <v>138</v>
      </c>
      <c r="Q74" s="297"/>
      <c r="R74" s="296" t="s">
        <v>143</v>
      </c>
      <c r="S74" s="298" t="e">
        <f t="shared" si="11"/>
        <v>#REF!</v>
      </c>
      <c r="T74" s="198"/>
      <c r="U74" s="323"/>
      <c r="V74" s="198"/>
      <c r="W74" s="198"/>
      <c r="X74" s="198"/>
      <c r="Y74" s="198"/>
      <c r="Z74" s="198"/>
      <c r="AA74" s="198"/>
      <c r="AB74" s="198"/>
      <c r="AC74" s="198"/>
    </row>
    <row r="75" spans="1:29" s="188" customFormat="1" ht="11.25" hidden="1" customHeight="1">
      <c r="A75" s="13"/>
      <c r="B75" s="365">
        <v>45768</v>
      </c>
      <c r="C75" s="26" t="s">
        <v>80</v>
      </c>
      <c r="D75" s="104"/>
      <c r="E75" s="21">
        <v>49</v>
      </c>
      <c r="F75" s="57" t="s">
        <v>32</v>
      </c>
      <c r="G75" s="14"/>
      <c r="H75" s="34"/>
      <c r="I75" s="291"/>
      <c r="J75" s="34"/>
      <c r="K75" s="412">
        <v>16000</v>
      </c>
      <c r="L75" s="293" t="e">
        <f>#REF!</f>
        <v>#REF!</v>
      </c>
      <c r="M75" s="409" t="e">
        <f t="shared" si="10"/>
        <v>#REF!</v>
      </c>
      <c r="N75" s="295" t="e">
        <f t="shared" si="8"/>
        <v>#REF!</v>
      </c>
      <c r="O75" s="295" t="e">
        <f t="shared" si="9"/>
        <v>#REF!</v>
      </c>
      <c r="P75" s="296" t="s">
        <v>138</v>
      </c>
      <c r="Q75" s="297"/>
      <c r="R75" s="66" t="s">
        <v>144</v>
      </c>
      <c r="S75" s="298" t="e">
        <f t="shared" si="11"/>
        <v>#REF!</v>
      </c>
      <c r="T75" s="198"/>
      <c r="U75" s="323"/>
      <c r="V75" s="198"/>
      <c r="W75" s="198"/>
      <c r="X75" s="198"/>
      <c r="Y75" s="198"/>
      <c r="Z75" s="198"/>
      <c r="AA75" s="198"/>
      <c r="AB75" s="198"/>
      <c r="AC75" s="198"/>
    </row>
    <row r="76" spans="1:29" s="188" customFormat="1" ht="11.25" hidden="1" customHeight="1">
      <c r="A76" s="13"/>
      <c r="B76" s="365">
        <v>45768</v>
      </c>
      <c r="C76" s="26" t="s">
        <v>81</v>
      </c>
      <c r="D76" s="104"/>
      <c r="E76" s="21">
        <v>49</v>
      </c>
      <c r="F76" s="57" t="s">
        <v>32</v>
      </c>
      <c r="G76" s="14"/>
      <c r="H76" s="34"/>
      <c r="I76" s="291"/>
      <c r="J76" s="34"/>
      <c r="K76" s="412">
        <v>24000</v>
      </c>
      <c r="L76" s="293" t="e">
        <f>#REF!</f>
        <v>#REF!</v>
      </c>
      <c r="M76" s="409" t="e">
        <f t="shared" si="10"/>
        <v>#REF!</v>
      </c>
      <c r="N76" s="295" t="e">
        <f t="shared" si="8"/>
        <v>#REF!</v>
      </c>
      <c r="O76" s="295" t="e">
        <f t="shared" si="9"/>
        <v>#REF!</v>
      </c>
      <c r="P76" s="296" t="s">
        <v>138</v>
      </c>
      <c r="Q76" s="297"/>
      <c r="R76" s="66" t="s">
        <v>144</v>
      </c>
      <c r="S76" s="298" t="e">
        <f t="shared" si="11"/>
        <v>#REF!</v>
      </c>
      <c r="T76" s="198"/>
      <c r="U76" s="323"/>
      <c r="V76" s="198"/>
      <c r="W76" s="198"/>
      <c r="X76" s="198"/>
      <c r="Y76" s="198"/>
      <c r="Z76" s="198"/>
      <c r="AA76" s="198"/>
      <c r="AB76" s="198"/>
      <c r="AC76" s="198"/>
    </row>
    <row r="77" spans="1:29" s="188" customFormat="1" ht="11.25" hidden="1" customHeight="1">
      <c r="A77" s="13"/>
      <c r="B77" s="365">
        <v>45768</v>
      </c>
      <c r="C77" s="26" t="s">
        <v>82</v>
      </c>
      <c r="D77" s="104"/>
      <c r="E77" s="21">
        <v>49</v>
      </c>
      <c r="F77" s="57" t="s">
        <v>32</v>
      </c>
      <c r="G77" s="14"/>
      <c r="H77" s="34"/>
      <c r="I77" s="291"/>
      <c r="J77" s="34"/>
      <c r="K77" s="412">
        <v>5305.1900000000014</v>
      </c>
      <c r="L77" s="293" t="e">
        <f>#REF!</f>
        <v>#REF!</v>
      </c>
      <c r="M77" s="409" t="e">
        <f t="shared" si="10"/>
        <v>#REF!</v>
      </c>
      <c r="N77" s="295" t="e">
        <f t="shared" si="8"/>
        <v>#REF!</v>
      </c>
      <c r="O77" s="295" t="e">
        <f t="shared" si="9"/>
        <v>#REF!</v>
      </c>
      <c r="P77" s="296" t="s">
        <v>138</v>
      </c>
      <c r="Q77" s="297"/>
      <c r="R77" s="66" t="s">
        <v>144</v>
      </c>
      <c r="S77" s="298" t="e">
        <f t="shared" si="11"/>
        <v>#REF!</v>
      </c>
      <c r="T77" s="198"/>
      <c r="U77" s="323"/>
      <c r="V77" s="198"/>
      <c r="W77" s="198"/>
      <c r="X77" s="198"/>
      <c r="Y77" s="198"/>
      <c r="Z77" s="198"/>
      <c r="AA77" s="198"/>
      <c r="AB77" s="198"/>
      <c r="AC77" s="198"/>
    </row>
    <row r="78" spans="1:29" s="188" customFormat="1" ht="11.25" hidden="1" customHeight="1">
      <c r="A78" s="13"/>
      <c r="B78" s="365">
        <v>45768</v>
      </c>
      <c r="C78" s="26" t="s">
        <v>83</v>
      </c>
      <c r="D78" s="104"/>
      <c r="E78" s="21">
        <v>49</v>
      </c>
      <c r="F78" s="57" t="s">
        <v>32</v>
      </c>
      <c r="G78" s="14"/>
      <c r="H78" s="34"/>
      <c r="I78" s="291"/>
      <c r="J78" s="34"/>
      <c r="K78" s="413">
        <v>3336.8000000000011</v>
      </c>
      <c r="L78" s="293" t="e">
        <f>#REF!</f>
        <v>#REF!</v>
      </c>
      <c r="M78" s="409" t="e">
        <f t="shared" si="10"/>
        <v>#REF!</v>
      </c>
      <c r="N78" s="295" t="e">
        <f t="shared" si="8"/>
        <v>#REF!</v>
      </c>
      <c r="O78" s="295" t="e">
        <f t="shared" si="9"/>
        <v>#REF!</v>
      </c>
      <c r="P78" s="296" t="s">
        <v>138</v>
      </c>
      <c r="Q78" s="297"/>
      <c r="R78" s="66" t="s">
        <v>144</v>
      </c>
      <c r="S78" s="298" t="e">
        <f t="shared" si="11"/>
        <v>#REF!</v>
      </c>
      <c r="T78" s="198"/>
      <c r="U78" s="323"/>
      <c r="V78" s="198"/>
      <c r="W78" s="198"/>
      <c r="X78" s="198"/>
      <c r="Y78" s="198"/>
      <c r="Z78" s="198"/>
      <c r="AA78" s="198"/>
      <c r="AB78" s="198"/>
      <c r="AC78" s="198"/>
    </row>
    <row r="79" spans="1:29" ht="11.25" hidden="1" customHeight="1">
      <c r="B79" s="365">
        <v>45768</v>
      </c>
      <c r="C79" s="26" t="s">
        <v>84</v>
      </c>
      <c r="D79" s="104"/>
      <c r="E79" s="21">
        <v>49</v>
      </c>
      <c r="F79" s="57" t="s">
        <v>32</v>
      </c>
      <c r="G79" s="14"/>
      <c r="H79" s="34"/>
      <c r="I79" s="291"/>
      <c r="J79" s="34"/>
      <c r="K79" s="413">
        <v>300</v>
      </c>
      <c r="L79" s="293" t="e">
        <f>#REF!</f>
        <v>#REF!</v>
      </c>
      <c r="M79" s="409" t="e">
        <f t="shared" si="10"/>
        <v>#REF!</v>
      </c>
      <c r="N79" s="295" t="e">
        <f t="shared" si="8"/>
        <v>#REF!</v>
      </c>
      <c r="O79" s="295" t="e">
        <f t="shared" si="9"/>
        <v>#REF!</v>
      </c>
      <c r="P79" s="296" t="s">
        <v>138</v>
      </c>
      <c r="Q79" s="297"/>
      <c r="R79" s="66" t="s">
        <v>144</v>
      </c>
      <c r="S79" s="298" t="e">
        <f t="shared" si="11"/>
        <v>#REF!</v>
      </c>
    </row>
    <row r="80" spans="1:29" ht="11.25" hidden="1" customHeight="1">
      <c r="B80" s="365">
        <v>45772</v>
      </c>
      <c r="C80" s="26" t="s">
        <v>80</v>
      </c>
      <c r="D80" s="104"/>
      <c r="E80" s="21">
        <v>49</v>
      </c>
      <c r="F80" s="57" t="s">
        <v>32</v>
      </c>
      <c r="G80" s="14"/>
      <c r="H80" s="34"/>
      <c r="I80" s="291"/>
      <c r="J80" s="34"/>
      <c r="K80" s="412">
        <v>16000</v>
      </c>
      <c r="L80" s="293" t="e">
        <f>#REF!</f>
        <v>#REF!</v>
      </c>
      <c r="M80" s="409" t="e">
        <f t="shared" si="10"/>
        <v>#REF!</v>
      </c>
      <c r="N80" s="295" t="e">
        <f t="shared" si="8"/>
        <v>#REF!</v>
      </c>
      <c r="O80" s="295" t="e">
        <f t="shared" si="9"/>
        <v>#REF!</v>
      </c>
      <c r="P80" s="296" t="s">
        <v>138</v>
      </c>
      <c r="Q80" s="297"/>
      <c r="R80" s="66" t="s">
        <v>145</v>
      </c>
      <c r="S80" s="298" t="e">
        <f t="shared" si="11"/>
        <v>#REF!</v>
      </c>
    </row>
    <row r="81" spans="2:19" ht="11.25" hidden="1" customHeight="1">
      <c r="B81" s="365">
        <v>45772</v>
      </c>
      <c r="C81" s="26" t="s">
        <v>81</v>
      </c>
      <c r="D81" s="104"/>
      <c r="E81" s="21">
        <v>49</v>
      </c>
      <c r="F81" s="57" t="s">
        <v>32</v>
      </c>
      <c r="G81" s="14"/>
      <c r="H81" s="34"/>
      <c r="I81" s="291"/>
      <c r="J81" s="34"/>
      <c r="K81" s="412">
        <v>24000</v>
      </c>
      <c r="L81" s="293" t="e">
        <f>#REF!</f>
        <v>#REF!</v>
      </c>
      <c r="M81" s="409" t="e">
        <f t="shared" si="10"/>
        <v>#REF!</v>
      </c>
      <c r="N81" s="295" t="e">
        <f t="shared" si="8"/>
        <v>#REF!</v>
      </c>
      <c r="O81" s="295" t="e">
        <f t="shared" si="9"/>
        <v>#REF!</v>
      </c>
      <c r="P81" s="296" t="s">
        <v>138</v>
      </c>
      <c r="Q81" s="297"/>
      <c r="R81" s="67" t="s">
        <v>145</v>
      </c>
      <c r="S81" s="298" t="e">
        <f t="shared" si="11"/>
        <v>#REF!</v>
      </c>
    </row>
    <row r="82" spans="2:19" ht="11.25" hidden="1" customHeight="1">
      <c r="B82" s="365">
        <v>45772</v>
      </c>
      <c r="C82" s="26" t="s">
        <v>82</v>
      </c>
      <c r="D82" s="104"/>
      <c r="E82" s="21">
        <v>49</v>
      </c>
      <c r="F82" s="57" t="s">
        <v>32</v>
      </c>
      <c r="G82" s="14"/>
      <c r="H82" s="34"/>
      <c r="I82" s="291"/>
      <c r="J82" s="34"/>
      <c r="K82" s="413">
        <v>9305.19</v>
      </c>
      <c r="L82" s="293" t="e">
        <f>#REF!</f>
        <v>#REF!</v>
      </c>
      <c r="M82" s="409" t="e">
        <f t="shared" si="10"/>
        <v>#REF!</v>
      </c>
      <c r="N82" s="295" t="e">
        <f t="shared" si="8"/>
        <v>#REF!</v>
      </c>
      <c r="O82" s="295" t="e">
        <f t="shared" si="9"/>
        <v>#REF!</v>
      </c>
      <c r="P82" s="296" t="s">
        <v>138</v>
      </c>
      <c r="Q82" s="297"/>
      <c r="R82" s="67" t="s">
        <v>145</v>
      </c>
      <c r="S82" s="298" t="e">
        <f t="shared" si="11"/>
        <v>#REF!</v>
      </c>
    </row>
    <row r="83" spans="2:19" ht="11.25" hidden="1" customHeight="1">
      <c r="B83" s="365">
        <v>45772</v>
      </c>
      <c r="C83" s="26" t="s">
        <v>83</v>
      </c>
      <c r="D83" s="104"/>
      <c r="E83" s="21">
        <v>49</v>
      </c>
      <c r="F83" s="57" t="s">
        <v>32</v>
      </c>
      <c r="G83" s="14"/>
      <c r="H83" s="34"/>
      <c r="I83" s="291"/>
      <c r="J83" s="34"/>
      <c r="K83" s="413">
        <v>3144.8000000000011</v>
      </c>
      <c r="L83" s="293" t="e">
        <f>#REF!</f>
        <v>#REF!</v>
      </c>
      <c r="M83" s="409" t="e">
        <f t="shared" si="10"/>
        <v>#REF!</v>
      </c>
      <c r="N83" s="295" t="e">
        <f t="shared" si="8"/>
        <v>#REF!</v>
      </c>
      <c r="O83" s="295" t="e">
        <f t="shared" si="9"/>
        <v>#REF!</v>
      </c>
      <c r="P83" s="296" t="s">
        <v>138</v>
      </c>
      <c r="Q83" s="297"/>
      <c r="R83" s="67" t="s">
        <v>145</v>
      </c>
      <c r="S83" s="298" t="e">
        <f t="shared" si="11"/>
        <v>#REF!</v>
      </c>
    </row>
    <row r="84" spans="2:19" ht="11.25" hidden="1" customHeight="1">
      <c r="B84" s="365">
        <v>45772</v>
      </c>
      <c r="C84" s="26" t="s">
        <v>84</v>
      </c>
      <c r="D84" s="104"/>
      <c r="E84" s="21">
        <v>49</v>
      </c>
      <c r="F84" s="57" t="s">
        <v>32</v>
      </c>
      <c r="G84" s="14"/>
      <c r="H84" s="34"/>
      <c r="I84" s="291"/>
      <c r="J84" s="34"/>
      <c r="K84" s="413">
        <v>300</v>
      </c>
      <c r="L84" s="293" t="e">
        <f>#REF!</f>
        <v>#REF!</v>
      </c>
      <c r="M84" s="409" t="e">
        <f t="shared" si="10"/>
        <v>#REF!</v>
      </c>
      <c r="N84" s="295" t="e">
        <f t="shared" ref="N84:N104" si="12">N83+H84-K84</f>
        <v>#REF!</v>
      </c>
      <c r="O84" s="295" t="e">
        <f t="shared" ref="O84:O104" si="13">O83+J84-M84</f>
        <v>#REF!</v>
      </c>
      <c r="P84" s="296" t="s">
        <v>138</v>
      </c>
      <c r="Q84" s="297"/>
      <c r="R84" s="67" t="s">
        <v>145</v>
      </c>
      <c r="S84" s="298" t="e">
        <f t="shared" si="11"/>
        <v>#REF!</v>
      </c>
    </row>
    <row r="85" spans="2:19" ht="11.25" customHeight="1">
      <c r="B85" s="365">
        <v>45772</v>
      </c>
      <c r="C85" s="26" t="s">
        <v>85</v>
      </c>
      <c r="D85" s="21"/>
      <c r="E85" s="21">
        <v>49</v>
      </c>
      <c r="F85" s="57" t="s">
        <v>32</v>
      </c>
      <c r="G85" s="14"/>
      <c r="H85" s="34"/>
      <c r="I85" s="291"/>
      <c r="J85" s="34"/>
      <c r="K85" s="414">
        <v>25750</v>
      </c>
      <c r="L85" s="293" t="e">
        <f>#REF!</f>
        <v>#REF!</v>
      </c>
      <c r="M85" s="409" t="e">
        <f t="shared" si="10"/>
        <v>#REF!</v>
      </c>
      <c r="N85" s="295" t="e">
        <f t="shared" si="12"/>
        <v>#REF!</v>
      </c>
      <c r="O85" s="295" t="e">
        <f t="shared" si="13"/>
        <v>#REF!</v>
      </c>
      <c r="P85" s="296" t="s">
        <v>138</v>
      </c>
      <c r="Q85" s="297"/>
      <c r="R85" s="66" t="s">
        <v>146</v>
      </c>
      <c r="S85" s="298" t="e">
        <f t="shared" si="11"/>
        <v>#REF!</v>
      </c>
    </row>
    <row r="86" spans="2:19" ht="11.25" customHeight="1">
      <c r="B86" s="365">
        <v>45772</v>
      </c>
      <c r="C86" s="26" t="s">
        <v>87</v>
      </c>
      <c r="D86" s="21"/>
      <c r="E86" s="21">
        <v>49</v>
      </c>
      <c r="F86" s="57" t="s">
        <v>32</v>
      </c>
      <c r="G86" s="14"/>
      <c r="H86" s="34"/>
      <c r="I86" s="291"/>
      <c r="J86" s="34"/>
      <c r="K86" s="414">
        <v>12875</v>
      </c>
      <c r="L86" s="293" t="e">
        <f>#REF!</f>
        <v>#REF!</v>
      </c>
      <c r="M86" s="409" t="e">
        <f t="shared" si="10"/>
        <v>#REF!</v>
      </c>
      <c r="N86" s="295" t="e">
        <f t="shared" si="12"/>
        <v>#REF!</v>
      </c>
      <c r="O86" s="295" t="e">
        <f t="shared" si="13"/>
        <v>#REF!</v>
      </c>
      <c r="P86" s="296" t="s">
        <v>138</v>
      </c>
      <c r="Q86" s="297"/>
      <c r="R86" s="66" t="s">
        <v>146</v>
      </c>
      <c r="S86" s="298" t="e">
        <f t="shared" si="11"/>
        <v>#REF!</v>
      </c>
    </row>
    <row r="87" spans="2:19" ht="11.25" hidden="1" customHeight="1">
      <c r="B87" s="365">
        <v>45772</v>
      </c>
      <c r="C87" s="26" t="s">
        <v>88</v>
      </c>
      <c r="D87" s="104"/>
      <c r="E87" s="21">
        <v>49</v>
      </c>
      <c r="F87" s="57" t="s">
        <v>32</v>
      </c>
      <c r="G87" s="14"/>
      <c r="H87" s="34"/>
      <c r="I87" s="291"/>
      <c r="J87" s="34"/>
      <c r="K87" s="413">
        <v>7431.44</v>
      </c>
      <c r="L87" s="293" t="e">
        <f>#REF!</f>
        <v>#REF!</v>
      </c>
      <c r="M87" s="409" t="e">
        <f t="shared" si="10"/>
        <v>#REF!</v>
      </c>
      <c r="N87" s="295" t="e">
        <f t="shared" si="12"/>
        <v>#REF!</v>
      </c>
      <c r="O87" s="295" t="e">
        <f t="shared" si="13"/>
        <v>#REF!</v>
      </c>
      <c r="P87" s="296" t="s">
        <v>138</v>
      </c>
      <c r="Q87" s="297"/>
      <c r="R87" s="66" t="s">
        <v>146</v>
      </c>
      <c r="S87" s="298" t="e">
        <f t="shared" si="11"/>
        <v>#REF!</v>
      </c>
    </row>
    <row r="88" spans="2:19" ht="11.25" hidden="1" customHeight="1">
      <c r="B88" s="365">
        <v>45772</v>
      </c>
      <c r="C88" s="26" t="s">
        <v>84</v>
      </c>
      <c r="D88" s="104"/>
      <c r="E88" s="21">
        <v>49</v>
      </c>
      <c r="F88" s="57" t="s">
        <v>32</v>
      </c>
      <c r="G88" s="14"/>
      <c r="H88" s="34"/>
      <c r="I88" s="291"/>
      <c r="J88" s="34"/>
      <c r="K88" s="413">
        <v>300</v>
      </c>
      <c r="L88" s="293" t="e">
        <f>#REF!</f>
        <v>#REF!</v>
      </c>
      <c r="M88" s="409" t="e">
        <f t="shared" ref="M88:M119" si="14">K88/L88</f>
        <v>#REF!</v>
      </c>
      <c r="N88" s="295" t="e">
        <f t="shared" si="12"/>
        <v>#REF!</v>
      </c>
      <c r="O88" s="295" t="e">
        <f t="shared" si="13"/>
        <v>#REF!</v>
      </c>
      <c r="P88" s="296" t="s">
        <v>138</v>
      </c>
      <c r="Q88" s="297"/>
      <c r="R88" s="66" t="s">
        <v>146</v>
      </c>
      <c r="S88" s="298" t="e">
        <f t="shared" si="11"/>
        <v>#REF!</v>
      </c>
    </row>
    <row r="89" spans="2:19" ht="11.25" customHeight="1">
      <c r="B89" s="365">
        <v>45772</v>
      </c>
      <c r="C89" s="26" t="s">
        <v>89</v>
      </c>
      <c r="D89" s="21"/>
      <c r="E89" s="21">
        <v>49</v>
      </c>
      <c r="F89" s="57" t="s">
        <v>32</v>
      </c>
      <c r="G89" s="14"/>
      <c r="H89" s="34"/>
      <c r="I89" s="291"/>
      <c r="J89" s="34"/>
      <c r="K89" s="413">
        <v>800</v>
      </c>
      <c r="L89" s="293" t="e">
        <f>#REF!</f>
        <v>#REF!</v>
      </c>
      <c r="M89" s="409" t="e">
        <f t="shared" si="14"/>
        <v>#REF!</v>
      </c>
      <c r="N89" s="295" t="e">
        <f t="shared" si="12"/>
        <v>#REF!</v>
      </c>
      <c r="O89" s="295" t="e">
        <f t="shared" si="13"/>
        <v>#REF!</v>
      </c>
      <c r="P89" s="296" t="s">
        <v>138</v>
      </c>
      <c r="Q89" s="297"/>
      <c r="R89" s="66" t="s">
        <v>146</v>
      </c>
      <c r="S89" s="298" t="e">
        <f t="shared" ref="S89:S104" si="15">S88-M89+J89</f>
        <v>#REF!</v>
      </c>
    </row>
    <row r="90" spans="2:19" ht="11.25" customHeight="1">
      <c r="B90" s="365">
        <v>45772</v>
      </c>
      <c r="C90" s="26" t="s">
        <v>85</v>
      </c>
      <c r="D90" s="21"/>
      <c r="E90" s="21">
        <v>49</v>
      </c>
      <c r="F90" s="57" t="s">
        <v>32</v>
      </c>
      <c r="G90" s="14"/>
      <c r="H90" s="34"/>
      <c r="I90" s="291"/>
      <c r="J90" s="34"/>
      <c r="K90" s="414">
        <v>13390</v>
      </c>
      <c r="L90" s="293" t="e">
        <f>#REF!</f>
        <v>#REF!</v>
      </c>
      <c r="M90" s="409" t="e">
        <f t="shared" si="14"/>
        <v>#REF!</v>
      </c>
      <c r="N90" s="295" t="e">
        <f t="shared" si="12"/>
        <v>#REF!</v>
      </c>
      <c r="O90" s="295" t="e">
        <f t="shared" si="13"/>
        <v>#REF!</v>
      </c>
      <c r="P90" s="296" t="s">
        <v>138</v>
      </c>
      <c r="Q90" s="297"/>
      <c r="R90" s="68" t="s">
        <v>147</v>
      </c>
      <c r="S90" s="298" t="e">
        <f t="shared" si="15"/>
        <v>#REF!</v>
      </c>
    </row>
    <row r="91" spans="2:19" ht="11.25" customHeight="1">
      <c r="B91" s="365">
        <v>45772</v>
      </c>
      <c r="C91" s="26" t="s">
        <v>87</v>
      </c>
      <c r="D91" s="21"/>
      <c r="E91" s="21">
        <v>49</v>
      </c>
      <c r="F91" s="57" t="s">
        <v>32</v>
      </c>
      <c r="G91" s="14"/>
      <c r="H91" s="34"/>
      <c r="I91" s="291"/>
      <c r="J91" s="34"/>
      <c r="K91" s="414">
        <v>4120</v>
      </c>
      <c r="L91" s="293" t="e">
        <f>#REF!</f>
        <v>#REF!</v>
      </c>
      <c r="M91" s="409" t="e">
        <f t="shared" si="14"/>
        <v>#REF!</v>
      </c>
      <c r="N91" s="295" t="e">
        <f t="shared" si="12"/>
        <v>#REF!</v>
      </c>
      <c r="O91" s="295" t="e">
        <f t="shared" si="13"/>
        <v>#REF!</v>
      </c>
      <c r="P91" s="296" t="s">
        <v>138</v>
      </c>
      <c r="Q91" s="297"/>
      <c r="R91" s="68" t="s">
        <v>147</v>
      </c>
      <c r="S91" s="298" t="e">
        <f t="shared" si="15"/>
        <v>#REF!</v>
      </c>
    </row>
    <row r="92" spans="2:19" ht="11.25" hidden="1" customHeight="1">
      <c r="B92" s="365">
        <v>45772</v>
      </c>
      <c r="C92" s="26" t="s">
        <v>88</v>
      </c>
      <c r="D92" s="104"/>
      <c r="E92" s="21">
        <v>49</v>
      </c>
      <c r="F92" s="57" t="s">
        <v>32</v>
      </c>
      <c r="G92" s="14"/>
      <c r="H92" s="34"/>
      <c r="I92" s="291"/>
      <c r="J92" s="34"/>
      <c r="K92" s="413">
        <v>3281.57</v>
      </c>
      <c r="L92" s="293" t="e">
        <f>#REF!</f>
        <v>#REF!</v>
      </c>
      <c r="M92" s="409" t="e">
        <f t="shared" si="14"/>
        <v>#REF!</v>
      </c>
      <c r="N92" s="295" t="e">
        <f t="shared" si="12"/>
        <v>#REF!</v>
      </c>
      <c r="O92" s="295" t="e">
        <f t="shared" si="13"/>
        <v>#REF!</v>
      </c>
      <c r="P92" s="296" t="s">
        <v>138</v>
      </c>
      <c r="Q92" s="297"/>
      <c r="R92" s="68" t="s">
        <v>147</v>
      </c>
      <c r="S92" s="298" t="e">
        <f t="shared" si="15"/>
        <v>#REF!</v>
      </c>
    </row>
    <row r="93" spans="2:19" ht="11.25" hidden="1" customHeight="1">
      <c r="B93" s="365">
        <v>45772</v>
      </c>
      <c r="C93" s="26" t="s">
        <v>84</v>
      </c>
      <c r="D93" s="104"/>
      <c r="E93" s="21">
        <v>49</v>
      </c>
      <c r="F93" s="57" t="s">
        <v>32</v>
      </c>
      <c r="G93" s="14"/>
      <c r="H93" s="34"/>
      <c r="I93" s="291"/>
      <c r="J93" s="34"/>
      <c r="K93" s="413">
        <v>300</v>
      </c>
      <c r="L93" s="293" t="e">
        <f>#REF!</f>
        <v>#REF!</v>
      </c>
      <c r="M93" s="409" t="e">
        <f t="shared" si="14"/>
        <v>#REF!</v>
      </c>
      <c r="N93" s="295" t="e">
        <f t="shared" si="12"/>
        <v>#REF!</v>
      </c>
      <c r="O93" s="295" t="e">
        <f t="shared" si="13"/>
        <v>#REF!</v>
      </c>
      <c r="P93" s="296" t="s">
        <v>138</v>
      </c>
      <c r="Q93" s="297"/>
      <c r="R93" s="68" t="s">
        <v>147</v>
      </c>
      <c r="S93" s="298" t="e">
        <f t="shared" si="15"/>
        <v>#REF!</v>
      </c>
    </row>
    <row r="94" spans="2:19" ht="11.25" customHeight="1">
      <c r="B94" s="365">
        <v>45772</v>
      </c>
      <c r="C94" s="26" t="s">
        <v>89</v>
      </c>
      <c r="D94" s="21"/>
      <c r="E94" s="21">
        <v>49</v>
      </c>
      <c r="F94" s="57" t="s">
        <v>32</v>
      </c>
      <c r="G94" s="14"/>
      <c r="H94" s="34"/>
      <c r="I94" s="291"/>
      <c r="J94" s="34"/>
      <c r="K94" s="413">
        <v>200</v>
      </c>
      <c r="L94" s="293" t="e">
        <f>#REF!</f>
        <v>#REF!</v>
      </c>
      <c r="M94" s="409" t="e">
        <f t="shared" si="14"/>
        <v>#REF!</v>
      </c>
      <c r="N94" s="295" t="e">
        <f t="shared" si="12"/>
        <v>#REF!</v>
      </c>
      <c r="O94" s="295" t="e">
        <f t="shared" si="13"/>
        <v>#REF!</v>
      </c>
      <c r="P94" s="296" t="s">
        <v>138</v>
      </c>
      <c r="Q94" s="297"/>
      <c r="R94" s="68" t="s">
        <v>147</v>
      </c>
      <c r="S94" s="298" t="e">
        <f t="shared" si="15"/>
        <v>#REF!</v>
      </c>
    </row>
    <row r="95" spans="2:19" ht="11.25" customHeight="1">
      <c r="B95" s="365">
        <v>45772</v>
      </c>
      <c r="C95" s="26" t="s">
        <v>85</v>
      </c>
      <c r="D95" s="21"/>
      <c r="E95" s="21">
        <v>49</v>
      </c>
      <c r="F95" s="57" t="s">
        <v>32</v>
      </c>
      <c r="G95" s="14"/>
      <c r="H95" s="34"/>
      <c r="I95" s="291"/>
      <c r="J95" s="34"/>
      <c r="K95" s="414">
        <v>25750</v>
      </c>
      <c r="L95" s="293" t="e">
        <f>#REF!</f>
        <v>#REF!</v>
      </c>
      <c r="M95" s="409" t="e">
        <f t="shared" si="14"/>
        <v>#REF!</v>
      </c>
      <c r="N95" s="295" t="e">
        <f t="shared" si="12"/>
        <v>#REF!</v>
      </c>
      <c r="O95" s="295" t="e">
        <f t="shared" si="13"/>
        <v>#REF!</v>
      </c>
      <c r="P95" s="296" t="s">
        <v>138</v>
      </c>
      <c r="Q95" s="297"/>
      <c r="R95" s="66" t="s">
        <v>148</v>
      </c>
      <c r="S95" s="298" t="e">
        <f t="shared" si="15"/>
        <v>#REF!</v>
      </c>
    </row>
    <row r="96" spans="2:19" ht="11.25" customHeight="1">
      <c r="B96" s="365">
        <v>45772</v>
      </c>
      <c r="C96" s="26" t="s">
        <v>87</v>
      </c>
      <c r="D96" s="21"/>
      <c r="E96" s="21">
        <v>49</v>
      </c>
      <c r="F96" s="57" t="s">
        <v>32</v>
      </c>
      <c r="G96" s="14"/>
      <c r="H96" s="34"/>
      <c r="I96" s="291"/>
      <c r="J96" s="34"/>
      <c r="K96" s="414">
        <v>10300</v>
      </c>
      <c r="L96" s="293" t="e">
        <f>#REF!</f>
        <v>#REF!</v>
      </c>
      <c r="M96" s="409" t="e">
        <f t="shared" si="14"/>
        <v>#REF!</v>
      </c>
      <c r="N96" s="295" t="e">
        <f t="shared" si="12"/>
        <v>#REF!</v>
      </c>
      <c r="O96" s="295" t="e">
        <f t="shared" si="13"/>
        <v>#REF!</v>
      </c>
      <c r="P96" s="296" t="s">
        <v>138</v>
      </c>
      <c r="Q96" s="297"/>
      <c r="R96" s="66" t="s">
        <v>148</v>
      </c>
      <c r="S96" s="298" t="e">
        <f t="shared" si="15"/>
        <v>#REF!</v>
      </c>
    </row>
    <row r="97" spans="2:19" ht="11.25" hidden="1" customHeight="1">
      <c r="B97" s="365">
        <v>45772</v>
      </c>
      <c r="C97" s="26" t="s">
        <v>88</v>
      </c>
      <c r="D97" s="104"/>
      <c r="E97" s="21">
        <v>49</v>
      </c>
      <c r="F97" s="57" t="s">
        <v>32</v>
      </c>
      <c r="G97" s="14"/>
      <c r="H97" s="34"/>
      <c r="I97" s="291"/>
      <c r="J97" s="34"/>
      <c r="K97" s="413">
        <v>7431.44</v>
      </c>
      <c r="L97" s="293" t="e">
        <f>#REF!</f>
        <v>#REF!</v>
      </c>
      <c r="M97" s="409" t="e">
        <f t="shared" si="14"/>
        <v>#REF!</v>
      </c>
      <c r="N97" s="295" t="e">
        <f t="shared" si="12"/>
        <v>#REF!</v>
      </c>
      <c r="O97" s="295" t="e">
        <f t="shared" si="13"/>
        <v>#REF!</v>
      </c>
      <c r="P97" s="296" t="s">
        <v>138</v>
      </c>
      <c r="Q97" s="297"/>
      <c r="R97" s="66" t="s">
        <v>148</v>
      </c>
      <c r="S97" s="298" t="e">
        <f t="shared" si="15"/>
        <v>#REF!</v>
      </c>
    </row>
    <row r="98" spans="2:19" ht="11.25" hidden="1" customHeight="1">
      <c r="B98" s="365">
        <v>45772</v>
      </c>
      <c r="C98" s="26" t="s">
        <v>84</v>
      </c>
      <c r="D98" s="104"/>
      <c r="E98" s="21">
        <v>49</v>
      </c>
      <c r="F98" s="57" t="s">
        <v>32</v>
      </c>
      <c r="G98" s="14"/>
      <c r="H98" s="34"/>
      <c r="I98" s="291"/>
      <c r="J98" s="34"/>
      <c r="K98" s="413">
        <v>300</v>
      </c>
      <c r="L98" s="293" t="e">
        <f>#REF!</f>
        <v>#REF!</v>
      </c>
      <c r="M98" s="409" t="e">
        <f t="shared" si="14"/>
        <v>#REF!</v>
      </c>
      <c r="N98" s="295" t="e">
        <f t="shared" si="12"/>
        <v>#REF!</v>
      </c>
      <c r="O98" s="295" t="e">
        <f t="shared" si="13"/>
        <v>#REF!</v>
      </c>
      <c r="P98" s="296" t="s">
        <v>138</v>
      </c>
      <c r="Q98" s="297"/>
      <c r="R98" s="66" t="s">
        <v>148</v>
      </c>
      <c r="S98" s="298" t="e">
        <f t="shared" si="15"/>
        <v>#REF!</v>
      </c>
    </row>
    <row r="99" spans="2:19" ht="11.25" customHeight="1">
      <c r="B99" s="365">
        <v>45772</v>
      </c>
      <c r="C99" s="26" t="s">
        <v>89</v>
      </c>
      <c r="D99" s="21"/>
      <c r="E99" s="21">
        <v>49</v>
      </c>
      <c r="F99" s="57" t="s">
        <v>32</v>
      </c>
      <c r="G99" s="14"/>
      <c r="H99" s="34"/>
      <c r="I99" s="291"/>
      <c r="J99" s="34"/>
      <c r="K99" s="413">
        <v>200</v>
      </c>
      <c r="L99" s="293" t="e">
        <f>#REF!</f>
        <v>#REF!</v>
      </c>
      <c r="M99" s="409" t="e">
        <f t="shared" si="14"/>
        <v>#REF!</v>
      </c>
      <c r="N99" s="295" t="e">
        <f t="shared" si="12"/>
        <v>#REF!</v>
      </c>
      <c r="O99" s="295" t="e">
        <f t="shared" si="13"/>
        <v>#REF!</v>
      </c>
      <c r="P99" s="296" t="s">
        <v>138</v>
      </c>
      <c r="Q99" s="297"/>
      <c r="R99" s="66" t="s">
        <v>148</v>
      </c>
      <c r="S99" s="298" t="e">
        <f t="shared" si="15"/>
        <v>#REF!</v>
      </c>
    </row>
    <row r="100" spans="2:19" ht="11.25" customHeight="1">
      <c r="B100" s="365">
        <v>45772</v>
      </c>
      <c r="C100" s="26" t="s">
        <v>85</v>
      </c>
      <c r="D100" s="21"/>
      <c r="E100" s="21">
        <v>49</v>
      </c>
      <c r="F100" s="57" t="s">
        <v>32</v>
      </c>
      <c r="G100" s="14"/>
      <c r="H100" s="34"/>
      <c r="I100" s="291"/>
      <c r="J100" s="34"/>
      <c r="K100" s="413">
        <v>21300</v>
      </c>
      <c r="L100" s="293" t="e">
        <f>#REF!</f>
        <v>#REF!</v>
      </c>
      <c r="M100" s="409" t="e">
        <f t="shared" si="14"/>
        <v>#REF!</v>
      </c>
      <c r="N100" s="295" t="e">
        <f t="shared" si="12"/>
        <v>#REF!</v>
      </c>
      <c r="O100" s="295" t="e">
        <f t="shared" si="13"/>
        <v>#REF!</v>
      </c>
      <c r="P100" s="296" t="s">
        <v>138</v>
      </c>
      <c r="Q100" s="297"/>
      <c r="R100" s="66" t="s">
        <v>149</v>
      </c>
      <c r="S100" s="298" t="e">
        <f t="shared" si="15"/>
        <v>#REF!</v>
      </c>
    </row>
    <row r="101" spans="2:19" ht="11.25" customHeight="1">
      <c r="B101" s="365">
        <v>45772</v>
      </c>
      <c r="C101" s="26" t="s">
        <v>87</v>
      </c>
      <c r="D101" s="21"/>
      <c r="E101" s="21">
        <v>49</v>
      </c>
      <c r="F101" s="57" t="s">
        <v>32</v>
      </c>
      <c r="G101" s="14"/>
      <c r="H101" s="34"/>
      <c r="I101" s="291"/>
      <c r="J101" s="34"/>
      <c r="K101" s="413">
        <v>8600</v>
      </c>
      <c r="L101" s="293" t="e">
        <f>#REF!</f>
        <v>#REF!</v>
      </c>
      <c r="M101" s="409" t="e">
        <f t="shared" si="14"/>
        <v>#REF!</v>
      </c>
      <c r="N101" s="295" t="e">
        <f t="shared" si="12"/>
        <v>#REF!</v>
      </c>
      <c r="O101" s="295" t="e">
        <f t="shared" si="13"/>
        <v>#REF!</v>
      </c>
      <c r="P101" s="296" t="s">
        <v>138</v>
      </c>
      <c r="Q101" s="297"/>
      <c r="R101" s="66" t="s">
        <v>149</v>
      </c>
      <c r="S101" s="298" t="e">
        <f t="shared" si="15"/>
        <v>#REF!</v>
      </c>
    </row>
    <row r="102" spans="2:19" ht="11.25" hidden="1" customHeight="1">
      <c r="B102" s="365">
        <v>45772</v>
      </c>
      <c r="C102" s="26" t="s">
        <v>88</v>
      </c>
      <c r="D102" s="104"/>
      <c r="E102" s="21">
        <v>49</v>
      </c>
      <c r="F102" s="57" t="s">
        <v>32</v>
      </c>
      <c r="G102" s="14"/>
      <c r="H102" s="34"/>
      <c r="I102" s="291"/>
      <c r="J102" s="34"/>
      <c r="K102" s="413">
        <v>5941.29</v>
      </c>
      <c r="L102" s="293" t="e">
        <f>#REF!</f>
        <v>#REF!</v>
      </c>
      <c r="M102" s="409" t="e">
        <f t="shared" si="14"/>
        <v>#REF!</v>
      </c>
      <c r="N102" s="295" t="e">
        <f t="shared" si="12"/>
        <v>#REF!</v>
      </c>
      <c r="O102" s="295" t="e">
        <f t="shared" si="13"/>
        <v>#REF!</v>
      </c>
      <c r="P102" s="296" t="s">
        <v>138</v>
      </c>
      <c r="Q102" s="297"/>
      <c r="R102" s="66" t="s">
        <v>149</v>
      </c>
      <c r="S102" s="298" t="e">
        <f t="shared" si="15"/>
        <v>#REF!</v>
      </c>
    </row>
    <row r="103" spans="2:19" ht="11.25" hidden="1" customHeight="1">
      <c r="B103" s="365">
        <v>45772</v>
      </c>
      <c r="C103" s="26" t="s">
        <v>84</v>
      </c>
      <c r="D103" s="104"/>
      <c r="E103" s="21">
        <v>49</v>
      </c>
      <c r="F103" s="57" t="s">
        <v>32</v>
      </c>
      <c r="G103" s="14"/>
      <c r="H103" s="34"/>
      <c r="I103" s="291"/>
      <c r="J103" s="34"/>
      <c r="K103" s="413">
        <v>300</v>
      </c>
      <c r="L103" s="293" t="e">
        <f>#REF!</f>
        <v>#REF!</v>
      </c>
      <c r="M103" s="409" t="e">
        <f t="shared" si="14"/>
        <v>#REF!</v>
      </c>
      <c r="N103" s="295" t="e">
        <f t="shared" si="12"/>
        <v>#REF!</v>
      </c>
      <c r="O103" s="295" t="e">
        <f t="shared" si="13"/>
        <v>#REF!</v>
      </c>
      <c r="P103" s="296" t="s">
        <v>138</v>
      </c>
      <c r="Q103" s="297"/>
      <c r="R103" s="66" t="s">
        <v>149</v>
      </c>
      <c r="S103" s="298" t="e">
        <f t="shared" si="15"/>
        <v>#REF!</v>
      </c>
    </row>
    <row r="104" spans="2:19" ht="11.25" hidden="1" customHeight="1">
      <c r="B104" s="365">
        <v>45772</v>
      </c>
      <c r="C104" s="26" t="s">
        <v>150</v>
      </c>
      <c r="D104" s="104"/>
      <c r="E104" s="20">
        <v>50</v>
      </c>
      <c r="F104" s="57" t="s">
        <v>32</v>
      </c>
      <c r="G104" s="14"/>
      <c r="H104" s="34"/>
      <c r="I104" s="291"/>
      <c r="J104" s="34"/>
      <c r="K104" s="292">
        <v>12</v>
      </c>
      <c r="L104" s="293" t="e">
        <f>#REF!</f>
        <v>#REF!</v>
      </c>
      <c r="M104" s="409" t="e">
        <f t="shared" si="14"/>
        <v>#REF!</v>
      </c>
      <c r="N104" s="295" t="e">
        <f t="shared" si="12"/>
        <v>#REF!</v>
      </c>
      <c r="O104" s="295" t="e">
        <f t="shared" si="13"/>
        <v>#REF!</v>
      </c>
      <c r="P104" s="296" t="s">
        <v>138</v>
      </c>
      <c r="Q104" s="297"/>
      <c r="R104" s="296"/>
      <c r="S104" s="298" t="e">
        <f t="shared" si="15"/>
        <v>#REF!</v>
      </c>
    </row>
    <row r="105" spans="2:19" ht="11.25" customHeight="1">
      <c r="M105" s="399"/>
    </row>
    <row r="106" spans="2:19" ht="11.25" customHeight="1">
      <c r="M106" s="399"/>
    </row>
  </sheetData>
  <autoFilter ref="B18:R104" xr:uid="{00000000-0009-0000-0000-000004000000}">
    <filterColumn colId="2">
      <colorFilter dxfId="1"/>
    </filterColumn>
    <filterColumn colId="4">
      <filters>
        <filter val="해외지사비"/>
      </filters>
    </filterColumn>
    <filterColumn colId="14" showButton="0"/>
    <sortState xmlns:xlrd2="http://schemas.microsoft.com/office/spreadsheetml/2017/richdata2" ref="B19:R104">
      <sortCondition sortBy="cellColor" ref="M18:M104" dxfId="2"/>
    </sortState>
  </autoFilter>
  <mergeCells count="5">
    <mergeCell ref="N17:O17"/>
    <mergeCell ref="P18:Q18"/>
    <mergeCell ref="P17:Q17"/>
    <mergeCell ref="K17:M17"/>
    <mergeCell ref="H17:J17"/>
  </mergeCells>
  <phoneticPr fontId="3" type="noConversion"/>
  <pageMargins left="0.7" right="0.7" top="0.75" bottom="0.75" header="0.3" footer="0.3"/>
  <pageSetup paperSize="256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13" customWidth="1"/>
    <col min="2" max="2" width="9.75" style="186" customWidth="1"/>
    <col min="3" max="3" width="24" style="200" customWidth="1"/>
    <col min="4" max="4" width="9.75" style="198" customWidth="1"/>
    <col min="5" max="5" width="12.125" style="198" customWidth="1"/>
    <col min="6" max="6" width="12.5" style="198" customWidth="1"/>
    <col min="7" max="7" width="9.875" style="188" customWidth="1"/>
    <col min="8" max="8" width="9.75" style="198" customWidth="1"/>
    <col min="9" max="9" width="9.875" style="198" customWidth="1"/>
    <col min="10" max="10" width="10.5" style="188" customWidth="1"/>
    <col min="11" max="11" width="11" style="250" customWidth="1"/>
    <col min="12" max="12" width="11.125" style="198" customWidth="1"/>
    <col min="13" max="13" width="9.75" style="198" customWidth="1"/>
    <col min="14" max="14" width="12.375" style="198" customWidth="1"/>
    <col min="15" max="15" width="9.875" style="198" customWidth="1"/>
    <col min="16" max="16" width="10.75" style="198" customWidth="1"/>
    <col min="17" max="17" width="9.625" style="198" customWidth="1"/>
    <col min="18" max="18" width="31.5" style="188" customWidth="1"/>
    <col min="19" max="19" width="10.5" style="12" bestFit="1" customWidth="1"/>
    <col min="20" max="20" width="9" style="198" customWidth="1"/>
    <col min="21" max="21" width="9" style="323" customWidth="1"/>
    <col min="22" max="22" width="9" style="198" customWidth="1"/>
    <col min="23" max="16384" width="9" style="198"/>
  </cols>
  <sheetData>
    <row r="1" spans="1:29" ht="4.5" customHeight="1">
      <c r="A1" s="9"/>
      <c r="B1" s="324"/>
      <c r="C1" s="372"/>
      <c r="D1" s="325"/>
      <c r="E1" s="326"/>
      <c r="F1" s="326"/>
      <c r="G1" s="327"/>
      <c r="H1" s="326"/>
      <c r="I1" s="326"/>
      <c r="J1" s="328"/>
      <c r="K1" s="373"/>
      <c r="L1" s="326"/>
      <c r="M1" s="329"/>
      <c r="N1" s="329"/>
      <c r="O1" s="325"/>
      <c r="P1" s="330"/>
      <c r="Q1" s="330"/>
      <c r="R1" s="331"/>
      <c r="S1" s="10"/>
    </row>
    <row r="2" spans="1:29" ht="15" customHeight="1">
      <c r="B2" s="332" t="s">
        <v>151</v>
      </c>
      <c r="D2" s="200"/>
      <c r="F2" s="201"/>
      <c r="G2" s="188" t="s">
        <v>13</v>
      </c>
      <c r="H2" s="40" t="s">
        <v>14</v>
      </c>
      <c r="I2" s="202"/>
      <c r="J2" s="202"/>
      <c r="K2" s="374"/>
      <c r="L2" s="202"/>
      <c r="M2" s="202"/>
      <c r="N2" s="204"/>
      <c r="O2" s="205"/>
      <c r="Q2" s="202"/>
    </row>
    <row r="3" spans="1:29" s="206" customFormat="1" ht="11.25" customHeight="1">
      <c r="A3" s="11"/>
      <c r="B3" s="207" t="s">
        <v>136</v>
      </c>
      <c r="C3" s="208"/>
      <c r="D3" s="208"/>
      <c r="E3" s="208"/>
      <c r="F3" s="31">
        <v>1482.9</v>
      </c>
      <c r="G3" s="209"/>
      <c r="H3" s="207" t="s">
        <v>152</v>
      </c>
      <c r="I3" s="208"/>
      <c r="K3" s="375"/>
      <c r="L3" s="31">
        <v>1405.6</v>
      </c>
      <c r="N3" s="207"/>
      <c r="O3" s="207"/>
      <c r="P3" s="207"/>
      <c r="Q3" s="207"/>
      <c r="R3" s="207"/>
      <c r="T3" s="207"/>
      <c r="U3" s="208"/>
      <c r="V3" s="210"/>
      <c r="W3" s="210"/>
      <c r="X3" s="211">
        <v>1327.2</v>
      </c>
    </row>
    <row r="4" spans="1:29" ht="11.25" customHeight="1">
      <c r="A4" s="9"/>
      <c r="B4" s="212" t="s">
        <v>18</v>
      </c>
      <c r="C4" s="376" t="s">
        <v>19</v>
      </c>
      <c r="D4" s="213" t="s">
        <v>20</v>
      </c>
      <c r="E4" s="214" t="s">
        <v>21</v>
      </c>
      <c r="F4" s="215" t="s">
        <v>22</v>
      </c>
      <c r="H4" s="212" t="s">
        <v>18</v>
      </c>
      <c r="I4" s="213" t="s">
        <v>19</v>
      </c>
      <c r="J4" s="216" t="s">
        <v>20</v>
      </c>
      <c r="K4" s="217" t="s">
        <v>21</v>
      </c>
      <c r="L4" s="215" t="s">
        <v>22</v>
      </c>
      <c r="M4" s="218"/>
      <c r="N4" s="207"/>
      <c r="O4" s="207"/>
      <c r="P4" s="207"/>
      <c r="Q4" s="207"/>
      <c r="R4" s="207"/>
      <c r="U4" s="198"/>
    </row>
    <row r="5" spans="1:29" ht="11.25" customHeight="1">
      <c r="A5" s="12">
        <v>51131050</v>
      </c>
      <c r="B5" s="219" t="s">
        <v>23</v>
      </c>
      <c r="C5" s="220" t="s">
        <v>24</v>
      </c>
      <c r="D5" s="221">
        <v>3161.4</v>
      </c>
      <c r="E5" s="222">
        <v>431.34</v>
      </c>
      <c r="F5" s="223">
        <f t="shared" ref="F5:F10" si="0">ROUND(E5*$F$3,0)</f>
        <v>639634</v>
      </c>
      <c r="G5" s="224"/>
      <c r="H5" s="225" t="s">
        <v>23</v>
      </c>
      <c r="I5" s="225" t="s">
        <v>24</v>
      </c>
      <c r="J5" s="226">
        <v>14265.08</v>
      </c>
      <c r="K5" s="377">
        <v>1986.7</v>
      </c>
      <c r="L5" s="223">
        <f t="shared" ref="L5:L12" si="1">ROUND(K5*$L$3,0)</f>
        <v>2792506</v>
      </c>
      <c r="M5" s="400">
        <f t="shared" ref="M5:M13" si="2">L5+F5</f>
        <v>3432140</v>
      </c>
      <c r="N5" s="207"/>
      <c r="O5" s="207"/>
      <c r="P5" s="207"/>
      <c r="Q5" s="207"/>
      <c r="R5" s="207"/>
      <c r="S5" s="228">
        <f t="shared" ref="S5:S13" si="3">F5+L5+R5</f>
        <v>3432140</v>
      </c>
      <c r="U5" s="198"/>
    </row>
    <row r="6" spans="1:29" ht="11.25" customHeight="1">
      <c r="A6" s="12">
        <v>51061030</v>
      </c>
      <c r="B6" s="219" t="s">
        <v>25</v>
      </c>
      <c r="C6" s="220" t="s">
        <v>26</v>
      </c>
      <c r="D6" s="221">
        <v>11847.426888358519</v>
      </c>
      <c r="E6" s="221">
        <v>1616.47</v>
      </c>
      <c r="F6" s="223">
        <f t="shared" si="0"/>
        <v>2397063</v>
      </c>
      <c r="G6" s="229"/>
      <c r="H6" s="225" t="s">
        <v>25</v>
      </c>
      <c r="I6" s="225" t="s">
        <v>26</v>
      </c>
      <c r="J6" s="226">
        <v>19528.07</v>
      </c>
      <c r="K6" s="377">
        <v>2719.68</v>
      </c>
      <c r="L6" s="223">
        <f t="shared" si="1"/>
        <v>3822782</v>
      </c>
      <c r="M6" s="400">
        <f t="shared" si="2"/>
        <v>6219845</v>
      </c>
      <c r="N6" s="207"/>
      <c r="O6" s="207"/>
      <c r="P6" s="207"/>
      <c r="Q6" s="207"/>
      <c r="R6" s="207"/>
      <c r="S6" s="228">
        <f t="shared" si="3"/>
        <v>6219845</v>
      </c>
      <c r="U6" s="198"/>
      <c r="AB6" s="202"/>
      <c r="AC6" s="188"/>
    </row>
    <row r="7" spans="1:29" ht="11.25" customHeight="1">
      <c r="A7" s="12">
        <v>51201020</v>
      </c>
      <c r="B7" s="219" t="s">
        <v>27</v>
      </c>
      <c r="C7" s="220" t="s">
        <v>28</v>
      </c>
      <c r="D7" s="221">
        <v>25096</v>
      </c>
      <c r="E7" s="221">
        <v>3424.11</v>
      </c>
      <c r="F7" s="223">
        <f t="shared" si="0"/>
        <v>5077613</v>
      </c>
      <c r="G7" s="230"/>
      <c r="H7" s="225" t="s">
        <v>27</v>
      </c>
      <c r="I7" s="225" t="s">
        <v>28</v>
      </c>
      <c r="J7" s="226"/>
      <c r="K7" s="377"/>
      <c r="L7" s="223">
        <f t="shared" si="1"/>
        <v>0</v>
      </c>
      <c r="M7" s="400">
        <f t="shared" si="2"/>
        <v>5077613</v>
      </c>
      <c r="N7" s="207"/>
      <c r="O7" s="207"/>
      <c r="P7" s="207"/>
      <c r="Q7" s="207"/>
      <c r="R7" s="207"/>
      <c r="S7" s="228">
        <f t="shared" si="3"/>
        <v>5077613</v>
      </c>
      <c r="U7" s="198"/>
    </row>
    <row r="8" spans="1:29" ht="15" customHeight="1">
      <c r="A8" s="12">
        <v>51201030</v>
      </c>
      <c r="B8" s="219" t="s">
        <v>27</v>
      </c>
      <c r="C8" s="220" t="s">
        <v>29</v>
      </c>
      <c r="D8" s="221"/>
      <c r="E8" s="221"/>
      <c r="F8" s="223">
        <f t="shared" si="0"/>
        <v>0</v>
      </c>
      <c r="G8" s="230"/>
      <c r="H8" s="225" t="s">
        <v>27</v>
      </c>
      <c r="I8" s="220" t="s">
        <v>29</v>
      </c>
      <c r="J8" s="226">
        <v>20596</v>
      </c>
      <c r="K8" s="377">
        <v>2868.4</v>
      </c>
      <c r="L8" s="223">
        <f t="shared" si="1"/>
        <v>4031823</v>
      </c>
      <c r="M8" s="400">
        <f t="shared" si="2"/>
        <v>4031823</v>
      </c>
      <c r="N8" s="207"/>
      <c r="O8" s="207"/>
      <c r="P8" s="207"/>
      <c r="Q8" s="207"/>
      <c r="R8" s="207"/>
      <c r="S8" s="228">
        <f t="shared" si="3"/>
        <v>4031823</v>
      </c>
      <c r="U8" s="198"/>
    </row>
    <row r="9" spans="1:29" ht="11.25" customHeight="1">
      <c r="A9" s="12">
        <v>51071700</v>
      </c>
      <c r="B9" s="219" t="s">
        <v>30</v>
      </c>
      <c r="C9" s="220" t="s">
        <v>31</v>
      </c>
      <c r="D9" s="221">
        <v>2034.12</v>
      </c>
      <c r="E9" s="221">
        <v>277.54000000000002</v>
      </c>
      <c r="F9" s="223">
        <f t="shared" si="0"/>
        <v>411564</v>
      </c>
      <c r="G9" s="231"/>
      <c r="H9" s="225" t="s">
        <v>30</v>
      </c>
      <c r="I9" s="220" t="s">
        <v>31</v>
      </c>
      <c r="J9" s="226">
        <v>300</v>
      </c>
      <c r="K9" s="377">
        <v>41.78</v>
      </c>
      <c r="L9" s="223">
        <f t="shared" si="1"/>
        <v>58726</v>
      </c>
      <c r="M9" s="400">
        <f t="shared" si="2"/>
        <v>470290</v>
      </c>
      <c r="N9" s="207"/>
      <c r="O9" s="207"/>
      <c r="P9" s="207"/>
      <c r="Q9" s="207"/>
      <c r="R9" s="207"/>
      <c r="S9" s="228">
        <f t="shared" si="3"/>
        <v>470290</v>
      </c>
      <c r="U9" s="198"/>
    </row>
    <row r="10" spans="1:29" ht="11.25" customHeight="1">
      <c r="A10" s="12">
        <v>51321010</v>
      </c>
      <c r="B10" s="219" t="s">
        <v>32</v>
      </c>
      <c r="C10" s="220"/>
      <c r="D10" s="221">
        <v>2938.75</v>
      </c>
      <c r="E10" s="221">
        <v>400.97</v>
      </c>
      <c r="F10" s="223">
        <f t="shared" si="0"/>
        <v>594598</v>
      </c>
      <c r="G10" s="232"/>
      <c r="H10" s="225" t="s">
        <v>32</v>
      </c>
      <c r="I10" s="225"/>
      <c r="J10" s="226">
        <v>247302.52</v>
      </c>
      <c r="K10" s="377">
        <v>34492.81</v>
      </c>
      <c r="L10" s="223">
        <f t="shared" si="1"/>
        <v>48483094</v>
      </c>
      <c r="M10" s="400">
        <f t="shared" si="2"/>
        <v>49077692</v>
      </c>
      <c r="N10" s="207"/>
      <c r="O10" s="207"/>
      <c r="P10" s="207"/>
      <c r="Q10" s="207"/>
      <c r="R10" s="207"/>
      <c r="S10" s="228">
        <f t="shared" si="3"/>
        <v>49077692</v>
      </c>
      <c r="U10" s="198"/>
      <c r="AB10" s="202"/>
      <c r="AC10" s="188"/>
    </row>
    <row r="11" spans="1:29" ht="11.25" customHeight="1">
      <c r="A11" s="12">
        <v>51031020</v>
      </c>
      <c r="B11" s="233" t="s">
        <v>33</v>
      </c>
      <c r="C11" s="378" t="s">
        <v>34</v>
      </c>
      <c r="D11" s="233"/>
      <c r="E11" s="233"/>
      <c r="F11" s="235"/>
      <c r="G11" s="236">
        <f>G13/G12</f>
        <v>1482.899894804103</v>
      </c>
      <c r="H11" s="233" t="s">
        <v>33</v>
      </c>
      <c r="I11" s="233" t="s">
        <v>35</v>
      </c>
      <c r="J11" s="237"/>
      <c r="K11" s="379"/>
      <c r="L11" s="239">
        <f t="shared" si="1"/>
        <v>0</v>
      </c>
      <c r="M11" s="400">
        <f t="shared" si="2"/>
        <v>0</v>
      </c>
      <c r="N11" s="207"/>
      <c r="O11" s="248"/>
      <c r="P11" s="248"/>
      <c r="Q11" s="248"/>
      <c r="R11" s="207"/>
      <c r="S11" s="228">
        <f t="shared" si="3"/>
        <v>0</v>
      </c>
      <c r="U11" s="198"/>
      <c r="AB11" s="202"/>
      <c r="AC11" s="188"/>
    </row>
    <row r="12" spans="1:29" ht="11.25" customHeight="1">
      <c r="A12" s="12">
        <v>52981010</v>
      </c>
      <c r="B12" s="225" t="s">
        <v>36</v>
      </c>
      <c r="C12" s="220" t="s">
        <v>37</v>
      </c>
      <c r="D12" s="23"/>
      <c r="E12" s="221"/>
      <c r="F12" s="223">
        <f>ROUND(E12*$F$3,0)</f>
        <v>0</v>
      </c>
      <c r="G12" s="240">
        <f>E13+Q13+AB13</f>
        <v>6150.43</v>
      </c>
      <c r="H12" s="225" t="s">
        <v>36</v>
      </c>
      <c r="I12" s="225" t="s">
        <v>37</v>
      </c>
      <c r="J12" s="241"/>
      <c r="K12" s="380"/>
      <c r="L12" s="223">
        <f t="shared" si="1"/>
        <v>0</v>
      </c>
      <c r="M12" s="400">
        <f t="shared" si="2"/>
        <v>0</v>
      </c>
      <c r="N12" s="207"/>
      <c r="O12" s="248"/>
      <c r="P12" s="248"/>
      <c r="Q12" s="248"/>
      <c r="R12" s="207"/>
      <c r="S12" s="228">
        <f t="shared" si="3"/>
        <v>0</v>
      </c>
      <c r="U12" s="198"/>
      <c r="AB12" s="202"/>
      <c r="AC12" s="188"/>
    </row>
    <row r="13" spans="1:29" s="188" customFormat="1" ht="11.25" customHeight="1">
      <c r="A13" s="17"/>
      <c r="B13" s="242" t="s">
        <v>38</v>
      </c>
      <c r="C13" s="381"/>
      <c r="D13" s="244">
        <f>SUM(D5:D11)-D12</f>
        <v>45077.696888358521</v>
      </c>
      <c r="E13" s="382">
        <f>SUM(E5:E11)-E12</f>
        <v>6150.43</v>
      </c>
      <c r="F13" s="245">
        <f>SUM(F5:F11)-F12</f>
        <v>9120472</v>
      </c>
      <c r="G13" s="246">
        <f>F13+R13+AC13</f>
        <v>9120472</v>
      </c>
      <c r="H13" s="242" t="s">
        <v>38</v>
      </c>
      <c r="I13" s="243"/>
      <c r="J13" s="244">
        <f>SUM(J5:J11)-J12</f>
        <v>301991.67</v>
      </c>
      <c r="K13" s="217">
        <f>SUM(K5:K11)-K12</f>
        <v>42109.369999999995</v>
      </c>
      <c r="L13" s="245">
        <f>SUM(L5:L11)-L12</f>
        <v>59188931</v>
      </c>
      <c r="M13" s="227">
        <f t="shared" si="2"/>
        <v>68309403</v>
      </c>
      <c r="N13" s="207"/>
      <c r="O13" s="248"/>
      <c r="P13" s="248"/>
      <c r="Q13" s="248"/>
      <c r="R13" s="207"/>
      <c r="S13" s="228">
        <f t="shared" si="3"/>
        <v>68309403</v>
      </c>
      <c r="U13" s="247"/>
      <c r="X13" s="248">
        <f>F13+R13</f>
        <v>9120472</v>
      </c>
      <c r="Y13" s="249"/>
      <c r="Z13" s="250"/>
      <c r="AB13" s="203"/>
    </row>
    <row r="14" spans="1:29" ht="14.25" customHeight="1">
      <c r="A14" s="9"/>
      <c r="D14" s="383"/>
      <c r="E14" s="383"/>
      <c r="F14" s="384"/>
      <c r="G14" s="252"/>
      <c r="J14" s="253">
        <f>J13+D13+P13</f>
        <v>347069.36688835849</v>
      </c>
      <c r="K14" s="385">
        <f>K13+E13+Q13</f>
        <v>48259.799999999996</v>
      </c>
      <c r="L14" s="254">
        <f>L13+F13+R13</f>
        <v>68309403</v>
      </c>
      <c r="M14" s="255" t="e">
        <f>M16-E12</f>
        <v>#REF!</v>
      </c>
      <c r="N14" s="207"/>
      <c r="O14" s="248"/>
      <c r="P14" s="248"/>
      <c r="Q14" s="248"/>
      <c r="R14" s="207"/>
      <c r="X14" s="202"/>
      <c r="Y14" s="202"/>
      <c r="AB14" s="202"/>
      <c r="AC14" s="188"/>
    </row>
    <row r="15" spans="1:29" ht="14.25" customHeight="1">
      <c r="A15" s="9"/>
      <c r="D15" s="383"/>
      <c r="E15" s="383"/>
      <c r="F15" s="383"/>
      <c r="G15" s="252"/>
      <c r="J15" s="255" t="e">
        <f>J16-#REF!</f>
        <v>#REF!</v>
      </c>
      <c r="K15" s="255" t="e">
        <f>K16-#REF!</f>
        <v>#REF!</v>
      </c>
      <c r="L15" s="255" t="e">
        <f>L16-#REF!</f>
        <v>#REF!</v>
      </c>
      <c r="M15" s="255" t="e">
        <f>M16-#REF!</f>
        <v>#REF!</v>
      </c>
      <c r="O15" s="248"/>
      <c r="P15" s="248"/>
      <c r="Q15" s="248"/>
      <c r="R15" s="256"/>
      <c r="X15" s="202"/>
      <c r="Y15" s="202"/>
      <c r="AB15" s="202"/>
      <c r="AC15" s="188"/>
    </row>
    <row r="16" spans="1:29" ht="18.75" customHeight="1">
      <c r="A16" s="9"/>
      <c r="D16" s="200"/>
      <c r="E16" s="257"/>
      <c r="F16" s="257"/>
      <c r="G16" s="252"/>
      <c r="I16" s="202"/>
      <c r="J16" s="203"/>
      <c r="K16" s="386" t="e">
        <f>SUBTOTAL(9,K19:K111)</f>
        <v>#REF!</v>
      </c>
      <c r="L16" s="259"/>
      <c r="M16" s="386" t="e">
        <f>SUBTOTAL(9,M19:M111)</f>
        <v>#REF!</v>
      </c>
      <c r="N16" s="202"/>
      <c r="Q16" s="202"/>
    </row>
    <row r="17" spans="1:29" ht="11.25" customHeight="1">
      <c r="A17" s="9"/>
      <c r="B17" s="340" t="s">
        <v>39</v>
      </c>
      <c r="C17" s="387" t="s">
        <v>40</v>
      </c>
      <c r="D17" s="341" t="s">
        <v>41</v>
      </c>
      <c r="E17" s="342" t="s">
        <v>42</v>
      </c>
      <c r="F17" s="341" t="s">
        <v>18</v>
      </c>
      <c r="G17" s="343" t="s">
        <v>19</v>
      </c>
      <c r="H17" s="628" t="s">
        <v>3</v>
      </c>
      <c r="I17" s="629"/>
      <c r="J17" s="625"/>
      <c r="K17" s="628" t="s">
        <v>4</v>
      </c>
      <c r="L17" s="629"/>
      <c r="M17" s="625"/>
      <c r="N17" s="624" t="s">
        <v>5</v>
      </c>
      <c r="O17" s="625"/>
      <c r="P17" s="627"/>
      <c r="Q17" s="625"/>
      <c r="R17" s="343" t="s">
        <v>43</v>
      </c>
    </row>
    <row r="18" spans="1:29" ht="11.25" customHeight="1">
      <c r="A18" s="9"/>
      <c r="B18" s="345" t="s">
        <v>39</v>
      </c>
      <c r="C18" s="388" t="s">
        <v>40</v>
      </c>
      <c r="D18" s="346" t="s">
        <v>41</v>
      </c>
      <c r="E18" s="347" t="s">
        <v>42</v>
      </c>
      <c r="F18" s="346" t="s">
        <v>18</v>
      </c>
      <c r="G18" s="348" t="s">
        <v>19</v>
      </c>
      <c r="H18" s="349" t="s">
        <v>44</v>
      </c>
      <c r="I18" s="349" t="s">
        <v>7</v>
      </c>
      <c r="J18" s="350" t="s">
        <v>9</v>
      </c>
      <c r="K18" s="350" t="s">
        <v>44</v>
      </c>
      <c r="L18" s="349" t="s">
        <v>7</v>
      </c>
      <c r="M18" s="389" t="s">
        <v>9</v>
      </c>
      <c r="N18" s="344" t="s">
        <v>44</v>
      </c>
      <c r="O18" s="344" t="s">
        <v>9</v>
      </c>
      <c r="P18" s="626" t="s">
        <v>45</v>
      </c>
      <c r="Q18" s="625"/>
      <c r="R18" s="348" t="s">
        <v>43</v>
      </c>
    </row>
    <row r="19" spans="1:29" ht="11.25" customHeight="1">
      <c r="B19" s="351">
        <v>45777</v>
      </c>
      <c r="C19" s="353"/>
      <c r="D19" s="352"/>
      <c r="E19" s="353"/>
      <c r="F19" s="354"/>
      <c r="G19" s="355"/>
      <c r="H19" s="356"/>
      <c r="I19" s="352"/>
      <c r="J19" s="355"/>
      <c r="K19" s="401"/>
      <c r="L19" s="358"/>
      <c r="M19" s="359"/>
      <c r="N19" s="360">
        <v>45051.060000000907</v>
      </c>
      <c r="O19" s="360">
        <v>6150.4267521577694</v>
      </c>
      <c r="P19" s="361"/>
      <c r="Q19" s="353"/>
      <c r="R19" s="362"/>
      <c r="S19" s="289">
        <v>6150.4252273356087</v>
      </c>
    </row>
    <row r="20" spans="1:29" s="415" customFormat="1" ht="11.25" customHeight="1">
      <c r="A20" s="69"/>
      <c r="B20" s="416">
        <v>45790</v>
      </c>
      <c r="C20" s="103" t="s">
        <v>48</v>
      </c>
      <c r="D20" s="70"/>
      <c r="E20" s="71">
        <v>1</v>
      </c>
      <c r="F20" s="72"/>
      <c r="G20" s="72"/>
      <c r="H20" s="73">
        <v>343685.06</v>
      </c>
      <c r="I20" s="72"/>
      <c r="J20" s="73">
        <v>47916</v>
      </c>
      <c r="K20" s="417"/>
      <c r="L20" s="418"/>
      <c r="M20" s="419"/>
      <c r="N20" s="420">
        <f t="shared" ref="N20:N51" si="4">N19+H20-K20</f>
        <v>388736.12000000093</v>
      </c>
      <c r="O20" s="420">
        <f t="shared" ref="O20:O51" si="5">O19+J20-M20</f>
        <v>54066.426752157771</v>
      </c>
      <c r="P20" s="421"/>
      <c r="Q20" s="422"/>
      <c r="R20" s="422"/>
      <c r="S20" s="423"/>
      <c r="T20" s="424"/>
      <c r="V20" s="424"/>
      <c r="W20" s="424"/>
      <c r="X20" s="424"/>
      <c r="Y20" s="424"/>
      <c r="Z20" s="424"/>
      <c r="AA20" s="424"/>
      <c r="AB20" s="424"/>
      <c r="AC20" s="424"/>
    </row>
    <row r="21" spans="1:29" s="415" customFormat="1" ht="11.25" customHeight="1">
      <c r="A21" s="69"/>
      <c r="B21" s="425">
        <v>45790</v>
      </c>
      <c r="C21" s="86" t="s">
        <v>49</v>
      </c>
      <c r="D21" s="87"/>
      <c r="E21" s="88"/>
      <c r="F21" s="89" t="s">
        <v>32</v>
      </c>
      <c r="G21" s="89"/>
      <c r="H21" s="90"/>
      <c r="I21" s="89"/>
      <c r="J21" s="90"/>
      <c r="K21" s="426"/>
      <c r="L21" s="427"/>
      <c r="M21" s="428">
        <v>51</v>
      </c>
      <c r="N21" s="429">
        <f t="shared" si="4"/>
        <v>388736.12000000093</v>
      </c>
      <c r="O21" s="429">
        <f t="shared" si="5"/>
        <v>54015.426752157771</v>
      </c>
      <c r="P21" s="430"/>
      <c r="Q21" s="431"/>
      <c r="R21" s="431"/>
      <c r="S21" s="423"/>
      <c r="T21" s="424"/>
      <c r="V21" s="424"/>
      <c r="W21" s="424"/>
      <c r="X21" s="424"/>
      <c r="Y21" s="424"/>
      <c r="Z21" s="424"/>
      <c r="AA21" s="424"/>
      <c r="AB21" s="424"/>
      <c r="AC21" s="424"/>
    </row>
    <row r="22" spans="1:29" s="323" customFormat="1" ht="11.25" customHeight="1">
      <c r="A22" s="13"/>
      <c r="B22" s="432">
        <v>45792</v>
      </c>
      <c r="C22" s="78" t="s">
        <v>51</v>
      </c>
      <c r="D22" s="79"/>
      <c r="E22" s="80">
        <v>2</v>
      </c>
      <c r="F22" s="81" t="s">
        <v>27</v>
      </c>
      <c r="G22" s="81" t="s">
        <v>28</v>
      </c>
      <c r="H22" s="82"/>
      <c r="I22" s="81"/>
      <c r="J22" s="82"/>
      <c r="K22" s="433">
        <v>25096</v>
      </c>
      <c r="L22" s="434" t="e">
        <f>#REF!</f>
        <v>#REF!</v>
      </c>
      <c r="M22" s="435" t="e">
        <f t="shared" ref="M22:M50" si="6">K22/L22</f>
        <v>#REF!</v>
      </c>
      <c r="N22" s="436">
        <f t="shared" si="4"/>
        <v>363640.12000000093</v>
      </c>
      <c r="O22" s="436" t="e">
        <f t="shared" si="5"/>
        <v>#REF!</v>
      </c>
      <c r="P22" s="437" t="s">
        <v>138</v>
      </c>
      <c r="Q22" s="438"/>
      <c r="R22" s="438"/>
      <c r="S22" s="298" t="e">
        <f>S19-M22+J22</f>
        <v>#REF!</v>
      </c>
      <c r="T22" s="198"/>
      <c r="V22" s="198"/>
      <c r="W22" s="198"/>
      <c r="X22" s="198"/>
      <c r="Y22" s="198"/>
      <c r="Z22" s="198"/>
      <c r="AA22" s="198"/>
      <c r="AB22" s="198"/>
      <c r="AC22" s="198"/>
    </row>
    <row r="23" spans="1:29" s="323" customFormat="1" ht="11.25" customHeight="1">
      <c r="A23" s="13"/>
      <c r="B23" s="365">
        <v>45792</v>
      </c>
      <c r="C23" s="19" t="s">
        <v>49</v>
      </c>
      <c r="D23" s="21"/>
      <c r="E23" s="20">
        <v>3</v>
      </c>
      <c r="F23" s="34" t="s">
        <v>32</v>
      </c>
      <c r="G23" s="34"/>
      <c r="H23" s="28"/>
      <c r="I23" s="34"/>
      <c r="J23" s="28"/>
      <c r="K23" s="402">
        <v>7.2</v>
      </c>
      <c r="L23" s="293" t="e">
        <f>#REF!</f>
        <v>#REF!</v>
      </c>
      <c r="M23" s="409" t="e">
        <f t="shared" si="6"/>
        <v>#REF!</v>
      </c>
      <c r="N23" s="295">
        <f t="shared" si="4"/>
        <v>363632.92000000092</v>
      </c>
      <c r="O23" s="295" t="e">
        <f t="shared" si="5"/>
        <v>#REF!</v>
      </c>
      <c r="P23" s="296" t="s">
        <v>138</v>
      </c>
      <c r="Q23" s="297"/>
      <c r="R23" s="297"/>
      <c r="S23" s="298" t="e">
        <f t="shared" ref="S23:S53" si="7">S22-M23+J23</f>
        <v>#REF!</v>
      </c>
      <c r="T23" s="198"/>
      <c r="V23" s="198"/>
      <c r="W23" s="198"/>
      <c r="X23" s="198"/>
      <c r="Y23" s="198"/>
      <c r="Z23" s="198"/>
      <c r="AA23" s="198"/>
      <c r="AB23" s="198"/>
      <c r="AC23" s="198"/>
    </row>
    <row r="24" spans="1:29" s="323" customFormat="1" ht="12" customHeight="1">
      <c r="A24" s="13"/>
      <c r="B24" s="365">
        <v>45792</v>
      </c>
      <c r="C24" s="26" t="s">
        <v>53</v>
      </c>
      <c r="D24" s="21"/>
      <c r="E24" s="20">
        <v>4</v>
      </c>
      <c r="F24" s="34" t="s">
        <v>25</v>
      </c>
      <c r="G24" s="34" t="s">
        <v>26</v>
      </c>
      <c r="H24" s="28"/>
      <c r="I24" s="291"/>
      <c r="J24" s="28"/>
      <c r="K24" s="411">
        <v>1600</v>
      </c>
      <c r="L24" s="293" t="e">
        <f>#REF!</f>
        <v>#REF!</v>
      </c>
      <c r="M24" s="409" t="e">
        <f t="shared" si="6"/>
        <v>#REF!</v>
      </c>
      <c r="N24" s="295">
        <f t="shared" si="4"/>
        <v>362032.92000000092</v>
      </c>
      <c r="O24" s="295" t="e">
        <f t="shared" si="5"/>
        <v>#REF!</v>
      </c>
      <c r="P24" s="296" t="s">
        <v>138</v>
      </c>
      <c r="Q24" s="297"/>
      <c r="R24" s="297"/>
      <c r="S24" s="298" t="e">
        <f t="shared" si="7"/>
        <v>#REF!</v>
      </c>
      <c r="T24" s="198"/>
      <c r="V24" s="198"/>
      <c r="W24" s="198"/>
      <c r="X24" s="198"/>
      <c r="Y24" s="198"/>
      <c r="Z24" s="198"/>
      <c r="AA24" s="198"/>
      <c r="AB24" s="198"/>
      <c r="AC24" s="198"/>
    </row>
    <row r="25" spans="1:29" s="323" customFormat="1" ht="12" customHeight="1">
      <c r="A25" s="13"/>
      <c r="B25" s="365">
        <v>45792</v>
      </c>
      <c r="C25" s="19" t="s">
        <v>49</v>
      </c>
      <c r="D25" s="21"/>
      <c r="E25" s="20">
        <v>5</v>
      </c>
      <c r="F25" s="34" t="s">
        <v>32</v>
      </c>
      <c r="G25" s="34"/>
      <c r="H25" s="28"/>
      <c r="I25" s="291"/>
      <c r="J25" s="28"/>
      <c r="K25" s="411">
        <v>3.6</v>
      </c>
      <c r="L25" s="293" t="e">
        <f>#REF!</f>
        <v>#REF!</v>
      </c>
      <c r="M25" s="409" t="e">
        <f t="shared" si="6"/>
        <v>#REF!</v>
      </c>
      <c r="N25" s="295">
        <f t="shared" si="4"/>
        <v>362029.32000000094</v>
      </c>
      <c r="O25" s="295" t="e">
        <f t="shared" si="5"/>
        <v>#REF!</v>
      </c>
      <c r="P25" s="296" t="s">
        <v>138</v>
      </c>
      <c r="Q25" s="297"/>
      <c r="R25" s="297"/>
      <c r="S25" s="298" t="e">
        <f t="shared" si="7"/>
        <v>#REF!</v>
      </c>
      <c r="T25" s="198"/>
      <c r="V25" s="198"/>
      <c r="W25" s="198"/>
      <c r="X25" s="198"/>
      <c r="Y25" s="198"/>
      <c r="Z25" s="198"/>
      <c r="AA25" s="198"/>
      <c r="AB25" s="198"/>
      <c r="AC25" s="198"/>
    </row>
    <row r="26" spans="1:29" s="323" customFormat="1" ht="12" customHeight="1">
      <c r="A26" s="13"/>
      <c r="B26" s="365">
        <v>45796</v>
      </c>
      <c r="C26" s="19" t="s">
        <v>54</v>
      </c>
      <c r="D26" s="21"/>
      <c r="E26" s="20">
        <v>6</v>
      </c>
      <c r="F26" s="34" t="s">
        <v>32</v>
      </c>
      <c r="G26" s="34"/>
      <c r="H26" s="28"/>
      <c r="I26" s="291"/>
      <c r="J26" s="28"/>
      <c r="K26" s="411">
        <v>1010</v>
      </c>
      <c r="L26" s="293" t="e">
        <f>#REF!</f>
        <v>#REF!</v>
      </c>
      <c r="M26" s="409" t="e">
        <f t="shared" si="6"/>
        <v>#REF!</v>
      </c>
      <c r="N26" s="295">
        <f t="shared" si="4"/>
        <v>361019.32000000094</v>
      </c>
      <c r="O26" s="295" t="e">
        <f t="shared" si="5"/>
        <v>#REF!</v>
      </c>
      <c r="P26" s="296" t="s">
        <v>138</v>
      </c>
      <c r="Q26" s="297"/>
      <c r="R26" s="297"/>
      <c r="S26" s="298" t="e">
        <f t="shared" si="7"/>
        <v>#REF!</v>
      </c>
      <c r="T26" s="198"/>
      <c r="V26" s="198"/>
      <c r="W26" s="198"/>
      <c r="X26" s="198"/>
      <c r="Y26" s="198"/>
      <c r="Z26" s="198"/>
      <c r="AA26" s="198"/>
      <c r="AB26" s="198"/>
      <c r="AC26" s="198"/>
    </row>
    <row r="27" spans="1:29" s="323" customFormat="1" ht="12" customHeight="1">
      <c r="A27" s="13"/>
      <c r="B27" s="365">
        <v>45796</v>
      </c>
      <c r="C27" s="19" t="s">
        <v>49</v>
      </c>
      <c r="D27" s="21"/>
      <c r="E27" s="20">
        <v>7</v>
      </c>
      <c r="F27" s="34" t="s">
        <v>32</v>
      </c>
      <c r="G27" s="34"/>
      <c r="H27" s="28"/>
      <c r="I27" s="291"/>
      <c r="J27" s="28"/>
      <c r="K27" s="411">
        <v>3.6</v>
      </c>
      <c r="L27" s="293" t="e">
        <f>#REF!</f>
        <v>#REF!</v>
      </c>
      <c r="M27" s="409" t="e">
        <f t="shared" si="6"/>
        <v>#REF!</v>
      </c>
      <c r="N27" s="295">
        <f t="shared" si="4"/>
        <v>361015.72000000096</v>
      </c>
      <c r="O27" s="295" t="e">
        <f t="shared" si="5"/>
        <v>#REF!</v>
      </c>
      <c r="P27" s="296" t="s">
        <v>138</v>
      </c>
      <c r="Q27" s="297"/>
      <c r="R27" s="297"/>
      <c r="S27" s="298" t="e">
        <f t="shared" si="7"/>
        <v>#REF!</v>
      </c>
      <c r="T27" s="198"/>
      <c r="V27" s="198"/>
      <c r="W27" s="198"/>
      <c r="X27" s="198"/>
      <c r="Y27" s="198"/>
      <c r="Z27" s="198"/>
      <c r="AA27" s="198"/>
      <c r="AB27" s="198"/>
      <c r="AC27" s="198"/>
    </row>
    <row r="28" spans="1:29" s="323" customFormat="1" ht="12" customHeight="1">
      <c r="A28" s="13"/>
      <c r="B28" s="365">
        <v>45796</v>
      </c>
      <c r="C28" s="26" t="s">
        <v>59</v>
      </c>
      <c r="D28" s="21" t="s">
        <v>60</v>
      </c>
      <c r="E28" s="20">
        <v>8</v>
      </c>
      <c r="F28" s="34" t="s">
        <v>30</v>
      </c>
      <c r="G28" s="34" t="s">
        <v>31</v>
      </c>
      <c r="H28" s="34"/>
      <c r="I28" s="34"/>
      <c r="J28" s="34"/>
      <c r="K28" s="368">
        <v>1018.2</v>
      </c>
      <c r="L28" s="293" t="e">
        <f>#REF!</f>
        <v>#REF!</v>
      </c>
      <c r="M28" s="409" t="e">
        <f t="shared" si="6"/>
        <v>#REF!</v>
      </c>
      <c r="N28" s="295">
        <f t="shared" si="4"/>
        <v>359997.52000000095</v>
      </c>
      <c r="O28" s="295" t="e">
        <f t="shared" si="5"/>
        <v>#REF!</v>
      </c>
      <c r="P28" s="296" t="s">
        <v>138</v>
      </c>
      <c r="Q28" s="297"/>
      <c r="R28" s="297"/>
      <c r="S28" s="298" t="e">
        <f t="shared" si="7"/>
        <v>#REF!</v>
      </c>
      <c r="T28" s="198"/>
      <c r="V28" s="198"/>
      <c r="W28" s="198"/>
      <c r="X28" s="198"/>
      <c r="Y28" s="198"/>
      <c r="Z28" s="198"/>
      <c r="AA28" s="198"/>
      <c r="AB28" s="198"/>
      <c r="AC28" s="198"/>
    </row>
    <row r="29" spans="1:29" s="323" customFormat="1" ht="12" customHeight="1">
      <c r="A29" s="13"/>
      <c r="B29" s="365">
        <v>45796</v>
      </c>
      <c r="C29" s="26" t="s">
        <v>131</v>
      </c>
      <c r="D29" s="21" t="s">
        <v>60</v>
      </c>
      <c r="E29" s="20">
        <v>9</v>
      </c>
      <c r="F29" s="34" t="s">
        <v>32</v>
      </c>
      <c r="G29" s="34"/>
      <c r="H29" s="34"/>
      <c r="I29" s="34"/>
      <c r="J29" s="34"/>
      <c r="K29" s="368">
        <v>676</v>
      </c>
      <c r="L29" s="293" t="e">
        <f>#REF!</f>
        <v>#REF!</v>
      </c>
      <c r="M29" s="409" t="e">
        <f t="shared" si="6"/>
        <v>#REF!</v>
      </c>
      <c r="N29" s="295">
        <f t="shared" si="4"/>
        <v>359321.52000000095</v>
      </c>
      <c r="O29" s="295" t="e">
        <f t="shared" si="5"/>
        <v>#REF!</v>
      </c>
      <c r="P29" s="296" t="s">
        <v>138</v>
      </c>
      <c r="Q29" s="297"/>
      <c r="R29" s="410"/>
      <c r="S29" s="298" t="e">
        <f t="shared" si="7"/>
        <v>#REF!</v>
      </c>
      <c r="T29" s="198"/>
      <c r="V29" s="198"/>
      <c r="W29" s="198"/>
      <c r="X29" s="198"/>
      <c r="Y29" s="198"/>
      <c r="Z29" s="198"/>
      <c r="AA29" s="198"/>
      <c r="AB29" s="198"/>
      <c r="AC29" s="198"/>
    </row>
    <row r="30" spans="1:29" s="323" customFormat="1" ht="12" customHeight="1">
      <c r="A30" s="13"/>
      <c r="B30" s="365">
        <v>45796</v>
      </c>
      <c r="C30" s="19" t="s">
        <v>10</v>
      </c>
      <c r="D30" s="21" t="s">
        <v>60</v>
      </c>
      <c r="E30" s="20">
        <v>10</v>
      </c>
      <c r="F30" s="34" t="s">
        <v>32</v>
      </c>
      <c r="G30" s="34"/>
      <c r="H30" s="34"/>
      <c r="I30" s="34"/>
      <c r="J30" s="34"/>
      <c r="K30" s="292">
        <v>3.6</v>
      </c>
      <c r="L30" s="293" t="e">
        <f>#REF!</f>
        <v>#REF!</v>
      </c>
      <c r="M30" s="409" t="e">
        <f t="shared" si="6"/>
        <v>#REF!</v>
      </c>
      <c r="N30" s="295">
        <f t="shared" si="4"/>
        <v>359317.92000000097</v>
      </c>
      <c r="O30" s="295" t="e">
        <f t="shared" si="5"/>
        <v>#REF!</v>
      </c>
      <c r="P30" s="296" t="s">
        <v>138</v>
      </c>
      <c r="Q30" s="297"/>
      <c r="R30" s="410"/>
      <c r="S30" s="298" t="e">
        <f t="shared" si="7"/>
        <v>#REF!</v>
      </c>
      <c r="T30" s="198"/>
      <c r="V30" s="198"/>
      <c r="W30" s="198"/>
      <c r="X30" s="198"/>
      <c r="Y30" s="198"/>
      <c r="Z30" s="198"/>
      <c r="AA30" s="198"/>
      <c r="AB30" s="198"/>
      <c r="AC30" s="198"/>
    </row>
    <row r="31" spans="1:29" s="323" customFormat="1" ht="12" customHeight="1">
      <c r="A31" s="13"/>
      <c r="B31" s="365">
        <v>45796</v>
      </c>
      <c r="C31" s="26" t="s">
        <v>153</v>
      </c>
      <c r="D31" s="21" t="s">
        <v>62</v>
      </c>
      <c r="E31" s="57">
        <v>11</v>
      </c>
      <c r="F31" s="34" t="s">
        <v>25</v>
      </c>
      <c r="G31" s="14" t="s">
        <v>26</v>
      </c>
      <c r="H31" s="34"/>
      <c r="I31" s="34"/>
      <c r="J31" s="34"/>
      <c r="K31" s="368">
        <v>419.4</v>
      </c>
      <c r="L31" s="293" t="e">
        <f>#REF!</f>
        <v>#REF!</v>
      </c>
      <c r="M31" s="409" t="e">
        <f t="shared" si="6"/>
        <v>#REF!</v>
      </c>
      <c r="N31" s="295">
        <f t="shared" si="4"/>
        <v>358898.52000000095</v>
      </c>
      <c r="O31" s="295" t="e">
        <f t="shared" si="5"/>
        <v>#REF!</v>
      </c>
      <c r="P31" s="296" t="s">
        <v>138</v>
      </c>
      <c r="Q31" s="297"/>
      <c r="R31" s="410"/>
      <c r="S31" s="298" t="e">
        <f t="shared" si="7"/>
        <v>#REF!</v>
      </c>
      <c r="T31" s="198"/>
      <c r="V31" s="198"/>
      <c r="W31" s="198"/>
      <c r="X31" s="198"/>
      <c r="Y31" s="198"/>
      <c r="Z31" s="198"/>
      <c r="AA31" s="198"/>
      <c r="AB31" s="198"/>
      <c r="AC31" s="198"/>
    </row>
    <row r="32" spans="1:29" s="323" customFormat="1" ht="12" customHeight="1">
      <c r="A32" s="13"/>
      <c r="B32" s="365">
        <v>45796</v>
      </c>
      <c r="C32" s="19" t="s">
        <v>61</v>
      </c>
      <c r="D32" s="21" t="s">
        <v>62</v>
      </c>
      <c r="E32" s="20">
        <v>12</v>
      </c>
      <c r="F32" s="34" t="s">
        <v>25</v>
      </c>
      <c r="G32" s="34" t="s">
        <v>26</v>
      </c>
      <c r="H32" s="34"/>
      <c r="I32" s="34"/>
      <c r="J32" s="34"/>
      <c r="K32" s="292">
        <v>628</v>
      </c>
      <c r="L32" s="293" t="e">
        <f>#REF!</f>
        <v>#REF!</v>
      </c>
      <c r="M32" s="409" t="e">
        <f t="shared" si="6"/>
        <v>#REF!</v>
      </c>
      <c r="N32" s="295">
        <f t="shared" si="4"/>
        <v>358270.52000000095</v>
      </c>
      <c r="O32" s="295" t="e">
        <f t="shared" si="5"/>
        <v>#REF!</v>
      </c>
      <c r="P32" s="296" t="s">
        <v>138</v>
      </c>
      <c r="Q32" s="297"/>
      <c r="R32" s="410"/>
      <c r="S32" s="298" t="e">
        <f t="shared" si="7"/>
        <v>#REF!</v>
      </c>
      <c r="T32" s="198"/>
      <c r="V32" s="198"/>
      <c r="W32" s="198"/>
      <c r="X32" s="198"/>
      <c r="Y32" s="198"/>
      <c r="Z32" s="198"/>
      <c r="AA32" s="198"/>
      <c r="AB32" s="198"/>
      <c r="AC32" s="198"/>
    </row>
    <row r="33" spans="1:29" s="323" customFormat="1" ht="12" customHeight="1">
      <c r="A33" s="13"/>
      <c r="B33" s="365">
        <v>45796</v>
      </c>
      <c r="C33" s="26" t="s">
        <v>30</v>
      </c>
      <c r="D33" s="21" t="s">
        <v>62</v>
      </c>
      <c r="E33" s="20">
        <v>13</v>
      </c>
      <c r="F33" s="34" t="s">
        <v>30</v>
      </c>
      <c r="G33" s="34" t="s">
        <v>31</v>
      </c>
      <c r="H33" s="34"/>
      <c r="I33" s="34"/>
      <c r="J33" s="34"/>
      <c r="K33" s="292">
        <v>123.8</v>
      </c>
      <c r="L33" s="293" t="e">
        <f>#REF!</f>
        <v>#REF!</v>
      </c>
      <c r="M33" s="409" t="e">
        <f t="shared" si="6"/>
        <v>#REF!</v>
      </c>
      <c r="N33" s="295">
        <f t="shared" si="4"/>
        <v>358146.72000000096</v>
      </c>
      <c r="O33" s="295" t="e">
        <f t="shared" si="5"/>
        <v>#REF!</v>
      </c>
      <c r="P33" s="296" t="s">
        <v>138</v>
      </c>
      <c r="Q33" s="297"/>
      <c r="R33" s="410"/>
      <c r="S33" s="298" t="e">
        <f t="shared" si="7"/>
        <v>#REF!</v>
      </c>
      <c r="T33" s="198"/>
      <c r="V33" s="198"/>
      <c r="W33" s="198"/>
      <c r="X33" s="198"/>
      <c r="Y33" s="198"/>
      <c r="Z33" s="198"/>
      <c r="AA33" s="198"/>
      <c r="AB33" s="198"/>
      <c r="AC33" s="198"/>
    </row>
    <row r="34" spans="1:29" s="323" customFormat="1" ht="12" customHeight="1">
      <c r="A34" s="13"/>
      <c r="B34" s="365">
        <v>45796</v>
      </c>
      <c r="C34" s="19" t="s">
        <v>154</v>
      </c>
      <c r="D34" s="21" t="s">
        <v>62</v>
      </c>
      <c r="E34" s="20">
        <v>14</v>
      </c>
      <c r="F34" s="34" t="s">
        <v>23</v>
      </c>
      <c r="G34" s="34" t="s">
        <v>24</v>
      </c>
      <c r="H34" s="34"/>
      <c r="I34" s="34"/>
      <c r="J34" s="34"/>
      <c r="K34" s="292">
        <v>318.39999999999998</v>
      </c>
      <c r="L34" s="293" t="e">
        <f>#REF!</f>
        <v>#REF!</v>
      </c>
      <c r="M34" s="409" t="e">
        <f t="shared" si="6"/>
        <v>#REF!</v>
      </c>
      <c r="N34" s="295">
        <f t="shared" si="4"/>
        <v>357828.32000000094</v>
      </c>
      <c r="O34" s="295" t="e">
        <f t="shared" si="5"/>
        <v>#REF!</v>
      </c>
      <c r="P34" s="296" t="s">
        <v>138</v>
      </c>
      <c r="Q34" s="297"/>
      <c r="R34" s="410"/>
      <c r="S34" s="298" t="e">
        <f t="shared" si="7"/>
        <v>#REF!</v>
      </c>
      <c r="T34" s="198"/>
      <c r="V34" s="198"/>
      <c r="W34" s="198"/>
      <c r="X34" s="198"/>
      <c r="Y34" s="198"/>
      <c r="Z34" s="198"/>
      <c r="AA34" s="198"/>
      <c r="AB34" s="198"/>
      <c r="AC34" s="198"/>
    </row>
    <row r="35" spans="1:29" s="188" customFormat="1" ht="11.25" customHeight="1">
      <c r="A35" s="13"/>
      <c r="B35" s="365">
        <v>45796</v>
      </c>
      <c r="C35" s="19" t="s">
        <v>10</v>
      </c>
      <c r="D35" s="21" t="s">
        <v>62</v>
      </c>
      <c r="E35" s="21">
        <v>15</v>
      </c>
      <c r="F35" s="57" t="s">
        <v>32</v>
      </c>
      <c r="G35" s="14"/>
      <c r="H35" s="22"/>
      <c r="I35" s="36"/>
      <c r="J35" s="36"/>
      <c r="K35" s="292">
        <v>3.6</v>
      </c>
      <c r="L35" s="293" t="e">
        <f>#REF!</f>
        <v>#REF!</v>
      </c>
      <c r="M35" s="409" t="e">
        <f t="shared" si="6"/>
        <v>#REF!</v>
      </c>
      <c r="N35" s="295">
        <f t="shared" si="4"/>
        <v>357824.72000000096</v>
      </c>
      <c r="O35" s="295" t="e">
        <f t="shared" si="5"/>
        <v>#REF!</v>
      </c>
      <c r="P35" s="296" t="s">
        <v>138</v>
      </c>
      <c r="Q35" s="297"/>
      <c r="R35" s="410"/>
      <c r="S35" s="298" t="e">
        <f t="shared" si="7"/>
        <v>#REF!</v>
      </c>
      <c r="T35" s="198"/>
      <c r="U35" s="323"/>
      <c r="V35" s="198"/>
      <c r="W35" s="198"/>
      <c r="X35" s="198"/>
      <c r="Y35" s="198"/>
      <c r="Z35" s="198"/>
      <c r="AA35" s="198"/>
      <c r="AB35" s="198"/>
      <c r="AC35" s="198"/>
    </row>
    <row r="36" spans="1:29" s="188" customFormat="1" ht="11.25" customHeight="1">
      <c r="A36" s="13"/>
      <c r="B36" s="365">
        <v>45796</v>
      </c>
      <c r="C36" s="19" t="s">
        <v>153</v>
      </c>
      <c r="D36" s="21" t="s">
        <v>65</v>
      </c>
      <c r="E36" s="57">
        <v>16</v>
      </c>
      <c r="F36" s="34" t="s">
        <v>25</v>
      </c>
      <c r="G36" s="14" t="s">
        <v>26</v>
      </c>
      <c r="H36" s="22"/>
      <c r="I36" s="36"/>
      <c r="J36" s="36"/>
      <c r="K36" s="292">
        <v>536.62</v>
      </c>
      <c r="L36" s="293" t="e">
        <f>#REF!</f>
        <v>#REF!</v>
      </c>
      <c r="M36" s="409" t="e">
        <f t="shared" si="6"/>
        <v>#REF!</v>
      </c>
      <c r="N36" s="295">
        <f t="shared" si="4"/>
        <v>357288.10000000097</v>
      </c>
      <c r="O36" s="295" t="e">
        <f t="shared" si="5"/>
        <v>#REF!</v>
      </c>
      <c r="P36" s="296" t="s">
        <v>138</v>
      </c>
      <c r="Q36" s="297"/>
      <c r="R36" s="410"/>
      <c r="S36" s="298" t="e">
        <f t="shared" si="7"/>
        <v>#REF!</v>
      </c>
      <c r="T36" s="198"/>
      <c r="U36" s="323"/>
      <c r="V36" s="198"/>
      <c r="W36" s="198"/>
      <c r="X36" s="198"/>
      <c r="Y36" s="198"/>
      <c r="Z36" s="198"/>
      <c r="AA36" s="198"/>
      <c r="AB36" s="198"/>
      <c r="AC36" s="198"/>
    </row>
    <row r="37" spans="1:29" s="188" customFormat="1" ht="11.25" customHeight="1">
      <c r="A37" s="13"/>
      <c r="B37" s="365">
        <v>45796</v>
      </c>
      <c r="C37" s="19" t="s">
        <v>61</v>
      </c>
      <c r="D37" s="21" t="s">
        <v>65</v>
      </c>
      <c r="E37" s="21">
        <v>17</v>
      </c>
      <c r="F37" s="34" t="s">
        <v>25</v>
      </c>
      <c r="G37" s="14" t="s">
        <v>26</v>
      </c>
      <c r="H37" s="22"/>
      <c r="I37" s="36"/>
      <c r="J37" s="36"/>
      <c r="K37" s="292">
        <v>5617.81</v>
      </c>
      <c r="L37" s="293" t="e">
        <f>#REF!</f>
        <v>#REF!</v>
      </c>
      <c r="M37" s="409" t="e">
        <f t="shared" si="6"/>
        <v>#REF!</v>
      </c>
      <c r="N37" s="295">
        <f t="shared" si="4"/>
        <v>351670.29000000097</v>
      </c>
      <c r="O37" s="295" t="e">
        <f t="shared" si="5"/>
        <v>#REF!</v>
      </c>
      <c r="P37" s="296" t="s">
        <v>138</v>
      </c>
      <c r="Q37" s="297"/>
      <c r="R37" s="410"/>
      <c r="S37" s="298" t="e">
        <f t="shared" si="7"/>
        <v>#REF!</v>
      </c>
      <c r="T37" s="198"/>
      <c r="U37" s="323"/>
      <c r="V37" s="198"/>
      <c r="W37" s="198"/>
      <c r="X37" s="198"/>
      <c r="Y37" s="198"/>
      <c r="Z37" s="198"/>
      <c r="AA37" s="198"/>
      <c r="AB37" s="198"/>
      <c r="AC37" s="198"/>
    </row>
    <row r="38" spans="1:29" s="188" customFormat="1" ht="11.25" customHeight="1">
      <c r="A38" s="13"/>
      <c r="B38" s="365">
        <v>45796</v>
      </c>
      <c r="C38" s="19" t="s">
        <v>30</v>
      </c>
      <c r="D38" s="21" t="s">
        <v>65</v>
      </c>
      <c r="E38" s="21">
        <v>18</v>
      </c>
      <c r="F38" s="34" t="s">
        <v>30</v>
      </c>
      <c r="G38" s="14" t="s">
        <v>31</v>
      </c>
      <c r="H38" s="22"/>
      <c r="I38" s="36"/>
      <c r="J38" s="36"/>
      <c r="K38" s="292">
        <v>400</v>
      </c>
      <c r="L38" s="293" t="e">
        <f>#REF!</f>
        <v>#REF!</v>
      </c>
      <c r="M38" s="409" t="e">
        <f t="shared" si="6"/>
        <v>#REF!</v>
      </c>
      <c r="N38" s="295">
        <f t="shared" si="4"/>
        <v>351270.29000000097</v>
      </c>
      <c r="O38" s="295" t="e">
        <f t="shared" si="5"/>
        <v>#REF!</v>
      </c>
      <c r="P38" s="296" t="s">
        <v>138</v>
      </c>
      <c r="Q38" s="297"/>
      <c r="R38" s="410"/>
      <c r="S38" s="298" t="e">
        <f t="shared" si="7"/>
        <v>#REF!</v>
      </c>
      <c r="T38" s="198"/>
      <c r="U38" s="323"/>
      <c r="V38" s="198"/>
      <c r="W38" s="198"/>
      <c r="X38" s="198"/>
      <c r="Y38" s="198"/>
      <c r="Z38" s="198"/>
      <c r="AA38" s="198"/>
      <c r="AB38" s="198"/>
      <c r="AC38" s="198"/>
    </row>
    <row r="39" spans="1:29" s="188" customFormat="1" ht="11.25" customHeight="1">
      <c r="A39" s="13"/>
      <c r="B39" s="365">
        <v>45796</v>
      </c>
      <c r="C39" s="19" t="s">
        <v>23</v>
      </c>
      <c r="D39" s="21" t="s">
        <v>65</v>
      </c>
      <c r="E39" s="21">
        <v>19</v>
      </c>
      <c r="F39" s="34" t="s">
        <v>23</v>
      </c>
      <c r="G39" s="14" t="s">
        <v>24</v>
      </c>
      <c r="H39" s="22"/>
      <c r="I39" s="36"/>
      <c r="J39" s="36"/>
      <c r="K39" s="292">
        <v>361</v>
      </c>
      <c r="L39" s="293" t="e">
        <f>#REF!</f>
        <v>#REF!</v>
      </c>
      <c r="M39" s="409" t="e">
        <f t="shared" si="6"/>
        <v>#REF!</v>
      </c>
      <c r="N39" s="295">
        <f t="shared" si="4"/>
        <v>350909.29000000097</v>
      </c>
      <c r="O39" s="295" t="e">
        <f t="shared" si="5"/>
        <v>#REF!</v>
      </c>
      <c r="P39" s="296" t="s">
        <v>138</v>
      </c>
      <c r="Q39" s="297"/>
      <c r="R39" s="410"/>
      <c r="S39" s="298" t="e">
        <f t="shared" si="7"/>
        <v>#REF!</v>
      </c>
      <c r="T39" s="198"/>
      <c r="U39" s="323"/>
      <c r="V39" s="198"/>
      <c r="W39" s="198"/>
      <c r="X39" s="198"/>
      <c r="Y39" s="198"/>
      <c r="Z39" s="198"/>
      <c r="AA39" s="198"/>
      <c r="AB39" s="198"/>
      <c r="AC39" s="198"/>
    </row>
    <row r="40" spans="1:29" s="188" customFormat="1" ht="11.25" customHeight="1">
      <c r="A40" s="13"/>
      <c r="B40" s="365">
        <v>45796</v>
      </c>
      <c r="C40" s="19" t="s">
        <v>64</v>
      </c>
      <c r="D40" s="21" t="s">
        <v>65</v>
      </c>
      <c r="E40" s="21">
        <v>20</v>
      </c>
      <c r="F40" s="34" t="s">
        <v>32</v>
      </c>
      <c r="G40" s="14"/>
      <c r="H40" s="22"/>
      <c r="I40" s="36"/>
      <c r="J40" s="36"/>
      <c r="K40" s="292">
        <v>276.60000000000002</v>
      </c>
      <c r="L40" s="293" t="e">
        <f>#REF!</f>
        <v>#REF!</v>
      </c>
      <c r="M40" s="409" t="e">
        <f t="shared" si="6"/>
        <v>#REF!</v>
      </c>
      <c r="N40" s="295">
        <f t="shared" si="4"/>
        <v>350632.69000000099</v>
      </c>
      <c r="O40" s="295" t="e">
        <f t="shared" si="5"/>
        <v>#REF!</v>
      </c>
      <c r="P40" s="296" t="s">
        <v>138</v>
      </c>
      <c r="Q40" s="297"/>
      <c r="R40" s="410"/>
      <c r="S40" s="298" t="e">
        <f t="shared" si="7"/>
        <v>#REF!</v>
      </c>
      <c r="T40" s="198"/>
      <c r="U40" s="323"/>
      <c r="V40" s="198"/>
      <c r="W40" s="198"/>
      <c r="X40" s="198"/>
      <c r="Y40" s="198"/>
      <c r="Z40" s="198"/>
      <c r="AA40" s="198"/>
      <c r="AB40" s="198"/>
      <c r="AC40" s="198"/>
    </row>
    <row r="41" spans="1:29" s="188" customFormat="1" ht="11.25" customHeight="1">
      <c r="A41" s="13"/>
      <c r="B41" s="365">
        <v>45796</v>
      </c>
      <c r="C41" s="19" t="s">
        <v>67</v>
      </c>
      <c r="D41" s="21" t="s">
        <v>65</v>
      </c>
      <c r="E41" s="21">
        <v>21</v>
      </c>
      <c r="F41" s="34" t="s">
        <v>32</v>
      </c>
      <c r="G41" s="14"/>
      <c r="H41" s="22"/>
      <c r="I41" s="36"/>
      <c r="J41" s="36"/>
      <c r="K41" s="292">
        <v>517</v>
      </c>
      <c r="L41" s="293" t="e">
        <f>#REF!</f>
        <v>#REF!</v>
      </c>
      <c r="M41" s="409" t="e">
        <f t="shared" si="6"/>
        <v>#REF!</v>
      </c>
      <c r="N41" s="295">
        <f t="shared" si="4"/>
        <v>350115.69000000099</v>
      </c>
      <c r="O41" s="295" t="e">
        <f t="shared" si="5"/>
        <v>#REF!</v>
      </c>
      <c r="P41" s="296" t="s">
        <v>138</v>
      </c>
      <c r="Q41" s="297"/>
      <c r="R41" s="410"/>
      <c r="S41" s="298" t="e">
        <f t="shared" si="7"/>
        <v>#REF!</v>
      </c>
      <c r="T41" s="198"/>
      <c r="U41" s="323"/>
      <c r="V41" s="198"/>
      <c r="W41" s="198"/>
      <c r="X41" s="198"/>
      <c r="Y41" s="198"/>
      <c r="Z41" s="198"/>
      <c r="AA41" s="198"/>
      <c r="AB41" s="198"/>
      <c r="AC41" s="198"/>
    </row>
    <row r="42" spans="1:29" s="188" customFormat="1" ht="11.25" customHeight="1">
      <c r="A42" s="13"/>
      <c r="B42" s="365">
        <v>45796</v>
      </c>
      <c r="C42" s="19" t="s">
        <v>10</v>
      </c>
      <c r="D42" s="21" t="s">
        <v>65</v>
      </c>
      <c r="E42" s="20">
        <v>22</v>
      </c>
      <c r="F42" s="34" t="s">
        <v>32</v>
      </c>
      <c r="G42" s="34"/>
      <c r="H42" s="34"/>
      <c r="I42" s="34"/>
      <c r="J42" s="34"/>
      <c r="K42" s="439">
        <v>3.6</v>
      </c>
      <c r="L42" s="293" t="e">
        <f>#REF!</f>
        <v>#REF!</v>
      </c>
      <c r="M42" s="409" t="e">
        <f t="shared" si="6"/>
        <v>#REF!</v>
      </c>
      <c r="N42" s="295">
        <f t="shared" si="4"/>
        <v>350112.09000000102</v>
      </c>
      <c r="O42" s="295" t="e">
        <f t="shared" si="5"/>
        <v>#REF!</v>
      </c>
      <c r="P42" s="296" t="s">
        <v>138</v>
      </c>
      <c r="Q42" s="297"/>
      <c r="R42" s="65"/>
      <c r="S42" s="298" t="e">
        <f t="shared" si="7"/>
        <v>#REF!</v>
      </c>
      <c r="T42" s="198"/>
      <c r="U42" s="323"/>
      <c r="V42" s="198"/>
      <c r="W42" s="198"/>
      <c r="X42" s="198"/>
      <c r="Y42" s="198"/>
      <c r="Z42" s="198"/>
      <c r="AA42" s="198"/>
      <c r="AB42" s="198"/>
      <c r="AC42" s="198"/>
    </row>
    <row r="43" spans="1:29" s="188" customFormat="1" ht="11.25" customHeight="1">
      <c r="A43" s="13"/>
      <c r="B43" s="365">
        <v>45796</v>
      </c>
      <c r="C43" s="19" t="s">
        <v>155</v>
      </c>
      <c r="D43" s="314" t="s">
        <v>69</v>
      </c>
      <c r="E43" s="34">
        <v>23</v>
      </c>
      <c r="F43" s="34" t="s">
        <v>25</v>
      </c>
      <c r="G43" s="34" t="s">
        <v>26</v>
      </c>
      <c r="H43" s="34"/>
      <c r="I43" s="34"/>
      <c r="J43" s="34"/>
      <c r="K43" s="368">
        <v>589.1</v>
      </c>
      <c r="L43" s="293" t="e">
        <f>#REF!</f>
        <v>#REF!</v>
      </c>
      <c r="M43" s="409" t="e">
        <f t="shared" si="6"/>
        <v>#REF!</v>
      </c>
      <c r="N43" s="295">
        <f t="shared" si="4"/>
        <v>349522.99000000104</v>
      </c>
      <c r="O43" s="295" t="e">
        <f t="shared" si="5"/>
        <v>#REF!</v>
      </c>
      <c r="P43" s="296" t="s">
        <v>138</v>
      </c>
      <c r="Q43" s="297"/>
      <c r="R43" s="65"/>
      <c r="S43" s="298" t="e">
        <f t="shared" si="7"/>
        <v>#REF!</v>
      </c>
      <c r="T43" s="198"/>
      <c r="U43" s="323"/>
      <c r="V43" s="198"/>
      <c r="W43" s="198"/>
      <c r="X43" s="198"/>
      <c r="Y43" s="198"/>
      <c r="Z43" s="198"/>
      <c r="AA43" s="198"/>
      <c r="AB43" s="198"/>
      <c r="AC43" s="198"/>
    </row>
    <row r="44" spans="1:29" s="188" customFormat="1" ht="11.25" customHeight="1">
      <c r="A44" s="13"/>
      <c r="B44" s="365">
        <v>45796</v>
      </c>
      <c r="C44" s="19" t="s">
        <v>30</v>
      </c>
      <c r="D44" s="314" t="s">
        <v>69</v>
      </c>
      <c r="E44" s="21">
        <v>24</v>
      </c>
      <c r="F44" s="34" t="s">
        <v>30</v>
      </c>
      <c r="G44" s="14" t="s">
        <v>31</v>
      </c>
      <c r="H44" s="34"/>
      <c r="I44" s="34"/>
      <c r="J44" s="34"/>
      <c r="K44" s="292">
        <v>299.60000000000002</v>
      </c>
      <c r="L44" s="293" t="e">
        <f>#REF!</f>
        <v>#REF!</v>
      </c>
      <c r="M44" s="409" t="e">
        <f t="shared" si="6"/>
        <v>#REF!</v>
      </c>
      <c r="N44" s="295">
        <f t="shared" si="4"/>
        <v>349223.39000000106</v>
      </c>
      <c r="O44" s="295" t="e">
        <f t="shared" si="5"/>
        <v>#REF!</v>
      </c>
      <c r="P44" s="296" t="s">
        <v>138</v>
      </c>
      <c r="Q44" s="297"/>
      <c r="R44" s="26"/>
      <c r="S44" s="298" t="e">
        <f t="shared" si="7"/>
        <v>#REF!</v>
      </c>
      <c r="T44" s="198"/>
      <c r="U44" s="323"/>
      <c r="V44" s="198"/>
      <c r="W44" s="198"/>
      <c r="X44" s="198"/>
      <c r="Y44" s="198"/>
      <c r="Z44" s="198"/>
      <c r="AA44" s="198"/>
      <c r="AB44" s="198"/>
      <c r="AC44" s="198"/>
    </row>
    <row r="45" spans="1:29" s="188" customFormat="1" ht="11.25" customHeight="1">
      <c r="A45" s="13"/>
      <c r="B45" s="365">
        <v>45796</v>
      </c>
      <c r="C45" s="19" t="s">
        <v>61</v>
      </c>
      <c r="D45" s="314" t="s">
        <v>69</v>
      </c>
      <c r="E45" s="21">
        <v>25</v>
      </c>
      <c r="F45" s="34" t="s">
        <v>25</v>
      </c>
      <c r="G45" s="14" t="s">
        <v>26</v>
      </c>
      <c r="H45" s="34"/>
      <c r="I45" s="34"/>
      <c r="J45" s="34"/>
      <c r="K45" s="292">
        <v>1259</v>
      </c>
      <c r="L45" s="293" t="e">
        <f>#REF!</f>
        <v>#REF!</v>
      </c>
      <c r="M45" s="409" t="e">
        <f t="shared" si="6"/>
        <v>#REF!</v>
      </c>
      <c r="N45" s="295">
        <f t="shared" si="4"/>
        <v>347964.39000000106</v>
      </c>
      <c r="O45" s="295" t="e">
        <f t="shared" si="5"/>
        <v>#REF!</v>
      </c>
      <c r="P45" s="296" t="s">
        <v>138</v>
      </c>
      <c r="Q45" s="297"/>
      <c r="R45" s="26"/>
      <c r="S45" s="298" t="e">
        <f t="shared" si="7"/>
        <v>#REF!</v>
      </c>
      <c r="T45" s="198"/>
      <c r="U45" s="323"/>
      <c r="V45" s="198"/>
      <c r="W45" s="198"/>
      <c r="X45" s="198"/>
      <c r="Y45" s="198"/>
      <c r="Z45" s="198"/>
      <c r="AA45" s="198"/>
      <c r="AB45" s="198"/>
      <c r="AC45" s="198"/>
    </row>
    <row r="46" spans="1:29" s="188" customFormat="1" ht="11.25" customHeight="1">
      <c r="A46" s="13"/>
      <c r="B46" s="365">
        <v>45796</v>
      </c>
      <c r="C46" s="19" t="s">
        <v>23</v>
      </c>
      <c r="D46" s="314" t="s">
        <v>69</v>
      </c>
      <c r="E46" s="21">
        <v>26</v>
      </c>
      <c r="F46" s="34" t="s">
        <v>23</v>
      </c>
      <c r="G46" s="34" t="s">
        <v>24</v>
      </c>
      <c r="H46" s="34"/>
      <c r="I46" s="34"/>
      <c r="J46" s="34"/>
      <c r="K46" s="292">
        <v>2482</v>
      </c>
      <c r="L46" s="293" t="e">
        <f>#REF!</f>
        <v>#REF!</v>
      </c>
      <c r="M46" s="409" t="e">
        <f t="shared" si="6"/>
        <v>#REF!</v>
      </c>
      <c r="N46" s="295">
        <f t="shared" si="4"/>
        <v>345482.39000000106</v>
      </c>
      <c r="O46" s="295" t="e">
        <f t="shared" si="5"/>
        <v>#REF!</v>
      </c>
      <c r="P46" s="296" t="s">
        <v>138</v>
      </c>
      <c r="Q46" s="297"/>
      <c r="R46" s="26"/>
      <c r="S46" s="298" t="e">
        <f t="shared" si="7"/>
        <v>#REF!</v>
      </c>
      <c r="T46" s="198"/>
      <c r="U46" s="323"/>
      <c r="V46" s="198"/>
      <c r="W46" s="198"/>
      <c r="X46" s="198"/>
      <c r="Y46" s="198"/>
      <c r="Z46" s="198"/>
      <c r="AA46" s="198"/>
      <c r="AB46" s="198"/>
      <c r="AC46" s="198"/>
    </row>
    <row r="47" spans="1:29" s="188" customFormat="1" ht="11.25" customHeight="1">
      <c r="A47" s="13"/>
      <c r="B47" s="365">
        <v>45796</v>
      </c>
      <c r="C47" s="19" t="s">
        <v>10</v>
      </c>
      <c r="D47" s="314" t="s">
        <v>69</v>
      </c>
      <c r="E47" s="21">
        <v>27</v>
      </c>
      <c r="F47" s="34" t="s">
        <v>32</v>
      </c>
      <c r="G47" s="34"/>
      <c r="H47" s="34"/>
      <c r="I47" s="34"/>
      <c r="J47" s="34"/>
      <c r="K47" s="292">
        <v>3.6</v>
      </c>
      <c r="L47" s="293" t="e">
        <f>#REF!</f>
        <v>#REF!</v>
      </c>
      <c r="M47" s="409" t="e">
        <f t="shared" si="6"/>
        <v>#REF!</v>
      </c>
      <c r="N47" s="295">
        <f t="shared" si="4"/>
        <v>345478.79000000108</v>
      </c>
      <c r="O47" s="295" t="e">
        <f t="shared" si="5"/>
        <v>#REF!</v>
      </c>
      <c r="P47" s="296" t="s">
        <v>138</v>
      </c>
      <c r="Q47" s="297"/>
      <c r="R47" s="26"/>
      <c r="S47" s="298" t="e">
        <f t="shared" si="7"/>
        <v>#REF!</v>
      </c>
      <c r="T47" s="198"/>
      <c r="U47" s="323"/>
      <c r="V47" s="198"/>
      <c r="W47" s="198"/>
      <c r="X47" s="198"/>
      <c r="Y47" s="198"/>
      <c r="Z47" s="198"/>
      <c r="AA47" s="198"/>
      <c r="AB47" s="198"/>
      <c r="AC47" s="198"/>
    </row>
    <row r="48" spans="1:29" s="188" customFormat="1" ht="11.25" customHeight="1">
      <c r="A48" s="13"/>
      <c r="B48" s="365">
        <v>45796</v>
      </c>
      <c r="C48" s="19" t="s">
        <v>63</v>
      </c>
      <c r="D48" s="314" t="s">
        <v>77</v>
      </c>
      <c r="E48" s="21">
        <v>28</v>
      </c>
      <c r="F48" s="34" t="s">
        <v>25</v>
      </c>
      <c r="G48" s="34" t="s">
        <v>26</v>
      </c>
      <c r="H48" s="34"/>
      <c r="I48" s="34"/>
      <c r="J48" s="34"/>
      <c r="K48" s="292">
        <v>313.58999999999997</v>
      </c>
      <c r="L48" s="293" t="e">
        <f>#REF!</f>
        <v>#REF!</v>
      </c>
      <c r="M48" s="409" t="e">
        <f t="shared" si="6"/>
        <v>#REF!</v>
      </c>
      <c r="N48" s="295">
        <f t="shared" si="4"/>
        <v>345165.20000000106</v>
      </c>
      <c r="O48" s="295" t="e">
        <f t="shared" si="5"/>
        <v>#REF!</v>
      </c>
      <c r="P48" s="296" t="s">
        <v>138</v>
      </c>
      <c r="Q48" s="297"/>
      <c r="R48" s="26"/>
      <c r="S48" s="298" t="e">
        <f t="shared" si="7"/>
        <v>#REF!</v>
      </c>
      <c r="T48" s="198"/>
      <c r="U48" s="323"/>
      <c r="V48" s="198"/>
      <c r="W48" s="198"/>
      <c r="X48" s="198"/>
      <c r="Y48" s="198"/>
      <c r="Z48" s="198"/>
      <c r="AA48" s="198"/>
      <c r="AB48" s="198"/>
      <c r="AC48" s="198"/>
    </row>
    <row r="49" spans="1:29" s="188" customFormat="1" ht="11.25" customHeight="1">
      <c r="A49" s="13"/>
      <c r="B49" s="365">
        <v>45796</v>
      </c>
      <c r="C49" s="314" t="s">
        <v>61</v>
      </c>
      <c r="D49" s="314" t="s">
        <v>77</v>
      </c>
      <c r="E49" s="21">
        <v>29</v>
      </c>
      <c r="F49" s="57" t="s">
        <v>25</v>
      </c>
      <c r="G49" s="14" t="s">
        <v>26</v>
      </c>
      <c r="H49" s="34"/>
      <c r="I49" s="34"/>
      <c r="J49" s="34"/>
      <c r="K49" s="292">
        <v>688.3</v>
      </c>
      <c r="L49" s="293" t="e">
        <f>#REF!</f>
        <v>#REF!</v>
      </c>
      <c r="M49" s="409" t="e">
        <f t="shared" si="6"/>
        <v>#REF!</v>
      </c>
      <c r="N49" s="295">
        <f t="shared" si="4"/>
        <v>344476.90000000107</v>
      </c>
      <c r="O49" s="295" t="e">
        <f t="shared" si="5"/>
        <v>#REF!</v>
      </c>
      <c r="P49" s="296" t="s">
        <v>138</v>
      </c>
      <c r="Q49" s="297"/>
      <c r="R49" s="65"/>
      <c r="S49" s="298" t="e">
        <f t="shared" si="7"/>
        <v>#REF!</v>
      </c>
      <c r="T49" s="198"/>
      <c r="U49" s="323"/>
      <c r="V49" s="198"/>
      <c r="W49" s="198"/>
      <c r="X49" s="198"/>
      <c r="Y49" s="198"/>
      <c r="Z49" s="198"/>
      <c r="AA49" s="198"/>
      <c r="AB49" s="198"/>
      <c r="AC49" s="198"/>
    </row>
    <row r="50" spans="1:29" s="188" customFormat="1" ht="11.25" customHeight="1">
      <c r="A50" s="13"/>
      <c r="B50" s="365">
        <v>45796</v>
      </c>
      <c r="C50" s="26" t="s">
        <v>30</v>
      </c>
      <c r="D50" s="314" t="s">
        <v>77</v>
      </c>
      <c r="E50" s="21">
        <v>30</v>
      </c>
      <c r="F50" s="57" t="s">
        <v>30</v>
      </c>
      <c r="G50" s="14" t="s">
        <v>31</v>
      </c>
      <c r="H50" s="34"/>
      <c r="I50" s="34"/>
      <c r="J50" s="34"/>
      <c r="K50" s="292">
        <v>192.52</v>
      </c>
      <c r="L50" s="293" t="e">
        <f>#REF!</f>
        <v>#REF!</v>
      </c>
      <c r="M50" s="409" t="e">
        <f t="shared" si="6"/>
        <v>#REF!</v>
      </c>
      <c r="N50" s="295">
        <f t="shared" si="4"/>
        <v>344284.38000000105</v>
      </c>
      <c r="O50" s="295" t="e">
        <f t="shared" si="5"/>
        <v>#REF!</v>
      </c>
      <c r="P50" s="296" t="s">
        <v>138</v>
      </c>
      <c r="Q50" s="297"/>
      <c r="R50" s="65"/>
      <c r="S50" s="298" t="e">
        <f t="shared" si="7"/>
        <v>#REF!</v>
      </c>
      <c r="T50" s="198"/>
      <c r="U50" s="323"/>
      <c r="V50" s="198"/>
      <c r="W50" s="198"/>
      <c r="X50" s="198"/>
      <c r="Y50" s="198"/>
      <c r="Z50" s="198"/>
      <c r="AA50" s="198"/>
      <c r="AB50" s="198"/>
      <c r="AC50" s="198"/>
    </row>
    <row r="51" spans="1:29" s="188" customFormat="1" ht="11.25" customHeight="1">
      <c r="A51" s="13"/>
      <c r="B51" s="365">
        <v>45796</v>
      </c>
      <c r="C51" s="26" t="s">
        <v>64</v>
      </c>
      <c r="D51" s="314" t="s">
        <v>77</v>
      </c>
      <c r="E51" s="21">
        <v>31</v>
      </c>
      <c r="F51" s="34" t="s">
        <v>32</v>
      </c>
      <c r="G51" s="34"/>
      <c r="H51" s="34"/>
      <c r="I51" s="34"/>
      <c r="J51" s="34"/>
      <c r="K51" s="292">
        <v>426.75</v>
      </c>
      <c r="L51" s="293" t="e">
        <f>#REF!</f>
        <v>#REF!</v>
      </c>
      <c r="M51" s="409">
        <v>58.23</v>
      </c>
      <c r="N51" s="295">
        <f t="shared" si="4"/>
        <v>343857.63000000105</v>
      </c>
      <c r="O51" s="295" t="e">
        <f t="shared" si="5"/>
        <v>#REF!</v>
      </c>
      <c r="P51" s="296" t="s">
        <v>138</v>
      </c>
      <c r="Q51" s="297"/>
      <c r="R51" s="65"/>
      <c r="S51" s="298" t="e">
        <f t="shared" si="7"/>
        <v>#REF!</v>
      </c>
      <c r="T51" s="198"/>
      <c r="U51" s="323"/>
      <c r="V51" s="198"/>
      <c r="W51" s="198"/>
      <c r="X51" s="198"/>
      <c r="Y51" s="198"/>
      <c r="Z51" s="198"/>
      <c r="AA51" s="198"/>
      <c r="AB51" s="198"/>
      <c r="AC51" s="198"/>
    </row>
    <row r="52" spans="1:29" s="188" customFormat="1" ht="11.25" customHeight="1">
      <c r="A52" s="13"/>
      <c r="B52" s="365">
        <v>45796</v>
      </c>
      <c r="C52" s="26" t="s">
        <v>10</v>
      </c>
      <c r="D52" s="314" t="s">
        <v>77</v>
      </c>
      <c r="E52" s="21">
        <v>32</v>
      </c>
      <c r="F52" s="34" t="s">
        <v>32</v>
      </c>
      <c r="G52" s="34"/>
      <c r="H52" s="34"/>
      <c r="I52" s="34"/>
      <c r="J52" s="34"/>
      <c r="K52" s="292">
        <v>3.6</v>
      </c>
      <c r="L52" s="293" t="e">
        <f>#REF!</f>
        <v>#REF!</v>
      </c>
      <c r="M52" s="409" t="e">
        <f>K52/L52</f>
        <v>#REF!</v>
      </c>
      <c r="N52" s="295">
        <f t="shared" ref="N52:N83" si="8">N51+H52-K52</f>
        <v>343854.03000000108</v>
      </c>
      <c r="O52" s="295" t="e">
        <f t="shared" ref="O52:O83" si="9">O51+J52-M52</f>
        <v>#REF!</v>
      </c>
      <c r="P52" s="296" t="s">
        <v>138</v>
      </c>
      <c r="Q52" s="297"/>
      <c r="R52" s="65"/>
      <c r="S52" s="298" t="e">
        <f t="shared" si="7"/>
        <v>#REF!</v>
      </c>
      <c r="T52" s="198"/>
      <c r="U52" s="323"/>
      <c r="V52" s="198"/>
      <c r="W52" s="198"/>
      <c r="X52" s="198"/>
      <c r="Y52" s="198"/>
      <c r="Z52" s="198"/>
      <c r="AA52" s="198"/>
      <c r="AB52" s="198"/>
      <c r="AC52" s="198"/>
    </row>
    <row r="53" spans="1:29" s="188" customFormat="1" ht="11.25" customHeight="1">
      <c r="A53" s="13"/>
      <c r="B53" s="440">
        <v>45796</v>
      </c>
      <c r="C53" s="74" t="s">
        <v>71</v>
      </c>
      <c r="D53" s="441" t="s">
        <v>72</v>
      </c>
      <c r="E53" s="75">
        <v>33</v>
      </c>
      <c r="F53" s="76" t="s">
        <v>25</v>
      </c>
      <c r="G53" s="76" t="s">
        <v>26</v>
      </c>
      <c r="H53" s="76"/>
      <c r="I53" s="76"/>
      <c r="J53" s="76"/>
      <c r="K53" s="442" t="e">
        <f>L53*M53</f>
        <v>#REF!</v>
      </c>
      <c r="L53" s="443" t="e">
        <f>#REF!</f>
        <v>#REF!</v>
      </c>
      <c r="M53" s="444">
        <v>26.688709136591381</v>
      </c>
      <c r="N53" s="445" t="e">
        <f t="shared" si="8"/>
        <v>#REF!</v>
      </c>
      <c r="O53" s="445" t="e">
        <f t="shared" si="9"/>
        <v>#REF!</v>
      </c>
      <c r="P53" s="446" t="s">
        <v>138</v>
      </c>
      <c r="Q53" s="447"/>
      <c r="R53" s="77"/>
      <c r="S53" s="298" t="e">
        <f t="shared" si="7"/>
        <v>#REF!</v>
      </c>
      <c r="T53" s="198"/>
      <c r="U53" s="323"/>
      <c r="V53" s="198"/>
      <c r="W53" s="198"/>
      <c r="X53" s="198"/>
      <c r="Y53" s="198"/>
      <c r="Z53" s="198"/>
      <c r="AA53" s="198"/>
      <c r="AB53" s="198"/>
      <c r="AC53" s="198"/>
    </row>
    <row r="54" spans="1:29" s="188" customFormat="1" ht="11.25" customHeight="1">
      <c r="A54" s="13"/>
      <c r="B54" s="448">
        <v>45796</v>
      </c>
      <c r="C54" s="91" t="s">
        <v>71</v>
      </c>
      <c r="D54" s="449" t="s">
        <v>72</v>
      </c>
      <c r="E54" s="92">
        <v>33</v>
      </c>
      <c r="F54" s="93" t="s">
        <v>25</v>
      </c>
      <c r="G54" s="93" t="s">
        <v>26</v>
      </c>
      <c r="H54" s="93"/>
      <c r="I54" s="93"/>
      <c r="J54" s="93"/>
      <c r="K54" s="450" t="e">
        <f>3060-K53</f>
        <v>#REF!</v>
      </c>
      <c r="L54" s="451" t="e">
        <f>#REF!</f>
        <v>#REF!</v>
      </c>
      <c r="M54" s="428" t="e">
        <f t="shared" ref="M54:M85" si="10">K54/L54</f>
        <v>#REF!</v>
      </c>
      <c r="N54" s="452" t="e">
        <f t="shared" si="8"/>
        <v>#REF!</v>
      </c>
      <c r="O54" s="452" t="e">
        <f t="shared" si="9"/>
        <v>#REF!</v>
      </c>
      <c r="P54" s="453" t="s">
        <v>156</v>
      </c>
      <c r="Q54" s="454"/>
      <c r="R54" s="83"/>
      <c r="S54" s="298" t="e">
        <f>47865-M54+J54</f>
        <v>#REF!</v>
      </c>
      <c r="T54" s="198"/>
      <c r="U54" s="323"/>
      <c r="V54" s="198"/>
      <c r="W54" s="198"/>
      <c r="X54" s="198"/>
      <c r="Y54" s="198"/>
      <c r="Z54" s="198"/>
      <c r="AA54" s="198"/>
      <c r="AB54" s="198"/>
      <c r="AC54" s="198"/>
    </row>
    <row r="55" spans="1:29" s="188" customFormat="1" ht="11.25" customHeight="1">
      <c r="A55" s="13"/>
      <c r="B55" s="455">
        <v>45796</v>
      </c>
      <c r="C55" s="85" t="s">
        <v>73</v>
      </c>
      <c r="D55" s="456" t="s">
        <v>72</v>
      </c>
      <c r="E55" s="94">
        <v>34</v>
      </c>
      <c r="F55" s="95" t="s">
        <v>25</v>
      </c>
      <c r="G55" s="95" t="s">
        <v>26</v>
      </c>
      <c r="H55" s="95"/>
      <c r="I55" s="95"/>
      <c r="J55" s="95"/>
      <c r="K55" s="457">
        <v>179</v>
      </c>
      <c r="L55" s="458" t="e">
        <f>#REF!</f>
        <v>#REF!</v>
      </c>
      <c r="M55" s="428" t="e">
        <f t="shared" si="10"/>
        <v>#REF!</v>
      </c>
      <c r="N55" s="459" t="e">
        <f t="shared" si="8"/>
        <v>#REF!</v>
      </c>
      <c r="O55" s="459" t="e">
        <f t="shared" si="9"/>
        <v>#REF!</v>
      </c>
      <c r="P55" s="460" t="s">
        <v>156</v>
      </c>
      <c r="Q55" s="461"/>
      <c r="R55" s="84"/>
      <c r="S55" s="298" t="e">
        <f t="shared" ref="S55:S86" si="11">S54-M55+J55</f>
        <v>#REF!</v>
      </c>
      <c r="T55" s="198"/>
      <c r="U55" s="323"/>
      <c r="V55" s="198"/>
      <c r="W55" s="198"/>
      <c r="X55" s="198"/>
      <c r="Y55" s="198"/>
      <c r="Z55" s="198"/>
      <c r="AA55" s="198"/>
      <c r="AB55" s="198"/>
      <c r="AC55" s="198"/>
    </row>
    <row r="56" spans="1:29" s="188" customFormat="1" ht="11.25" customHeight="1">
      <c r="A56" s="13"/>
      <c r="B56" s="455">
        <v>45796</v>
      </c>
      <c r="C56" s="85" t="s">
        <v>74</v>
      </c>
      <c r="D56" s="456" t="s">
        <v>72</v>
      </c>
      <c r="E56" s="94">
        <v>35</v>
      </c>
      <c r="F56" s="95" t="s">
        <v>25</v>
      </c>
      <c r="G56" s="95" t="s">
        <v>26</v>
      </c>
      <c r="H56" s="95"/>
      <c r="I56" s="95"/>
      <c r="J56" s="95"/>
      <c r="K56" s="457">
        <v>852</v>
      </c>
      <c r="L56" s="458" t="e">
        <f>#REF!</f>
        <v>#REF!</v>
      </c>
      <c r="M56" s="428" t="e">
        <f t="shared" si="10"/>
        <v>#REF!</v>
      </c>
      <c r="N56" s="459" t="e">
        <f t="shared" si="8"/>
        <v>#REF!</v>
      </c>
      <c r="O56" s="459" t="e">
        <f t="shared" si="9"/>
        <v>#REF!</v>
      </c>
      <c r="P56" s="460" t="s">
        <v>156</v>
      </c>
      <c r="Q56" s="461"/>
      <c r="R56" s="84"/>
      <c r="S56" s="298" t="e">
        <f t="shared" si="11"/>
        <v>#REF!</v>
      </c>
      <c r="T56" s="198"/>
      <c r="U56" s="323"/>
      <c r="V56" s="198"/>
      <c r="W56" s="198"/>
      <c r="X56" s="198"/>
      <c r="Y56" s="198"/>
      <c r="Z56" s="198"/>
      <c r="AA56" s="198"/>
      <c r="AB56" s="198"/>
      <c r="AC56" s="198"/>
    </row>
    <row r="57" spans="1:29" s="188" customFormat="1" ht="11.25" customHeight="1">
      <c r="A57" s="13"/>
      <c r="B57" s="455">
        <v>45796</v>
      </c>
      <c r="C57" s="85" t="s">
        <v>10</v>
      </c>
      <c r="D57" s="456" t="s">
        <v>72</v>
      </c>
      <c r="E57" s="94">
        <v>36</v>
      </c>
      <c r="F57" s="96" t="s">
        <v>32</v>
      </c>
      <c r="G57" s="97"/>
      <c r="H57" s="95"/>
      <c r="I57" s="95"/>
      <c r="J57" s="95"/>
      <c r="K57" s="457">
        <v>3.6</v>
      </c>
      <c r="L57" s="458" t="e">
        <f>#REF!</f>
        <v>#REF!</v>
      </c>
      <c r="M57" s="428" t="e">
        <f t="shared" si="10"/>
        <v>#REF!</v>
      </c>
      <c r="N57" s="459" t="e">
        <f t="shared" si="8"/>
        <v>#REF!</v>
      </c>
      <c r="O57" s="459" t="e">
        <f t="shared" si="9"/>
        <v>#REF!</v>
      </c>
      <c r="P57" s="460" t="s">
        <v>156</v>
      </c>
      <c r="Q57" s="461"/>
      <c r="R57" s="460"/>
      <c r="S57" s="298" t="e">
        <f t="shared" si="11"/>
        <v>#REF!</v>
      </c>
      <c r="T57" s="198"/>
      <c r="U57" s="323"/>
      <c r="V57" s="198"/>
      <c r="W57" s="198"/>
      <c r="X57" s="198"/>
      <c r="Y57" s="198"/>
      <c r="Z57" s="198"/>
      <c r="AA57" s="198"/>
      <c r="AB57" s="198"/>
      <c r="AC57" s="198"/>
    </row>
    <row r="58" spans="1:29" s="188" customFormat="1" ht="11.25" customHeight="1">
      <c r="A58" s="13"/>
      <c r="B58" s="455">
        <v>45796</v>
      </c>
      <c r="C58" s="85" t="s">
        <v>74</v>
      </c>
      <c r="D58" s="456" t="s">
        <v>75</v>
      </c>
      <c r="E58" s="94">
        <v>37</v>
      </c>
      <c r="F58" s="95" t="s">
        <v>25</v>
      </c>
      <c r="G58" s="95" t="s">
        <v>26</v>
      </c>
      <c r="H58" s="95"/>
      <c r="I58" s="95"/>
      <c r="J58" s="95"/>
      <c r="K58" s="457">
        <v>551</v>
      </c>
      <c r="L58" s="458" t="e">
        <f>#REF!</f>
        <v>#REF!</v>
      </c>
      <c r="M58" s="428" t="e">
        <f t="shared" si="10"/>
        <v>#REF!</v>
      </c>
      <c r="N58" s="459" t="e">
        <f t="shared" si="8"/>
        <v>#REF!</v>
      </c>
      <c r="O58" s="459" t="e">
        <f t="shared" si="9"/>
        <v>#REF!</v>
      </c>
      <c r="P58" s="460" t="s">
        <v>156</v>
      </c>
      <c r="Q58" s="461"/>
      <c r="R58" s="460"/>
      <c r="S58" s="298" t="e">
        <f t="shared" si="11"/>
        <v>#REF!</v>
      </c>
      <c r="T58" s="198"/>
      <c r="U58" s="323"/>
      <c r="V58" s="198"/>
      <c r="W58" s="198"/>
      <c r="X58" s="198"/>
      <c r="Y58" s="198"/>
      <c r="Z58" s="198"/>
      <c r="AA58" s="198"/>
      <c r="AB58" s="198"/>
      <c r="AC58" s="198"/>
    </row>
    <row r="59" spans="1:29" s="188" customFormat="1" ht="11.25" customHeight="1">
      <c r="A59" s="13"/>
      <c r="B59" s="455">
        <v>45796</v>
      </c>
      <c r="C59" s="85" t="s">
        <v>71</v>
      </c>
      <c r="D59" s="456" t="s">
        <v>75</v>
      </c>
      <c r="E59" s="94">
        <v>38</v>
      </c>
      <c r="F59" s="96" t="s">
        <v>25</v>
      </c>
      <c r="G59" s="97" t="s">
        <v>26</v>
      </c>
      <c r="H59" s="95"/>
      <c r="I59" s="462"/>
      <c r="J59" s="95"/>
      <c r="K59" s="457">
        <v>2361</v>
      </c>
      <c r="L59" s="458" t="e">
        <f>#REF!</f>
        <v>#REF!</v>
      </c>
      <c r="M59" s="428" t="e">
        <f t="shared" si="10"/>
        <v>#REF!</v>
      </c>
      <c r="N59" s="459" t="e">
        <f t="shared" si="8"/>
        <v>#REF!</v>
      </c>
      <c r="O59" s="459" t="e">
        <f t="shared" si="9"/>
        <v>#REF!</v>
      </c>
      <c r="P59" s="460" t="s">
        <v>156</v>
      </c>
      <c r="Q59" s="461"/>
      <c r="R59" s="460"/>
      <c r="S59" s="298" t="e">
        <f t="shared" si="11"/>
        <v>#REF!</v>
      </c>
      <c r="T59" s="198"/>
      <c r="U59" s="323"/>
      <c r="V59" s="198"/>
      <c r="W59" s="198"/>
      <c r="X59" s="198"/>
      <c r="Y59" s="198"/>
      <c r="Z59" s="198"/>
      <c r="AA59" s="198"/>
      <c r="AB59" s="198"/>
      <c r="AC59" s="198"/>
    </row>
    <row r="60" spans="1:29" s="188" customFormat="1" ht="11.25" customHeight="1">
      <c r="A60" s="13"/>
      <c r="B60" s="455">
        <v>45796</v>
      </c>
      <c r="C60" s="85" t="s">
        <v>73</v>
      </c>
      <c r="D60" s="456" t="s">
        <v>75</v>
      </c>
      <c r="E60" s="94">
        <v>39</v>
      </c>
      <c r="F60" s="96" t="s">
        <v>25</v>
      </c>
      <c r="G60" s="97" t="s">
        <v>26</v>
      </c>
      <c r="H60" s="95"/>
      <c r="I60" s="462"/>
      <c r="J60" s="95"/>
      <c r="K60" s="457">
        <v>84</v>
      </c>
      <c r="L60" s="458" t="e">
        <f>#REF!</f>
        <v>#REF!</v>
      </c>
      <c r="M60" s="428" t="e">
        <f t="shared" si="10"/>
        <v>#REF!</v>
      </c>
      <c r="N60" s="459" t="e">
        <f t="shared" si="8"/>
        <v>#REF!</v>
      </c>
      <c r="O60" s="459" t="e">
        <f t="shared" si="9"/>
        <v>#REF!</v>
      </c>
      <c r="P60" s="460" t="s">
        <v>156</v>
      </c>
      <c r="Q60" s="461"/>
      <c r="R60" s="460"/>
      <c r="S60" s="298" t="e">
        <f t="shared" si="11"/>
        <v>#REF!</v>
      </c>
      <c r="T60" s="198"/>
      <c r="U60" s="323"/>
      <c r="V60" s="198"/>
      <c r="W60" s="198"/>
      <c r="X60" s="198"/>
      <c r="Y60" s="198"/>
      <c r="Z60" s="198"/>
      <c r="AA60" s="198"/>
      <c r="AB60" s="198"/>
      <c r="AC60" s="198"/>
    </row>
    <row r="61" spans="1:29" s="188" customFormat="1" ht="11.25" customHeight="1">
      <c r="A61" s="13"/>
      <c r="B61" s="455">
        <v>45796</v>
      </c>
      <c r="C61" s="85" t="s">
        <v>10</v>
      </c>
      <c r="D61" s="456" t="s">
        <v>75</v>
      </c>
      <c r="E61" s="94">
        <v>40</v>
      </c>
      <c r="F61" s="96" t="s">
        <v>32</v>
      </c>
      <c r="G61" s="97"/>
      <c r="H61" s="95"/>
      <c r="I61" s="462"/>
      <c r="J61" s="95"/>
      <c r="K61" s="457">
        <v>3.6</v>
      </c>
      <c r="L61" s="458" t="e">
        <f>#REF!</f>
        <v>#REF!</v>
      </c>
      <c r="M61" s="428" t="e">
        <f t="shared" si="10"/>
        <v>#REF!</v>
      </c>
      <c r="N61" s="459" t="e">
        <f t="shared" si="8"/>
        <v>#REF!</v>
      </c>
      <c r="O61" s="459" t="e">
        <f t="shared" si="9"/>
        <v>#REF!</v>
      </c>
      <c r="P61" s="460" t="s">
        <v>156</v>
      </c>
      <c r="Q61" s="461"/>
      <c r="R61" s="460"/>
      <c r="S61" s="298" t="e">
        <f t="shared" si="11"/>
        <v>#REF!</v>
      </c>
      <c r="T61" s="198"/>
      <c r="U61" s="323"/>
      <c r="V61" s="198"/>
      <c r="W61" s="198"/>
      <c r="X61" s="198"/>
      <c r="Y61" s="198"/>
      <c r="Z61" s="198"/>
      <c r="AA61" s="198"/>
      <c r="AB61" s="198"/>
      <c r="AC61" s="198"/>
    </row>
    <row r="62" spans="1:29" s="188" customFormat="1" ht="11.25" customHeight="1">
      <c r="A62" s="13"/>
      <c r="B62" s="455">
        <v>45796</v>
      </c>
      <c r="C62" s="98" t="s">
        <v>55</v>
      </c>
      <c r="D62" s="94"/>
      <c r="E62" s="94">
        <v>41</v>
      </c>
      <c r="F62" s="96" t="s">
        <v>27</v>
      </c>
      <c r="G62" s="97" t="s">
        <v>29</v>
      </c>
      <c r="H62" s="99"/>
      <c r="I62" s="100"/>
      <c r="J62" s="100"/>
      <c r="K62" s="457">
        <v>10500</v>
      </c>
      <c r="L62" s="458" t="e">
        <f>#REF!</f>
        <v>#REF!</v>
      </c>
      <c r="M62" s="428" t="e">
        <f t="shared" si="10"/>
        <v>#REF!</v>
      </c>
      <c r="N62" s="459" t="e">
        <f t="shared" si="8"/>
        <v>#REF!</v>
      </c>
      <c r="O62" s="459" t="e">
        <f t="shared" si="9"/>
        <v>#REF!</v>
      </c>
      <c r="P62" s="460" t="s">
        <v>156</v>
      </c>
      <c r="Q62" s="461"/>
      <c r="R62" s="460"/>
      <c r="S62" s="298" t="e">
        <f t="shared" si="11"/>
        <v>#REF!</v>
      </c>
      <c r="T62" s="198"/>
      <c r="U62" s="323"/>
      <c r="V62" s="198"/>
      <c r="W62" s="198"/>
      <c r="X62" s="198"/>
      <c r="Y62" s="198"/>
      <c r="Z62" s="198"/>
      <c r="AA62" s="198"/>
      <c r="AB62" s="198"/>
      <c r="AC62" s="198"/>
    </row>
    <row r="63" spans="1:29" s="188" customFormat="1" ht="11.25" customHeight="1">
      <c r="A63" s="13"/>
      <c r="B63" s="455">
        <v>45796</v>
      </c>
      <c r="C63" s="98" t="s">
        <v>57</v>
      </c>
      <c r="D63" s="94"/>
      <c r="E63" s="94">
        <v>41</v>
      </c>
      <c r="F63" s="96" t="s">
        <v>32</v>
      </c>
      <c r="G63" s="97"/>
      <c r="H63" s="99"/>
      <c r="I63" s="100"/>
      <c r="J63" s="100"/>
      <c r="K63" s="457">
        <v>6000</v>
      </c>
      <c r="L63" s="458" t="e">
        <f>#REF!</f>
        <v>#REF!</v>
      </c>
      <c r="M63" s="428" t="e">
        <f t="shared" si="10"/>
        <v>#REF!</v>
      </c>
      <c r="N63" s="459" t="e">
        <f t="shared" si="8"/>
        <v>#REF!</v>
      </c>
      <c r="O63" s="459" t="e">
        <f t="shared" si="9"/>
        <v>#REF!</v>
      </c>
      <c r="P63" s="460" t="s">
        <v>156</v>
      </c>
      <c r="Q63" s="461"/>
      <c r="R63" s="460"/>
      <c r="S63" s="298" t="e">
        <f t="shared" si="11"/>
        <v>#REF!</v>
      </c>
      <c r="T63" s="198"/>
      <c r="U63" s="323"/>
      <c r="V63" s="198"/>
      <c r="W63" s="198"/>
      <c r="X63" s="198"/>
      <c r="Y63" s="198"/>
      <c r="Z63" s="198"/>
      <c r="AA63" s="198"/>
      <c r="AB63" s="198"/>
      <c r="AC63" s="198"/>
    </row>
    <row r="64" spans="1:29" s="188" customFormat="1" ht="11.25" customHeight="1">
      <c r="A64" s="13"/>
      <c r="B64" s="455">
        <v>45796</v>
      </c>
      <c r="C64" s="98" t="s">
        <v>58</v>
      </c>
      <c r="D64" s="94"/>
      <c r="E64" s="94">
        <v>41</v>
      </c>
      <c r="F64" s="96" t="s">
        <v>32</v>
      </c>
      <c r="G64" s="97"/>
      <c r="H64" s="99"/>
      <c r="I64" s="100"/>
      <c r="J64" s="100"/>
      <c r="K64" s="457">
        <v>660</v>
      </c>
      <c r="L64" s="458" t="e">
        <f>#REF!</f>
        <v>#REF!</v>
      </c>
      <c r="M64" s="428" t="e">
        <f t="shared" si="10"/>
        <v>#REF!</v>
      </c>
      <c r="N64" s="459" t="e">
        <f t="shared" si="8"/>
        <v>#REF!</v>
      </c>
      <c r="O64" s="459" t="e">
        <f t="shared" si="9"/>
        <v>#REF!</v>
      </c>
      <c r="P64" s="460" t="s">
        <v>156</v>
      </c>
      <c r="Q64" s="461"/>
      <c r="R64" s="460"/>
      <c r="S64" s="298" t="e">
        <f t="shared" si="11"/>
        <v>#REF!</v>
      </c>
      <c r="T64" s="198"/>
      <c r="U64" s="323"/>
      <c r="V64" s="198"/>
      <c r="W64" s="198"/>
      <c r="X64" s="198"/>
      <c r="Y64" s="198"/>
      <c r="Z64" s="198"/>
      <c r="AA64" s="198"/>
      <c r="AB64" s="198"/>
      <c r="AC64" s="198"/>
    </row>
    <row r="65" spans="1:29" s="188" customFormat="1" ht="11.25" customHeight="1">
      <c r="A65" s="13"/>
      <c r="B65" s="455">
        <v>45796</v>
      </c>
      <c r="C65" s="98" t="s">
        <v>55</v>
      </c>
      <c r="D65" s="94"/>
      <c r="E65" s="94">
        <v>41</v>
      </c>
      <c r="F65" s="96" t="s">
        <v>27</v>
      </c>
      <c r="G65" s="97" t="s">
        <v>29</v>
      </c>
      <c r="H65" s="99"/>
      <c r="I65" s="100"/>
      <c r="J65" s="100"/>
      <c r="K65" s="457">
        <v>7000</v>
      </c>
      <c r="L65" s="458" t="e">
        <f>#REF!</f>
        <v>#REF!</v>
      </c>
      <c r="M65" s="428" t="e">
        <f t="shared" si="10"/>
        <v>#REF!</v>
      </c>
      <c r="N65" s="459" t="e">
        <f t="shared" si="8"/>
        <v>#REF!</v>
      </c>
      <c r="O65" s="459" t="e">
        <f t="shared" si="9"/>
        <v>#REF!</v>
      </c>
      <c r="P65" s="460" t="s">
        <v>156</v>
      </c>
      <c r="Q65" s="461"/>
      <c r="R65" s="460"/>
      <c r="S65" s="298" t="e">
        <f t="shared" si="11"/>
        <v>#REF!</v>
      </c>
      <c r="T65" s="198"/>
      <c r="U65" s="323"/>
      <c r="V65" s="198"/>
      <c r="W65" s="198"/>
      <c r="X65" s="198"/>
      <c r="Y65" s="198"/>
      <c r="Z65" s="198"/>
      <c r="AA65" s="198"/>
      <c r="AB65" s="198"/>
      <c r="AC65" s="198"/>
    </row>
    <row r="66" spans="1:29" s="188" customFormat="1" ht="11.25" customHeight="1">
      <c r="A66" s="13"/>
      <c r="B66" s="455">
        <v>45796</v>
      </c>
      <c r="C66" s="98" t="s">
        <v>57</v>
      </c>
      <c r="D66" s="94"/>
      <c r="E66" s="94">
        <v>41</v>
      </c>
      <c r="F66" s="96" t="s">
        <v>32</v>
      </c>
      <c r="G66" s="97"/>
      <c r="H66" s="99"/>
      <c r="I66" s="100"/>
      <c r="J66" s="100"/>
      <c r="K66" s="457">
        <v>6000</v>
      </c>
      <c r="L66" s="458" t="e">
        <f>#REF!</f>
        <v>#REF!</v>
      </c>
      <c r="M66" s="428" t="e">
        <f t="shared" si="10"/>
        <v>#REF!</v>
      </c>
      <c r="N66" s="459" t="e">
        <f t="shared" si="8"/>
        <v>#REF!</v>
      </c>
      <c r="O66" s="459" t="e">
        <f t="shared" si="9"/>
        <v>#REF!</v>
      </c>
      <c r="P66" s="460" t="s">
        <v>156</v>
      </c>
      <c r="Q66" s="461"/>
      <c r="R66" s="460"/>
      <c r="S66" s="298" t="e">
        <f t="shared" si="11"/>
        <v>#REF!</v>
      </c>
      <c r="T66" s="198"/>
      <c r="U66" s="323"/>
      <c r="V66" s="198"/>
      <c r="W66" s="198"/>
      <c r="X66" s="198"/>
      <c r="Y66" s="198"/>
      <c r="Z66" s="198"/>
      <c r="AA66" s="198"/>
      <c r="AB66" s="198"/>
      <c r="AC66" s="198"/>
    </row>
    <row r="67" spans="1:29" s="188" customFormat="1" ht="11.25" customHeight="1">
      <c r="A67" s="13"/>
      <c r="B67" s="455">
        <v>45796</v>
      </c>
      <c r="C67" s="98" t="s">
        <v>58</v>
      </c>
      <c r="D67" s="94"/>
      <c r="E67" s="94">
        <v>41</v>
      </c>
      <c r="F67" s="96" t="s">
        <v>32</v>
      </c>
      <c r="G67" s="97"/>
      <c r="H67" s="99"/>
      <c r="I67" s="100"/>
      <c r="J67" s="100"/>
      <c r="K67" s="457">
        <v>140</v>
      </c>
      <c r="L67" s="458" t="e">
        <f>#REF!</f>
        <v>#REF!</v>
      </c>
      <c r="M67" s="428" t="e">
        <f t="shared" si="10"/>
        <v>#REF!</v>
      </c>
      <c r="N67" s="459" t="e">
        <f t="shared" si="8"/>
        <v>#REF!</v>
      </c>
      <c r="O67" s="459" t="e">
        <f t="shared" si="9"/>
        <v>#REF!</v>
      </c>
      <c r="P67" s="460" t="s">
        <v>156</v>
      </c>
      <c r="Q67" s="461"/>
      <c r="R67" s="456"/>
      <c r="S67" s="298" t="e">
        <f t="shared" si="11"/>
        <v>#REF!</v>
      </c>
      <c r="T67" s="198"/>
      <c r="U67" s="323"/>
      <c r="V67" s="198"/>
      <c r="W67" s="198"/>
      <c r="X67" s="198"/>
      <c r="Y67" s="198"/>
      <c r="Z67" s="198"/>
      <c r="AA67" s="198"/>
      <c r="AB67" s="198"/>
      <c r="AC67" s="198"/>
    </row>
    <row r="68" spans="1:29" s="188" customFormat="1" ht="11.25" customHeight="1">
      <c r="A68" s="13"/>
      <c r="B68" s="455">
        <v>45796</v>
      </c>
      <c r="C68" s="98" t="s">
        <v>55</v>
      </c>
      <c r="D68" s="94"/>
      <c r="E68" s="94">
        <v>41</v>
      </c>
      <c r="F68" s="96" t="s">
        <v>27</v>
      </c>
      <c r="G68" s="97" t="s">
        <v>29</v>
      </c>
      <c r="H68" s="99"/>
      <c r="I68" s="100"/>
      <c r="J68" s="100"/>
      <c r="K68" s="463">
        <v>3096</v>
      </c>
      <c r="L68" s="458" t="e">
        <f>#REF!</f>
        <v>#REF!</v>
      </c>
      <c r="M68" s="428" t="e">
        <f t="shared" si="10"/>
        <v>#REF!</v>
      </c>
      <c r="N68" s="459" t="e">
        <f t="shared" si="8"/>
        <v>#REF!</v>
      </c>
      <c r="O68" s="459" t="e">
        <f t="shared" si="9"/>
        <v>#REF!</v>
      </c>
      <c r="P68" s="460" t="s">
        <v>156</v>
      </c>
      <c r="Q68" s="461"/>
      <c r="R68" s="456"/>
      <c r="S68" s="298" t="e">
        <f t="shared" si="11"/>
        <v>#REF!</v>
      </c>
      <c r="T68" s="198"/>
      <c r="U68" s="323"/>
      <c r="V68" s="198"/>
      <c r="W68" s="198"/>
      <c r="X68" s="198"/>
      <c r="Y68" s="198"/>
      <c r="Z68" s="198"/>
      <c r="AA68" s="198"/>
      <c r="AB68" s="198"/>
      <c r="AC68" s="198"/>
    </row>
    <row r="69" spans="1:29" s="188" customFormat="1" ht="11.25" customHeight="1">
      <c r="A69" s="13"/>
      <c r="B69" s="455">
        <v>45796</v>
      </c>
      <c r="C69" s="98" t="s">
        <v>57</v>
      </c>
      <c r="D69" s="94"/>
      <c r="E69" s="94">
        <v>41</v>
      </c>
      <c r="F69" s="96" t="s">
        <v>32</v>
      </c>
      <c r="G69" s="97"/>
      <c r="H69" s="95"/>
      <c r="I69" s="462"/>
      <c r="J69" s="95"/>
      <c r="K69" s="464">
        <v>3096</v>
      </c>
      <c r="L69" s="458" t="e">
        <f>#REF!</f>
        <v>#REF!</v>
      </c>
      <c r="M69" s="428" t="e">
        <f t="shared" si="10"/>
        <v>#REF!</v>
      </c>
      <c r="N69" s="459" t="e">
        <f t="shared" si="8"/>
        <v>#REF!</v>
      </c>
      <c r="O69" s="459" t="e">
        <f t="shared" si="9"/>
        <v>#REF!</v>
      </c>
      <c r="P69" s="460" t="s">
        <v>156</v>
      </c>
      <c r="Q69" s="461"/>
      <c r="R69" s="456"/>
      <c r="S69" s="298" t="e">
        <f t="shared" si="11"/>
        <v>#REF!</v>
      </c>
      <c r="T69" s="198"/>
      <c r="U69" s="323"/>
      <c r="V69" s="198"/>
      <c r="W69" s="198"/>
      <c r="X69" s="198"/>
      <c r="Y69" s="198"/>
      <c r="Z69" s="198"/>
      <c r="AA69" s="198"/>
      <c r="AB69" s="198"/>
      <c r="AC69" s="198"/>
    </row>
    <row r="70" spans="1:29" s="188" customFormat="1" ht="11.25" customHeight="1">
      <c r="A70" s="13"/>
      <c r="B70" s="455">
        <v>45796</v>
      </c>
      <c r="C70" s="98" t="s">
        <v>49</v>
      </c>
      <c r="D70" s="94"/>
      <c r="E70" s="94">
        <v>42</v>
      </c>
      <c r="F70" s="96" t="s">
        <v>32</v>
      </c>
      <c r="G70" s="97"/>
      <c r="H70" s="95"/>
      <c r="I70" s="462"/>
      <c r="J70" s="95"/>
      <c r="K70" s="457">
        <v>7.2</v>
      </c>
      <c r="L70" s="458" t="e">
        <f>#REF!</f>
        <v>#REF!</v>
      </c>
      <c r="M70" s="428" t="e">
        <f t="shared" si="10"/>
        <v>#REF!</v>
      </c>
      <c r="N70" s="459" t="e">
        <f t="shared" si="8"/>
        <v>#REF!</v>
      </c>
      <c r="O70" s="459" t="e">
        <f t="shared" si="9"/>
        <v>#REF!</v>
      </c>
      <c r="P70" s="460" t="s">
        <v>156</v>
      </c>
      <c r="Q70" s="461"/>
      <c r="R70" s="456"/>
      <c r="S70" s="298" t="e">
        <f t="shared" si="11"/>
        <v>#REF!</v>
      </c>
      <c r="T70" s="198"/>
      <c r="U70" s="323"/>
      <c r="V70" s="198"/>
      <c r="W70" s="198"/>
      <c r="X70" s="198"/>
      <c r="Y70" s="198"/>
      <c r="Z70" s="198"/>
      <c r="AA70" s="198"/>
      <c r="AB70" s="198"/>
      <c r="AC70" s="198"/>
    </row>
    <row r="71" spans="1:29" s="188" customFormat="1" ht="11.25" customHeight="1">
      <c r="A71" s="13"/>
      <c r="B71" s="455">
        <v>45797</v>
      </c>
      <c r="C71" s="85" t="s">
        <v>23</v>
      </c>
      <c r="D71" s="456" t="s">
        <v>76</v>
      </c>
      <c r="E71" s="94">
        <v>43</v>
      </c>
      <c r="F71" s="96" t="s">
        <v>23</v>
      </c>
      <c r="G71" s="97" t="s">
        <v>24</v>
      </c>
      <c r="H71" s="95"/>
      <c r="I71" s="462"/>
      <c r="J71" s="95"/>
      <c r="K71" s="457">
        <v>14265.08</v>
      </c>
      <c r="L71" s="458" t="e">
        <f>#REF!</f>
        <v>#REF!</v>
      </c>
      <c r="M71" s="428" t="e">
        <f t="shared" si="10"/>
        <v>#REF!</v>
      </c>
      <c r="N71" s="459" t="e">
        <f t="shared" si="8"/>
        <v>#REF!</v>
      </c>
      <c r="O71" s="459" t="e">
        <f t="shared" si="9"/>
        <v>#REF!</v>
      </c>
      <c r="P71" s="460" t="s">
        <v>156</v>
      </c>
      <c r="Q71" s="461"/>
      <c r="R71" s="456"/>
      <c r="S71" s="298" t="e">
        <f t="shared" si="11"/>
        <v>#REF!</v>
      </c>
      <c r="T71" s="198"/>
      <c r="U71" s="323"/>
      <c r="V71" s="198"/>
      <c r="W71" s="198"/>
      <c r="X71" s="198"/>
      <c r="Y71" s="198"/>
      <c r="Z71" s="198"/>
      <c r="AA71" s="198"/>
      <c r="AB71" s="198"/>
      <c r="AC71" s="198"/>
    </row>
    <row r="72" spans="1:29" s="188" customFormat="1" ht="11.25" customHeight="1">
      <c r="A72" s="13"/>
      <c r="B72" s="455">
        <v>45797</v>
      </c>
      <c r="C72" s="85" t="s">
        <v>61</v>
      </c>
      <c r="D72" s="456" t="s">
        <v>76</v>
      </c>
      <c r="E72" s="94">
        <v>44</v>
      </c>
      <c r="F72" s="96" t="s">
        <v>25</v>
      </c>
      <c r="G72" s="97" t="s">
        <v>26</v>
      </c>
      <c r="H72" s="95"/>
      <c r="I72" s="462"/>
      <c r="J72" s="95"/>
      <c r="K72" s="457">
        <v>11800.94</v>
      </c>
      <c r="L72" s="458" t="e">
        <f>#REF!</f>
        <v>#REF!</v>
      </c>
      <c r="M72" s="428" t="e">
        <f t="shared" si="10"/>
        <v>#REF!</v>
      </c>
      <c r="N72" s="459" t="e">
        <f t="shared" si="8"/>
        <v>#REF!</v>
      </c>
      <c r="O72" s="459" t="e">
        <f t="shared" si="9"/>
        <v>#REF!</v>
      </c>
      <c r="P72" s="460" t="s">
        <v>156</v>
      </c>
      <c r="Q72" s="461"/>
      <c r="R72" s="456"/>
      <c r="S72" s="298" t="e">
        <f t="shared" si="11"/>
        <v>#REF!</v>
      </c>
      <c r="T72" s="198"/>
      <c r="U72" s="323"/>
      <c r="V72" s="198"/>
      <c r="W72" s="198"/>
      <c r="X72" s="198"/>
      <c r="Y72" s="198"/>
      <c r="Z72" s="198"/>
      <c r="AA72" s="198"/>
      <c r="AB72" s="198"/>
      <c r="AC72" s="198"/>
    </row>
    <row r="73" spans="1:29" s="188" customFormat="1" ht="11.25" customHeight="1">
      <c r="A73" s="13"/>
      <c r="B73" s="455">
        <v>45797</v>
      </c>
      <c r="C73" s="85" t="s">
        <v>63</v>
      </c>
      <c r="D73" s="456" t="s">
        <v>76</v>
      </c>
      <c r="E73" s="94">
        <v>45</v>
      </c>
      <c r="F73" s="96" t="s">
        <v>25</v>
      </c>
      <c r="G73" s="97" t="s">
        <v>26</v>
      </c>
      <c r="H73" s="95"/>
      <c r="I73" s="462"/>
      <c r="J73" s="95"/>
      <c r="K73" s="457">
        <v>35.74</v>
      </c>
      <c r="L73" s="458" t="e">
        <f>#REF!</f>
        <v>#REF!</v>
      </c>
      <c r="M73" s="428" t="e">
        <f t="shared" si="10"/>
        <v>#REF!</v>
      </c>
      <c r="N73" s="459" t="e">
        <f t="shared" si="8"/>
        <v>#REF!</v>
      </c>
      <c r="O73" s="459" t="e">
        <f t="shared" si="9"/>
        <v>#REF!</v>
      </c>
      <c r="P73" s="460" t="s">
        <v>156</v>
      </c>
      <c r="Q73" s="461"/>
      <c r="R73" s="456"/>
      <c r="S73" s="298" t="e">
        <f t="shared" si="11"/>
        <v>#REF!</v>
      </c>
      <c r="T73" s="198"/>
      <c r="U73" s="323"/>
      <c r="V73" s="198"/>
      <c r="W73" s="198"/>
      <c r="X73" s="198"/>
      <c r="Y73" s="198"/>
      <c r="Z73" s="198"/>
      <c r="AA73" s="198"/>
      <c r="AB73" s="198"/>
      <c r="AC73" s="198"/>
    </row>
    <row r="74" spans="1:29" s="188" customFormat="1" ht="11.25" customHeight="1">
      <c r="A74" s="13"/>
      <c r="B74" s="455">
        <v>45797</v>
      </c>
      <c r="C74" s="85" t="s">
        <v>30</v>
      </c>
      <c r="D74" s="456" t="s">
        <v>76</v>
      </c>
      <c r="E74" s="94">
        <v>46</v>
      </c>
      <c r="F74" s="96" t="s">
        <v>30</v>
      </c>
      <c r="G74" s="97" t="s">
        <v>31</v>
      </c>
      <c r="H74" s="95"/>
      <c r="I74" s="462"/>
      <c r="J74" s="95"/>
      <c r="K74" s="457">
        <v>300</v>
      </c>
      <c r="L74" s="458" t="e">
        <f>#REF!</f>
        <v>#REF!</v>
      </c>
      <c r="M74" s="428" t="e">
        <f t="shared" si="10"/>
        <v>#REF!</v>
      </c>
      <c r="N74" s="459" t="e">
        <f t="shared" si="8"/>
        <v>#REF!</v>
      </c>
      <c r="O74" s="459" t="e">
        <f t="shared" si="9"/>
        <v>#REF!</v>
      </c>
      <c r="P74" s="460" t="s">
        <v>156</v>
      </c>
      <c r="Q74" s="461"/>
      <c r="R74" s="456"/>
      <c r="S74" s="298" t="e">
        <f t="shared" si="11"/>
        <v>#REF!</v>
      </c>
      <c r="T74" s="198"/>
      <c r="U74" s="323"/>
      <c r="V74" s="198"/>
      <c r="W74" s="198"/>
      <c r="X74" s="198"/>
      <c r="Y74" s="198"/>
      <c r="Z74" s="198"/>
      <c r="AA74" s="198"/>
      <c r="AB74" s="198"/>
      <c r="AC74" s="198"/>
    </row>
    <row r="75" spans="1:29" s="188" customFormat="1" ht="11.25" customHeight="1">
      <c r="A75" s="13"/>
      <c r="B75" s="455">
        <v>45797</v>
      </c>
      <c r="C75" s="98" t="s">
        <v>49</v>
      </c>
      <c r="D75" s="456" t="s">
        <v>76</v>
      </c>
      <c r="E75" s="94">
        <v>47</v>
      </c>
      <c r="F75" s="96" t="s">
        <v>32</v>
      </c>
      <c r="G75" s="97"/>
      <c r="H75" s="95"/>
      <c r="I75" s="462"/>
      <c r="J75" s="95"/>
      <c r="K75" s="457">
        <v>7.2</v>
      </c>
      <c r="L75" s="458" t="e">
        <f>#REF!</f>
        <v>#REF!</v>
      </c>
      <c r="M75" s="428" t="e">
        <f t="shared" si="10"/>
        <v>#REF!</v>
      </c>
      <c r="N75" s="459" t="e">
        <f t="shared" si="8"/>
        <v>#REF!</v>
      </c>
      <c r="O75" s="459" t="e">
        <f t="shared" si="9"/>
        <v>#REF!</v>
      </c>
      <c r="P75" s="460" t="s">
        <v>156</v>
      </c>
      <c r="Q75" s="461"/>
      <c r="R75" s="456"/>
      <c r="S75" s="298" t="e">
        <f t="shared" si="11"/>
        <v>#REF!</v>
      </c>
      <c r="T75" s="198"/>
      <c r="U75" s="323"/>
      <c r="V75" s="198"/>
      <c r="W75" s="198"/>
      <c r="X75" s="198"/>
      <c r="Y75" s="198"/>
      <c r="Z75" s="198"/>
      <c r="AA75" s="198"/>
      <c r="AB75" s="198"/>
      <c r="AC75" s="198"/>
    </row>
    <row r="76" spans="1:29" s="188" customFormat="1" ht="11.25" customHeight="1">
      <c r="A76" s="13"/>
      <c r="B76" s="455">
        <v>45797</v>
      </c>
      <c r="C76" s="85" t="s">
        <v>157</v>
      </c>
      <c r="D76" s="94"/>
      <c r="E76" s="101">
        <v>48</v>
      </c>
      <c r="F76" s="96" t="s">
        <v>32</v>
      </c>
      <c r="G76" s="97"/>
      <c r="H76" s="95"/>
      <c r="I76" s="462"/>
      <c r="J76" s="95"/>
      <c r="K76" s="463">
        <v>9010</v>
      </c>
      <c r="L76" s="458" t="e">
        <f>#REF!</f>
        <v>#REF!</v>
      </c>
      <c r="M76" s="428" t="e">
        <f t="shared" si="10"/>
        <v>#REF!</v>
      </c>
      <c r="N76" s="459" t="e">
        <f t="shared" si="8"/>
        <v>#REF!</v>
      </c>
      <c r="O76" s="459" t="e">
        <f t="shared" si="9"/>
        <v>#REF!</v>
      </c>
      <c r="P76" s="460" t="s">
        <v>156</v>
      </c>
      <c r="Q76" s="461"/>
      <c r="R76" s="85" t="s">
        <v>158</v>
      </c>
      <c r="S76" s="298" t="e">
        <f t="shared" si="11"/>
        <v>#REF!</v>
      </c>
      <c r="T76" s="198"/>
      <c r="U76" s="323"/>
      <c r="V76" s="198"/>
      <c r="W76" s="198"/>
      <c r="X76" s="198"/>
      <c r="Y76" s="198"/>
      <c r="Z76" s="198"/>
      <c r="AA76" s="198"/>
      <c r="AB76" s="198"/>
      <c r="AC76" s="198"/>
    </row>
    <row r="77" spans="1:29" s="188" customFormat="1" ht="11.25" customHeight="1">
      <c r="A77" s="13"/>
      <c r="B77" s="455">
        <v>45797</v>
      </c>
      <c r="C77" s="98" t="s">
        <v>49</v>
      </c>
      <c r="D77" s="94"/>
      <c r="E77" s="101">
        <v>49</v>
      </c>
      <c r="F77" s="96" t="s">
        <v>32</v>
      </c>
      <c r="G77" s="97"/>
      <c r="H77" s="95"/>
      <c r="I77" s="462"/>
      <c r="J77" s="95"/>
      <c r="K77" s="463">
        <v>3.6</v>
      </c>
      <c r="L77" s="458" t="e">
        <f>#REF!</f>
        <v>#REF!</v>
      </c>
      <c r="M77" s="428" t="e">
        <f t="shared" si="10"/>
        <v>#REF!</v>
      </c>
      <c r="N77" s="459" t="e">
        <f t="shared" si="8"/>
        <v>#REF!</v>
      </c>
      <c r="O77" s="459" t="e">
        <f t="shared" si="9"/>
        <v>#REF!</v>
      </c>
      <c r="P77" s="460" t="s">
        <v>156</v>
      </c>
      <c r="Q77" s="461"/>
      <c r="R77" s="85"/>
      <c r="S77" s="298" t="e">
        <f t="shared" si="11"/>
        <v>#REF!</v>
      </c>
      <c r="T77" s="198"/>
      <c r="U77" s="323"/>
      <c r="V77" s="198"/>
      <c r="W77" s="198"/>
      <c r="X77" s="198"/>
      <c r="Y77" s="198"/>
      <c r="Z77" s="198"/>
      <c r="AA77" s="198"/>
      <c r="AB77" s="198"/>
      <c r="AC77" s="198"/>
    </row>
    <row r="78" spans="1:29" s="188" customFormat="1" ht="11.25" customHeight="1">
      <c r="A78" s="13"/>
      <c r="B78" s="455">
        <v>45800</v>
      </c>
      <c r="C78" s="85" t="s">
        <v>159</v>
      </c>
      <c r="D78" s="94"/>
      <c r="E78" s="101">
        <v>50</v>
      </c>
      <c r="F78" s="96" t="s">
        <v>32</v>
      </c>
      <c r="G78" s="97"/>
      <c r="H78" s="95"/>
      <c r="I78" s="462"/>
      <c r="J78" s="95"/>
      <c r="K78" s="463">
        <v>80</v>
      </c>
      <c r="L78" s="458" t="e">
        <f>#REF!</f>
        <v>#REF!</v>
      </c>
      <c r="M78" s="428" t="e">
        <f t="shared" si="10"/>
        <v>#REF!</v>
      </c>
      <c r="N78" s="459" t="e">
        <f t="shared" si="8"/>
        <v>#REF!</v>
      </c>
      <c r="O78" s="459" t="e">
        <f t="shared" si="9"/>
        <v>#REF!</v>
      </c>
      <c r="P78" s="460" t="s">
        <v>156</v>
      </c>
      <c r="Q78" s="461"/>
      <c r="R78" s="85" t="s">
        <v>160</v>
      </c>
      <c r="S78" s="298" t="e">
        <f t="shared" si="11"/>
        <v>#REF!</v>
      </c>
      <c r="T78" s="198"/>
      <c r="U78" s="323"/>
      <c r="V78" s="198"/>
      <c r="W78" s="198"/>
      <c r="X78" s="198"/>
      <c r="Y78" s="198"/>
      <c r="Z78" s="198"/>
      <c r="AA78" s="198"/>
      <c r="AB78" s="198"/>
      <c r="AC78" s="198"/>
    </row>
    <row r="79" spans="1:29" s="188" customFormat="1" ht="11.25" customHeight="1">
      <c r="A79" s="13"/>
      <c r="B79" s="455">
        <v>45800</v>
      </c>
      <c r="C79" s="85" t="s">
        <v>80</v>
      </c>
      <c r="D79" s="94"/>
      <c r="E79" s="94">
        <v>51</v>
      </c>
      <c r="F79" s="96" t="s">
        <v>32</v>
      </c>
      <c r="G79" s="97"/>
      <c r="H79" s="95"/>
      <c r="I79" s="462"/>
      <c r="J79" s="95"/>
      <c r="K79" s="465">
        <v>16000</v>
      </c>
      <c r="L79" s="458" t="e">
        <f>#REF!</f>
        <v>#REF!</v>
      </c>
      <c r="M79" s="428" t="e">
        <f t="shared" si="10"/>
        <v>#REF!</v>
      </c>
      <c r="N79" s="459" t="e">
        <f t="shared" si="8"/>
        <v>#REF!</v>
      </c>
      <c r="O79" s="459" t="e">
        <f t="shared" si="9"/>
        <v>#REF!</v>
      </c>
      <c r="P79" s="460" t="s">
        <v>156</v>
      </c>
      <c r="Q79" s="461"/>
      <c r="R79" s="630" t="s">
        <v>161</v>
      </c>
      <c r="S79" s="298" t="e">
        <f t="shared" si="11"/>
        <v>#REF!</v>
      </c>
      <c r="T79" s="198"/>
      <c r="U79" s="323"/>
      <c r="V79" s="198"/>
      <c r="W79" s="198"/>
      <c r="X79" s="198"/>
      <c r="Y79" s="198"/>
      <c r="Z79" s="198"/>
      <c r="AA79" s="198"/>
      <c r="AB79" s="198"/>
      <c r="AC79" s="198"/>
    </row>
    <row r="80" spans="1:29" s="188" customFormat="1" ht="11.25" customHeight="1">
      <c r="A80" s="13"/>
      <c r="B80" s="455">
        <v>45800</v>
      </c>
      <c r="C80" s="85" t="s">
        <v>81</v>
      </c>
      <c r="D80" s="94"/>
      <c r="E80" s="94">
        <v>51</v>
      </c>
      <c r="F80" s="96" t="s">
        <v>32</v>
      </c>
      <c r="G80" s="97"/>
      <c r="H80" s="95"/>
      <c r="I80" s="462"/>
      <c r="J80" s="95"/>
      <c r="K80" s="465">
        <v>24000</v>
      </c>
      <c r="L80" s="458" t="e">
        <f>#REF!</f>
        <v>#REF!</v>
      </c>
      <c r="M80" s="428" t="e">
        <f t="shared" si="10"/>
        <v>#REF!</v>
      </c>
      <c r="N80" s="459" t="e">
        <f t="shared" si="8"/>
        <v>#REF!</v>
      </c>
      <c r="O80" s="459" t="e">
        <f t="shared" si="9"/>
        <v>#REF!</v>
      </c>
      <c r="P80" s="460" t="s">
        <v>156</v>
      </c>
      <c r="Q80" s="461"/>
      <c r="R80" s="631"/>
      <c r="S80" s="298" t="e">
        <f t="shared" si="11"/>
        <v>#REF!</v>
      </c>
      <c r="T80" s="198"/>
      <c r="U80" s="323"/>
      <c r="V80" s="198"/>
      <c r="W80" s="198"/>
      <c r="X80" s="198"/>
      <c r="Y80" s="198"/>
      <c r="Z80" s="198"/>
      <c r="AA80" s="198"/>
      <c r="AB80" s="198"/>
      <c r="AC80" s="198"/>
    </row>
    <row r="81" spans="1:29" s="188" customFormat="1" ht="11.25" customHeight="1">
      <c r="A81" s="13"/>
      <c r="B81" s="455">
        <v>45800</v>
      </c>
      <c r="C81" s="85" t="s">
        <v>82</v>
      </c>
      <c r="D81" s="94"/>
      <c r="E81" s="94">
        <v>51</v>
      </c>
      <c r="F81" s="96" t="s">
        <v>32</v>
      </c>
      <c r="G81" s="97"/>
      <c r="H81" s="95"/>
      <c r="I81" s="462"/>
      <c r="J81" s="95"/>
      <c r="K81" s="465">
        <v>9305.1899999999987</v>
      </c>
      <c r="L81" s="458" t="e">
        <f>#REF!</f>
        <v>#REF!</v>
      </c>
      <c r="M81" s="428" t="e">
        <f t="shared" si="10"/>
        <v>#REF!</v>
      </c>
      <c r="N81" s="459" t="e">
        <f t="shared" si="8"/>
        <v>#REF!</v>
      </c>
      <c r="O81" s="459" t="e">
        <f t="shared" si="9"/>
        <v>#REF!</v>
      </c>
      <c r="P81" s="460" t="s">
        <v>156</v>
      </c>
      <c r="Q81" s="461"/>
      <c r="R81" s="631"/>
      <c r="S81" s="298" t="e">
        <f t="shared" si="11"/>
        <v>#REF!</v>
      </c>
      <c r="T81" s="198"/>
      <c r="U81" s="323"/>
      <c r="V81" s="198"/>
      <c r="W81" s="198"/>
      <c r="X81" s="198"/>
      <c r="Y81" s="198"/>
      <c r="Z81" s="198"/>
      <c r="AA81" s="198"/>
      <c r="AB81" s="198"/>
      <c r="AC81" s="198"/>
    </row>
    <row r="82" spans="1:29" s="188" customFormat="1" ht="11.25" customHeight="1">
      <c r="A82" s="13"/>
      <c r="B82" s="455">
        <v>45800</v>
      </c>
      <c r="C82" s="85" t="s">
        <v>83</v>
      </c>
      <c r="D82" s="94"/>
      <c r="E82" s="94">
        <v>51</v>
      </c>
      <c r="F82" s="96" t="s">
        <v>32</v>
      </c>
      <c r="G82" s="97"/>
      <c r="H82" s="95"/>
      <c r="I82" s="462"/>
      <c r="J82" s="95"/>
      <c r="K82" s="465">
        <v>4468.7999999999993</v>
      </c>
      <c r="L82" s="458" t="e">
        <f>#REF!</f>
        <v>#REF!</v>
      </c>
      <c r="M82" s="428" t="e">
        <f t="shared" si="10"/>
        <v>#REF!</v>
      </c>
      <c r="N82" s="459" t="e">
        <f t="shared" si="8"/>
        <v>#REF!</v>
      </c>
      <c r="O82" s="459" t="e">
        <f t="shared" si="9"/>
        <v>#REF!</v>
      </c>
      <c r="P82" s="460" t="s">
        <v>156</v>
      </c>
      <c r="Q82" s="461"/>
      <c r="R82" s="631"/>
      <c r="S82" s="298" t="e">
        <f t="shared" si="11"/>
        <v>#REF!</v>
      </c>
      <c r="T82" s="198"/>
      <c r="U82" s="323"/>
      <c r="V82" s="198"/>
      <c r="W82" s="198"/>
      <c r="X82" s="198"/>
      <c r="Y82" s="198"/>
      <c r="Z82" s="198"/>
      <c r="AA82" s="198"/>
      <c r="AB82" s="198"/>
      <c r="AC82" s="198"/>
    </row>
    <row r="83" spans="1:29" s="188" customFormat="1" ht="11.25" customHeight="1">
      <c r="A83" s="13"/>
      <c r="B83" s="455">
        <v>45800</v>
      </c>
      <c r="C83" s="85" t="s">
        <v>84</v>
      </c>
      <c r="D83" s="94"/>
      <c r="E83" s="94">
        <v>51</v>
      </c>
      <c r="F83" s="96" t="s">
        <v>32</v>
      </c>
      <c r="G83" s="97"/>
      <c r="H83" s="95"/>
      <c r="I83" s="462"/>
      <c r="J83" s="95"/>
      <c r="K83" s="465">
        <v>300</v>
      </c>
      <c r="L83" s="458" t="e">
        <f>#REF!</f>
        <v>#REF!</v>
      </c>
      <c r="M83" s="428" t="e">
        <f t="shared" si="10"/>
        <v>#REF!</v>
      </c>
      <c r="N83" s="459" t="e">
        <f t="shared" si="8"/>
        <v>#REF!</v>
      </c>
      <c r="O83" s="459" t="e">
        <f t="shared" si="9"/>
        <v>#REF!</v>
      </c>
      <c r="P83" s="460" t="s">
        <v>156</v>
      </c>
      <c r="Q83" s="461"/>
      <c r="R83" s="632"/>
      <c r="S83" s="298" t="e">
        <f t="shared" si="11"/>
        <v>#REF!</v>
      </c>
      <c r="T83" s="198"/>
      <c r="U83" s="323"/>
      <c r="V83" s="198"/>
      <c r="W83" s="198"/>
      <c r="X83" s="198"/>
      <c r="Y83" s="198"/>
      <c r="Z83" s="198"/>
      <c r="AA83" s="198"/>
      <c r="AB83" s="198"/>
      <c r="AC83" s="198"/>
    </row>
    <row r="84" spans="1:29" s="188" customFormat="1" ht="11.25" customHeight="1">
      <c r="A84" s="13"/>
      <c r="B84" s="455">
        <v>45800</v>
      </c>
      <c r="C84" s="85" t="s">
        <v>80</v>
      </c>
      <c r="D84" s="94"/>
      <c r="E84" s="94">
        <v>51</v>
      </c>
      <c r="F84" s="96" t="s">
        <v>32</v>
      </c>
      <c r="G84" s="97"/>
      <c r="H84" s="95"/>
      <c r="I84" s="462"/>
      <c r="J84" s="95"/>
      <c r="K84" s="465">
        <v>16000</v>
      </c>
      <c r="L84" s="458" t="e">
        <f>#REF!</f>
        <v>#REF!</v>
      </c>
      <c r="M84" s="428" t="e">
        <f t="shared" si="10"/>
        <v>#REF!</v>
      </c>
      <c r="N84" s="459" t="e">
        <f t="shared" ref="N84:N110" si="12">N83+H84-K84</f>
        <v>#REF!</v>
      </c>
      <c r="O84" s="459" t="e">
        <f t="shared" ref="O84:O110" si="13">O83+J84-M84</f>
        <v>#REF!</v>
      </c>
      <c r="P84" s="460" t="s">
        <v>156</v>
      </c>
      <c r="Q84" s="461"/>
      <c r="R84" s="630" t="s">
        <v>162</v>
      </c>
      <c r="S84" s="298" t="e">
        <f t="shared" si="11"/>
        <v>#REF!</v>
      </c>
      <c r="T84" s="198"/>
      <c r="U84" s="323"/>
      <c r="V84" s="198"/>
      <c r="W84" s="198"/>
      <c r="X84" s="198"/>
      <c r="Y84" s="198"/>
      <c r="Z84" s="198"/>
      <c r="AA84" s="198"/>
      <c r="AB84" s="198"/>
      <c r="AC84" s="198"/>
    </row>
    <row r="85" spans="1:29" s="188" customFormat="1" ht="11.25" customHeight="1">
      <c r="A85" s="13"/>
      <c r="B85" s="455">
        <v>45800</v>
      </c>
      <c r="C85" s="85" t="s">
        <v>81</v>
      </c>
      <c r="D85" s="94"/>
      <c r="E85" s="94">
        <v>51</v>
      </c>
      <c r="F85" s="96" t="s">
        <v>32</v>
      </c>
      <c r="G85" s="97"/>
      <c r="H85" s="95"/>
      <c r="I85" s="462"/>
      <c r="J85" s="95"/>
      <c r="K85" s="465">
        <v>24000</v>
      </c>
      <c r="L85" s="458" t="e">
        <f>#REF!</f>
        <v>#REF!</v>
      </c>
      <c r="M85" s="428" t="e">
        <f t="shared" si="10"/>
        <v>#REF!</v>
      </c>
      <c r="N85" s="459" t="e">
        <f t="shared" si="12"/>
        <v>#REF!</v>
      </c>
      <c r="O85" s="459" t="e">
        <f t="shared" si="13"/>
        <v>#REF!</v>
      </c>
      <c r="P85" s="460" t="s">
        <v>156</v>
      </c>
      <c r="Q85" s="461"/>
      <c r="R85" s="631"/>
      <c r="S85" s="298" t="e">
        <f t="shared" si="11"/>
        <v>#REF!</v>
      </c>
      <c r="T85" s="198"/>
      <c r="U85" s="323"/>
      <c r="V85" s="198"/>
      <c r="W85" s="198"/>
      <c r="X85" s="198"/>
      <c r="Y85" s="198"/>
      <c r="Z85" s="198"/>
      <c r="AA85" s="198"/>
      <c r="AB85" s="198"/>
      <c r="AC85" s="198"/>
    </row>
    <row r="86" spans="1:29" s="188" customFormat="1" ht="11.25" customHeight="1">
      <c r="A86" s="13"/>
      <c r="B86" s="455">
        <v>45800</v>
      </c>
      <c r="C86" s="85" t="s">
        <v>82</v>
      </c>
      <c r="D86" s="94"/>
      <c r="E86" s="94">
        <v>51</v>
      </c>
      <c r="F86" s="96" t="s">
        <v>32</v>
      </c>
      <c r="G86" s="97"/>
      <c r="H86" s="95"/>
      <c r="I86" s="462"/>
      <c r="J86" s="95"/>
      <c r="K86" s="466">
        <v>5305.1900000000014</v>
      </c>
      <c r="L86" s="458" t="e">
        <f>#REF!</f>
        <v>#REF!</v>
      </c>
      <c r="M86" s="428" t="e">
        <f t="shared" ref="M86:M117" si="14">K86/L86</f>
        <v>#REF!</v>
      </c>
      <c r="N86" s="459" t="e">
        <f t="shared" si="12"/>
        <v>#REF!</v>
      </c>
      <c r="O86" s="459" t="e">
        <f t="shared" si="13"/>
        <v>#REF!</v>
      </c>
      <c r="P86" s="460" t="s">
        <v>156</v>
      </c>
      <c r="Q86" s="461"/>
      <c r="R86" s="631"/>
      <c r="S86" s="298" t="e">
        <f t="shared" si="11"/>
        <v>#REF!</v>
      </c>
      <c r="T86" s="198"/>
      <c r="U86" s="323"/>
      <c r="V86" s="198"/>
      <c r="W86" s="198"/>
      <c r="X86" s="198"/>
      <c r="Y86" s="198"/>
      <c r="Z86" s="198"/>
      <c r="AA86" s="198"/>
      <c r="AB86" s="198"/>
      <c r="AC86" s="198"/>
    </row>
    <row r="87" spans="1:29" s="188" customFormat="1" ht="11.25" customHeight="1">
      <c r="A87" s="13"/>
      <c r="B87" s="455">
        <v>45800</v>
      </c>
      <c r="C87" s="85" t="s">
        <v>83</v>
      </c>
      <c r="D87" s="94"/>
      <c r="E87" s="94">
        <v>51</v>
      </c>
      <c r="F87" s="96" t="s">
        <v>32</v>
      </c>
      <c r="G87" s="97"/>
      <c r="H87" s="95"/>
      <c r="I87" s="462"/>
      <c r="J87" s="95"/>
      <c r="K87" s="466">
        <v>5620.7999999999993</v>
      </c>
      <c r="L87" s="458" t="e">
        <f>#REF!</f>
        <v>#REF!</v>
      </c>
      <c r="M87" s="428" t="e">
        <f t="shared" si="14"/>
        <v>#REF!</v>
      </c>
      <c r="N87" s="459" t="e">
        <f t="shared" si="12"/>
        <v>#REF!</v>
      </c>
      <c r="O87" s="459" t="e">
        <f t="shared" si="13"/>
        <v>#REF!</v>
      </c>
      <c r="P87" s="460" t="s">
        <v>156</v>
      </c>
      <c r="Q87" s="461"/>
      <c r="R87" s="631"/>
      <c r="S87" s="298" t="e">
        <f t="shared" ref="S87:S110" si="15">S86-M87+J87</f>
        <v>#REF!</v>
      </c>
      <c r="T87" s="198"/>
      <c r="U87" s="323"/>
      <c r="V87" s="198"/>
      <c r="W87" s="198"/>
      <c r="X87" s="198"/>
      <c r="Y87" s="198"/>
      <c r="Z87" s="198"/>
      <c r="AA87" s="198"/>
      <c r="AB87" s="198"/>
      <c r="AC87" s="198"/>
    </row>
    <row r="88" spans="1:29" s="188" customFormat="1" ht="11.25" customHeight="1">
      <c r="A88" s="13"/>
      <c r="B88" s="455">
        <v>45800</v>
      </c>
      <c r="C88" s="85" t="s">
        <v>84</v>
      </c>
      <c r="D88" s="94"/>
      <c r="E88" s="94">
        <v>51</v>
      </c>
      <c r="F88" s="96" t="s">
        <v>32</v>
      </c>
      <c r="G88" s="97"/>
      <c r="H88" s="95"/>
      <c r="I88" s="462"/>
      <c r="J88" s="95"/>
      <c r="K88" s="466">
        <v>300</v>
      </c>
      <c r="L88" s="458" t="e">
        <f>#REF!</f>
        <v>#REF!</v>
      </c>
      <c r="M88" s="428" t="e">
        <f t="shared" si="14"/>
        <v>#REF!</v>
      </c>
      <c r="N88" s="459" t="e">
        <f t="shared" si="12"/>
        <v>#REF!</v>
      </c>
      <c r="O88" s="459" t="e">
        <f t="shared" si="13"/>
        <v>#REF!</v>
      </c>
      <c r="P88" s="460" t="s">
        <v>156</v>
      </c>
      <c r="Q88" s="461"/>
      <c r="R88" s="632"/>
      <c r="S88" s="298" t="e">
        <f t="shared" si="15"/>
        <v>#REF!</v>
      </c>
      <c r="T88" s="198"/>
      <c r="U88" s="323"/>
      <c r="V88" s="198"/>
      <c r="W88" s="198"/>
      <c r="X88" s="198"/>
      <c r="Y88" s="198"/>
      <c r="Z88" s="198"/>
      <c r="AA88" s="198"/>
      <c r="AB88" s="198"/>
      <c r="AC88" s="198"/>
    </row>
    <row r="89" spans="1:29" s="188" customFormat="1" ht="11.25" customHeight="1">
      <c r="A89" s="13"/>
      <c r="B89" s="455">
        <v>45800</v>
      </c>
      <c r="C89" s="85" t="s">
        <v>85</v>
      </c>
      <c r="D89" s="94"/>
      <c r="E89" s="94">
        <v>51</v>
      </c>
      <c r="F89" s="96" t="s">
        <v>32</v>
      </c>
      <c r="G89" s="97"/>
      <c r="H89" s="95"/>
      <c r="I89" s="462"/>
      <c r="J89" s="95"/>
      <c r="K89" s="467">
        <v>25750</v>
      </c>
      <c r="L89" s="458" t="e">
        <f>#REF!</f>
        <v>#REF!</v>
      </c>
      <c r="M89" s="428" t="e">
        <f t="shared" si="14"/>
        <v>#REF!</v>
      </c>
      <c r="N89" s="459" t="e">
        <f t="shared" si="12"/>
        <v>#REF!</v>
      </c>
      <c r="O89" s="459" t="e">
        <f t="shared" si="13"/>
        <v>#REF!</v>
      </c>
      <c r="P89" s="460" t="s">
        <v>156</v>
      </c>
      <c r="Q89" s="461"/>
      <c r="R89" s="630" t="s">
        <v>146</v>
      </c>
      <c r="S89" s="298" t="e">
        <f t="shared" si="15"/>
        <v>#REF!</v>
      </c>
      <c r="T89" s="198"/>
      <c r="U89" s="323"/>
      <c r="V89" s="198"/>
      <c r="W89" s="198"/>
      <c r="X89" s="198"/>
      <c r="Y89" s="198"/>
      <c r="Z89" s="198"/>
      <c r="AA89" s="198"/>
      <c r="AB89" s="198"/>
      <c r="AC89" s="198"/>
    </row>
    <row r="90" spans="1:29" ht="11.25" customHeight="1">
      <c r="B90" s="455">
        <v>45800</v>
      </c>
      <c r="C90" s="85" t="s">
        <v>87</v>
      </c>
      <c r="D90" s="94"/>
      <c r="E90" s="94">
        <v>51</v>
      </c>
      <c r="F90" s="96" t="s">
        <v>32</v>
      </c>
      <c r="G90" s="97"/>
      <c r="H90" s="95"/>
      <c r="I90" s="462"/>
      <c r="J90" s="95"/>
      <c r="K90" s="467">
        <v>1000</v>
      </c>
      <c r="L90" s="458" t="e">
        <f>#REF!</f>
        <v>#REF!</v>
      </c>
      <c r="M90" s="428" t="e">
        <f t="shared" si="14"/>
        <v>#REF!</v>
      </c>
      <c r="N90" s="459" t="e">
        <f t="shared" si="12"/>
        <v>#REF!</v>
      </c>
      <c r="O90" s="459" t="e">
        <f t="shared" si="13"/>
        <v>#REF!</v>
      </c>
      <c r="P90" s="460" t="s">
        <v>156</v>
      </c>
      <c r="Q90" s="461"/>
      <c r="R90" s="631"/>
      <c r="S90" s="298" t="e">
        <f t="shared" si="15"/>
        <v>#REF!</v>
      </c>
    </row>
    <row r="91" spans="1:29" ht="11.25" customHeight="1">
      <c r="B91" s="455">
        <v>45800</v>
      </c>
      <c r="C91" s="85" t="s">
        <v>88</v>
      </c>
      <c r="D91" s="94"/>
      <c r="E91" s="94">
        <v>51</v>
      </c>
      <c r="F91" s="96" t="s">
        <v>32</v>
      </c>
      <c r="G91" s="97"/>
      <c r="H91" s="95"/>
      <c r="I91" s="462"/>
      <c r="J91" s="95"/>
      <c r="K91" s="466">
        <v>7431.44</v>
      </c>
      <c r="L91" s="458" t="e">
        <f>#REF!</f>
        <v>#REF!</v>
      </c>
      <c r="M91" s="428" t="e">
        <f t="shared" si="14"/>
        <v>#REF!</v>
      </c>
      <c r="N91" s="459" t="e">
        <f t="shared" si="12"/>
        <v>#REF!</v>
      </c>
      <c r="O91" s="459" t="e">
        <f t="shared" si="13"/>
        <v>#REF!</v>
      </c>
      <c r="P91" s="460" t="s">
        <v>156</v>
      </c>
      <c r="Q91" s="461"/>
      <c r="R91" s="631"/>
      <c r="S91" s="298" t="e">
        <f t="shared" si="15"/>
        <v>#REF!</v>
      </c>
    </row>
    <row r="92" spans="1:29" ht="11.25" customHeight="1">
      <c r="B92" s="455">
        <v>45800</v>
      </c>
      <c r="C92" s="85" t="s">
        <v>84</v>
      </c>
      <c r="D92" s="94"/>
      <c r="E92" s="94">
        <v>51</v>
      </c>
      <c r="F92" s="96" t="s">
        <v>32</v>
      </c>
      <c r="G92" s="97"/>
      <c r="H92" s="95"/>
      <c r="I92" s="462"/>
      <c r="J92" s="95"/>
      <c r="K92" s="466">
        <v>300</v>
      </c>
      <c r="L92" s="458" t="e">
        <f>#REF!</f>
        <v>#REF!</v>
      </c>
      <c r="M92" s="428" t="e">
        <f t="shared" si="14"/>
        <v>#REF!</v>
      </c>
      <c r="N92" s="459" t="e">
        <f t="shared" si="12"/>
        <v>#REF!</v>
      </c>
      <c r="O92" s="459" t="e">
        <f t="shared" si="13"/>
        <v>#REF!</v>
      </c>
      <c r="P92" s="460" t="s">
        <v>156</v>
      </c>
      <c r="Q92" s="461"/>
      <c r="R92" s="631"/>
      <c r="S92" s="298" t="e">
        <f t="shared" si="15"/>
        <v>#REF!</v>
      </c>
    </row>
    <row r="93" spans="1:29" ht="11.25" customHeight="1">
      <c r="B93" s="455">
        <v>45800</v>
      </c>
      <c r="C93" s="85" t="s">
        <v>89</v>
      </c>
      <c r="D93" s="94"/>
      <c r="E93" s="94">
        <v>51</v>
      </c>
      <c r="F93" s="96" t="s">
        <v>32</v>
      </c>
      <c r="G93" s="97"/>
      <c r="H93" s="95"/>
      <c r="I93" s="462"/>
      <c r="J93" s="95"/>
      <c r="K93" s="467">
        <v>200</v>
      </c>
      <c r="L93" s="458" t="e">
        <f>#REF!</f>
        <v>#REF!</v>
      </c>
      <c r="M93" s="428" t="e">
        <f t="shared" si="14"/>
        <v>#REF!</v>
      </c>
      <c r="N93" s="459" t="e">
        <f t="shared" si="12"/>
        <v>#REF!</v>
      </c>
      <c r="O93" s="459" t="e">
        <f t="shared" si="13"/>
        <v>#REF!</v>
      </c>
      <c r="P93" s="460" t="s">
        <v>156</v>
      </c>
      <c r="Q93" s="461"/>
      <c r="R93" s="632"/>
      <c r="S93" s="298" t="e">
        <f t="shared" si="15"/>
        <v>#REF!</v>
      </c>
    </row>
    <row r="94" spans="1:29" ht="11.25" customHeight="1">
      <c r="B94" s="455">
        <v>45800</v>
      </c>
      <c r="C94" s="85" t="s">
        <v>85</v>
      </c>
      <c r="D94" s="94"/>
      <c r="E94" s="94">
        <v>51</v>
      </c>
      <c r="F94" s="96" t="s">
        <v>32</v>
      </c>
      <c r="G94" s="97"/>
      <c r="H94" s="95"/>
      <c r="I94" s="462"/>
      <c r="J94" s="95"/>
      <c r="K94" s="467">
        <v>13390</v>
      </c>
      <c r="L94" s="458" t="e">
        <f>#REF!</f>
        <v>#REF!</v>
      </c>
      <c r="M94" s="428" t="e">
        <f t="shared" si="14"/>
        <v>#REF!</v>
      </c>
      <c r="N94" s="459" t="e">
        <f t="shared" si="12"/>
        <v>#REF!</v>
      </c>
      <c r="O94" s="459" t="e">
        <f t="shared" si="13"/>
        <v>#REF!</v>
      </c>
      <c r="P94" s="460" t="s">
        <v>156</v>
      </c>
      <c r="Q94" s="461"/>
      <c r="R94" s="633" t="s">
        <v>147</v>
      </c>
      <c r="S94" s="298" t="e">
        <f t="shared" si="15"/>
        <v>#REF!</v>
      </c>
    </row>
    <row r="95" spans="1:29" ht="11.25" customHeight="1">
      <c r="B95" s="455">
        <v>45800</v>
      </c>
      <c r="C95" s="85" t="s">
        <v>87</v>
      </c>
      <c r="D95" s="94"/>
      <c r="E95" s="94">
        <v>51</v>
      </c>
      <c r="F95" s="96" t="s">
        <v>32</v>
      </c>
      <c r="G95" s="97"/>
      <c r="H95" s="95"/>
      <c r="I95" s="462"/>
      <c r="J95" s="95"/>
      <c r="K95" s="467">
        <v>1000</v>
      </c>
      <c r="L95" s="458" t="e">
        <f>#REF!</f>
        <v>#REF!</v>
      </c>
      <c r="M95" s="428" t="e">
        <f t="shared" si="14"/>
        <v>#REF!</v>
      </c>
      <c r="N95" s="459" t="e">
        <f t="shared" si="12"/>
        <v>#REF!</v>
      </c>
      <c r="O95" s="459" t="e">
        <f t="shared" si="13"/>
        <v>#REF!</v>
      </c>
      <c r="P95" s="460" t="s">
        <v>156</v>
      </c>
      <c r="Q95" s="461"/>
      <c r="R95" s="631"/>
      <c r="S95" s="298" t="e">
        <f t="shared" si="15"/>
        <v>#REF!</v>
      </c>
    </row>
    <row r="96" spans="1:29" ht="11.25" customHeight="1">
      <c r="B96" s="455">
        <v>45800</v>
      </c>
      <c r="C96" s="85" t="s">
        <v>88</v>
      </c>
      <c r="D96" s="94"/>
      <c r="E96" s="94">
        <v>51</v>
      </c>
      <c r="F96" s="96" t="s">
        <v>32</v>
      </c>
      <c r="G96" s="97"/>
      <c r="H96" s="95"/>
      <c r="I96" s="462"/>
      <c r="J96" s="95"/>
      <c r="K96" s="468">
        <v>3281.57</v>
      </c>
      <c r="L96" s="458" t="e">
        <f>#REF!</f>
        <v>#REF!</v>
      </c>
      <c r="M96" s="428" t="e">
        <f t="shared" si="14"/>
        <v>#REF!</v>
      </c>
      <c r="N96" s="459" t="e">
        <f t="shared" si="12"/>
        <v>#REF!</v>
      </c>
      <c r="O96" s="459" t="e">
        <f t="shared" si="13"/>
        <v>#REF!</v>
      </c>
      <c r="P96" s="460" t="s">
        <v>156</v>
      </c>
      <c r="Q96" s="461"/>
      <c r="R96" s="631"/>
      <c r="S96" s="298" t="e">
        <f t="shared" si="15"/>
        <v>#REF!</v>
      </c>
    </row>
    <row r="97" spans="1:29" ht="11.25" customHeight="1">
      <c r="B97" s="455">
        <v>45800</v>
      </c>
      <c r="C97" s="85" t="s">
        <v>84</v>
      </c>
      <c r="D97" s="94"/>
      <c r="E97" s="94">
        <v>51</v>
      </c>
      <c r="F97" s="96" t="s">
        <v>32</v>
      </c>
      <c r="G97" s="97"/>
      <c r="H97" s="95"/>
      <c r="I97" s="462"/>
      <c r="J97" s="95"/>
      <c r="K97" s="468">
        <v>300</v>
      </c>
      <c r="L97" s="458" t="e">
        <f>#REF!</f>
        <v>#REF!</v>
      </c>
      <c r="M97" s="428" t="e">
        <f t="shared" si="14"/>
        <v>#REF!</v>
      </c>
      <c r="N97" s="459" t="e">
        <f t="shared" si="12"/>
        <v>#REF!</v>
      </c>
      <c r="O97" s="459" t="e">
        <f t="shared" si="13"/>
        <v>#REF!</v>
      </c>
      <c r="P97" s="460" t="s">
        <v>156</v>
      </c>
      <c r="Q97" s="461"/>
      <c r="R97" s="631"/>
      <c r="S97" s="298" t="e">
        <f t="shared" si="15"/>
        <v>#REF!</v>
      </c>
    </row>
    <row r="98" spans="1:29" ht="11.25" customHeight="1">
      <c r="B98" s="455">
        <v>45800</v>
      </c>
      <c r="C98" s="85" t="s">
        <v>89</v>
      </c>
      <c r="D98" s="94"/>
      <c r="E98" s="94">
        <v>51</v>
      </c>
      <c r="F98" s="96" t="s">
        <v>32</v>
      </c>
      <c r="G98" s="97"/>
      <c r="H98" s="95"/>
      <c r="I98" s="462"/>
      <c r="J98" s="95"/>
      <c r="K98" s="467">
        <v>1100</v>
      </c>
      <c r="L98" s="458" t="e">
        <f>#REF!</f>
        <v>#REF!</v>
      </c>
      <c r="M98" s="428" t="e">
        <f t="shared" si="14"/>
        <v>#REF!</v>
      </c>
      <c r="N98" s="459" t="e">
        <f t="shared" si="12"/>
        <v>#REF!</v>
      </c>
      <c r="O98" s="459" t="e">
        <f t="shared" si="13"/>
        <v>#REF!</v>
      </c>
      <c r="P98" s="460" t="s">
        <v>156</v>
      </c>
      <c r="Q98" s="461"/>
      <c r="R98" s="632"/>
      <c r="S98" s="298" t="e">
        <f t="shared" si="15"/>
        <v>#REF!</v>
      </c>
    </row>
    <row r="99" spans="1:29" ht="11.25" customHeight="1">
      <c r="B99" s="455">
        <v>45800</v>
      </c>
      <c r="C99" s="85" t="s">
        <v>85</v>
      </c>
      <c r="D99" s="94"/>
      <c r="E99" s="94">
        <v>51</v>
      </c>
      <c r="F99" s="96" t="s">
        <v>32</v>
      </c>
      <c r="G99" s="97"/>
      <c r="H99" s="95"/>
      <c r="I99" s="462"/>
      <c r="J99" s="95"/>
      <c r="K99" s="467">
        <v>25750</v>
      </c>
      <c r="L99" s="458" t="e">
        <f>#REF!</f>
        <v>#REF!</v>
      </c>
      <c r="M99" s="428" t="e">
        <f t="shared" si="14"/>
        <v>#REF!</v>
      </c>
      <c r="N99" s="459" t="e">
        <f t="shared" si="12"/>
        <v>#REF!</v>
      </c>
      <c r="O99" s="459" t="e">
        <f t="shared" si="13"/>
        <v>#REF!</v>
      </c>
      <c r="P99" s="460" t="s">
        <v>156</v>
      </c>
      <c r="Q99" s="461"/>
      <c r="R99" s="630" t="s">
        <v>148</v>
      </c>
      <c r="S99" s="298" t="e">
        <f t="shared" si="15"/>
        <v>#REF!</v>
      </c>
    </row>
    <row r="100" spans="1:29" ht="11.25" customHeight="1">
      <c r="B100" s="455">
        <v>45800</v>
      </c>
      <c r="C100" s="85" t="s">
        <v>87</v>
      </c>
      <c r="D100" s="94"/>
      <c r="E100" s="94">
        <v>51</v>
      </c>
      <c r="F100" s="96" t="s">
        <v>32</v>
      </c>
      <c r="G100" s="97"/>
      <c r="H100" s="95"/>
      <c r="I100" s="462"/>
      <c r="J100" s="95"/>
      <c r="K100" s="467">
        <v>1000</v>
      </c>
      <c r="L100" s="458" t="e">
        <f>#REF!</f>
        <v>#REF!</v>
      </c>
      <c r="M100" s="428" t="e">
        <f t="shared" si="14"/>
        <v>#REF!</v>
      </c>
      <c r="N100" s="459" t="e">
        <f t="shared" si="12"/>
        <v>#REF!</v>
      </c>
      <c r="O100" s="459" t="e">
        <f t="shared" si="13"/>
        <v>#REF!</v>
      </c>
      <c r="P100" s="460" t="s">
        <v>156</v>
      </c>
      <c r="Q100" s="461"/>
      <c r="R100" s="631"/>
      <c r="S100" s="298" t="e">
        <f t="shared" si="15"/>
        <v>#REF!</v>
      </c>
    </row>
    <row r="101" spans="1:29" ht="11.25" customHeight="1">
      <c r="B101" s="455">
        <v>45800</v>
      </c>
      <c r="C101" s="85" t="s">
        <v>88</v>
      </c>
      <c r="D101" s="94"/>
      <c r="E101" s="94">
        <v>51</v>
      </c>
      <c r="F101" s="96" t="s">
        <v>32</v>
      </c>
      <c r="G101" s="97"/>
      <c r="H101" s="95"/>
      <c r="I101" s="462"/>
      <c r="J101" s="95"/>
      <c r="K101" s="468">
        <v>7431.44</v>
      </c>
      <c r="L101" s="458" t="e">
        <f>#REF!</f>
        <v>#REF!</v>
      </c>
      <c r="M101" s="428" t="e">
        <f t="shared" si="14"/>
        <v>#REF!</v>
      </c>
      <c r="N101" s="459" t="e">
        <f t="shared" si="12"/>
        <v>#REF!</v>
      </c>
      <c r="O101" s="459" t="e">
        <f t="shared" si="13"/>
        <v>#REF!</v>
      </c>
      <c r="P101" s="460" t="s">
        <v>156</v>
      </c>
      <c r="Q101" s="461"/>
      <c r="R101" s="631"/>
      <c r="S101" s="298" t="e">
        <f t="shared" si="15"/>
        <v>#REF!</v>
      </c>
    </row>
    <row r="102" spans="1:29" ht="11.25" customHeight="1">
      <c r="B102" s="455">
        <v>45800</v>
      </c>
      <c r="C102" s="85" t="s">
        <v>84</v>
      </c>
      <c r="D102" s="94"/>
      <c r="E102" s="94">
        <v>51</v>
      </c>
      <c r="F102" s="96" t="s">
        <v>32</v>
      </c>
      <c r="G102" s="97"/>
      <c r="H102" s="95"/>
      <c r="I102" s="462"/>
      <c r="J102" s="95"/>
      <c r="K102" s="468">
        <v>300</v>
      </c>
      <c r="L102" s="458" t="e">
        <f>#REF!</f>
        <v>#REF!</v>
      </c>
      <c r="M102" s="428" t="e">
        <f t="shared" si="14"/>
        <v>#REF!</v>
      </c>
      <c r="N102" s="459" t="e">
        <f t="shared" si="12"/>
        <v>#REF!</v>
      </c>
      <c r="O102" s="459" t="e">
        <f t="shared" si="13"/>
        <v>#REF!</v>
      </c>
      <c r="P102" s="460" t="s">
        <v>156</v>
      </c>
      <c r="Q102" s="461"/>
      <c r="R102" s="632"/>
      <c r="S102" s="298" t="e">
        <f t="shared" si="15"/>
        <v>#REF!</v>
      </c>
    </row>
    <row r="103" spans="1:29" ht="11.25" customHeight="1">
      <c r="B103" s="455">
        <v>45800</v>
      </c>
      <c r="C103" s="85" t="s">
        <v>85</v>
      </c>
      <c r="D103" s="94"/>
      <c r="E103" s="94">
        <v>51</v>
      </c>
      <c r="F103" s="96" t="s">
        <v>32</v>
      </c>
      <c r="G103" s="97"/>
      <c r="H103" s="95"/>
      <c r="I103" s="462"/>
      <c r="J103" s="95"/>
      <c r="K103" s="469">
        <v>21300</v>
      </c>
      <c r="L103" s="458" t="e">
        <f>#REF!</f>
        <v>#REF!</v>
      </c>
      <c r="M103" s="428" t="e">
        <f t="shared" si="14"/>
        <v>#REF!</v>
      </c>
      <c r="N103" s="459" t="e">
        <f t="shared" si="12"/>
        <v>#REF!</v>
      </c>
      <c r="O103" s="459" t="e">
        <f t="shared" si="13"/>
        <v>#REF!</v>
      </c>
      <c r="P103" s="460" t="s">
        <v>156</v>
      </c>
      <c r="Q103" s="461"/>
      <c r="R103" s="630" t="s">
        <v>149</v>
      </c>
      <c r="S103" s="298" t="e">
        <f t="shared" si="15"/>
        <v>#REF!</v>
      </c>
    </row>
    <row r="104" spans="1:29" ht="11.25" customHeight="1">
      <c r="B104" s="455">
        <v>45800</v>
      </c>
      <c r="C104" s="85" t="s">
        <v>87</v>
      </c>
      <c r="D104" s="94"/>
      <c r="E104" s="94">
        <v>51</v>
      </c>
      <c r="F104" s="96" t="s">
        <v>32</v>
      </c>
      <c r="G104" s="97"/>
      <c r="H104" s="95"/>
      <c r="I104" s="462"/>
      <c r="J104" s="95"/>
      <c r="K104" s="469">
        <v>1000</v>
      </c>
      <c r="L104" s="458" t="e">
        <f>#REF!</f>
        <v>#REF!</v>
      </c>
      <c r="M104" s="428" t="e">
        <f t="shared" si="14"/>
        <v>#REF!</v>
      </c>
      <c r="N104" s="459" t="e">
        <f t="shared" si="12"/>
        <v>#REF!</v>
      </c>
      <c r="O104" s="459" t="e">
        <f t="shared" si="13"/>
        <v>#REF!</v>
      </c>
      <c r="P104" s="460" t="s">
        <v>156</v>
      </c>
      <c r="Q104" s="461"/>
      <c r="R104" s="631"/>
      <c r="S104" s="298" t="e">
        <f t="shared" si="15"/>
        <v>#REF!</v>
      </c>
    </row>
    <row r="105" spans="1:29" s="188" customFormat="1" ht="11.25" customHeight="1">
      <c r="A105" s="13"/>
      <c r="B105" s="455">
        <v>45800</v>
      </c>
      <c r="C105" s="85" t="s">
        <v>88</v>
      </c>
      <c r="D105" s="94"/>
      <c r="E105" s="94">
        <v>51</v>
      </c>
      <c r="F105" s="96" t="s">
        <v>32</v>
      </c>
      <c r="G105" s="97"/>
      <c r="H105" s="95"/>
      <c r="I105" s="462"/>
      <c r="J105" s="95"/>
      <c r="K105" s="470">
        <v>5941.29</v>
      </c>
      <c r="L105" s="458" t="e">
        <f>#REF!</f>
        <v>#REF!</v>
      </c>
      <c r="M105" s="428">
        <v>827.44399999999996</v>
      </c>
      <c r="N105" s="459" t="e">
        <f t="shared" si="12"/>
        <v>#REF!</v>
      </c>
      <c r="O105" s="459" t="e">
        <f t="shared" si="13"/>
        <v>#REF!</v>
      </c>
      <c r="P105" s="460" t="s">
        <v>156</v>
      </c>
      <c r="Q105" s="461"/>
      <c r="R105" s="631"/>
      <c r="S105" s="298" t="e">
        <f t="shared" si="15"/>
        <v>#REF!</v>
      </c>
      <c r="T105" s="198"/>
      <c r="U105" s="323"/>
      <c r="V105" s="198"/>
      <c r="W105" s="198"/>
      <c r="X105" s="198"/>
      <c r="Y105" s="198"/>
      <c r="Z105" s="198"/>
      <c r="AA105" s="198"/>
      <c r="AB105" s="198"/>
      <c r="AC105" s="198"/>
    </row>
    <row r="106" spans="1:29" s="188" customFormat="1" ht="11.25" customHeight="1">
      <c r="A106" s="13"/>
      <c r="B106" s="455">
        <v>45800</v>
      </c>
      <c r="C106" s="85" t="s">
        <v>84</v>
      </c>
      <c r="D106" s="94"/>
      <c r="E106" s="94">
        <v>51</v>
      </c>
      <c r="F106" s="96" t="s">
        <v>32</v>
      </c>
      <c r="G106" s="97"/>
      <c r="H106" s="95"/>
      <c r="I106" s="462"/>
      <c r="J106" s="95"/>
      <c r="K106" s="470">
        <v>300</v>
      </c>
      <c r="L106" s="458" t="e">
        <f>#REF!</f>
        <v>#REF!</v>
      </c>
      <c r="M106" s="428" t="e">
        <f>K106/L106</f>
        <v>#REF!</v>
      </c>
      <c r="N106" s="459" t="e">
        <f t="shared" si="12"/>
        <v>#REF!</v>
      </c>
      <c r="O106" s="459" t="e">
        <f t="shared" si="13"/>
        <v>#REF!</v>
      </c>
      <c r="P106" s="460" t="s">
        <v>156</v>
      </c>
      <c r="Q106" s="461"/>
      <c r="R106" s="631"/>
      <c r="S106" s="298" t="e">
        <f t="shared" si="15"/>
        <v>#REF!</v>
      </c>
      <c r="T106" s="198"/>
      <c r="U106" s="323"/>
      <c r="V106" s="198"/>
      <c r="W106" s="198"/>
      <c r="X106" s="198"/>
      <c r="Y106" s="198"/>
      <c r="Z106" s="198"/>
      <c r="AA106" s="198"/>
      <c r="AB106" s="198"/>
      <c r="AC106" s="198"/>
    </row>
    <row r="107" spans="1:29" s="188" customFormat="1" ht="11.25" customHeight="1">
      <c r="A107" s="13"/>
      <c r="B107" s="455">
        <v>45800</v>
      </c>
      <c r="C107" s="85" t="s">
        <v>89</v>
      </c>
      <c r="D107" s="94"/>
      <c r="E107" s="94">
        <v>51</v>
      </c>
      <c r="F107" s="96" t="s">
        <v>32</v>
      </c>
      <c r="G107" s="97"/>
      <c r="H107" s="95"/>
      <c r="I107" s="462"/>
      <c r="J107" s="95"/>
      <c r="K107" s="470">
        <v>200</v>
      </c>
      <c r="L107" s="458" t="e">
        <f>#REF!</f>
        <v>#REF!</v>
      </c>
      <c r="M107" s="428" t="e">
        <f>K107/L107</f>
        <v>#REF!</v>
      </c>
      <c r="N107" s="459" t="e">
        <f t="shared" si="12"/>
        <v>#REF!</v>
      </c>
      <c r="O107" s="459" t="e">
        <f t="shared" si="13"/>
        <v>#REF!</v>
      </c>
      <c r="P107" s="460" t="s">
        <v>156</v>
      </c>
      <c r="Q107" s="461"/>
      <c r="R107" s="632"/>
      <c r="S107" s="298" t="e">
        <f t="shared" si="15"/>
        <v>#REF!</v>
      </c>
      <c r="T107" s="198"/>
      <c r="U107" s="323"/>
      <c r="V107" s="198"/>
      <c r="W107" s="198"/>
      <c r="X107" s="198"/>
      <c r="Y107" s="198"/>
      <c r="Z107" s="198"/>
      <c r="AA107" s="198"/>
      <c r="AB107" s="198"/>
      <c r="AC107" s="198"/>
    </row>
    <row r="108" spans="1:29" s="188" customFormat="1" ht="11.25" customHeight="1">
      <c r="A108" s="13"/>
      <c r="B108" s="455">
        <v>45800</v>
      </c>
      <c r="C108" s="85" t="s">
        <v>49</v>
      </c>
      <c r="D108" s="94"/>
      <c r="E108" s="102">
        <v>52</v>
      </c>
      <c r="F108" s="96" t="s">
        <v>32</v>
      </c>
      <c r="G108" s="97"/>
      <c r="H108" s="95"/>
      <c r="I108" s="462"/>
      <c r="J108" s="95"/>
      <c r="K108" s="471">
        <v>12</v>
      </c>
      <c r="L108" s="458" t="e">
        <f>#REF!</f>
        <v>#REF!</v>
      </c>
      <c r="M108" s="472" t="e">
        <f>K108/L108</f>
        <v>#REF!</v>
      </c>
      <c r="N108" s="459" t="e">
        <f t="shared" si="12"/>
        <v>#REF!</v>
      </c>
      <c r="O108" s="459" t="e">
        <f t="shared" si="13"/>
        <v>#REF!</v>
      </c>
      <c r="P108" s="460" t="s">
        <v>156</v>
      </c>
      <c r="Q108" s="461"/>
      <c r="R108" s="85"/>
      <c r="S108" s="298" t="e">
        <f t="shared" si="15"/>
        <v>#REF!</v>
      </c>
      <c r="T108" s="198"/>
      <c r="U108" s="323"/>
      <c r="V108" s="198"/>
      <c r="W108" s="198"/>
      <c r="X108" s="198"/>
      <c r="Y108" s="198"/>
      <c r="Z108" s="198"/>
      <c r="AA108" s="198"/>
      <c r="AB108" s="198"/>
      <c r="AC108" s="198"/>
    </row>
    <row r="109" spans="1:29" s="188" customFormat="1" ht="11.25" customHeight="1">
      <c r="A109" s="13"/>
      <c r="B109" s="455">
        <v>45800</v>
      </c>
      <c r="C109" s="85" t="s">
        <v>163</v>
      </c>
      <c r="D109" s="94"/>
      <c r="E109" s="94">
        <v>53</v>
      </c>
      <c r="F109" s="96" t="s">
        <v>25</v>
      </c>
      <c r="G109" s="97" t="s">
        <v>26</v>
      </c>
      <c r="H109" s="95"/>
      <c r="I109" s="462"/>
      <c r="J109" s="95"/>
      <c r="K109" s="471">
        <v>800</v>
      </c>
      <c r="L109" s="458" t="e">
        <f>#REF!</f>
        <v>#REF!</v>
      </c>
      <c r="M109" s="428">
        <v>111.41800000000001</v>
      </c>
      <c r="N109" s="459" t="e">
        <f t="shared" si="12"/>
        <v>#REF!</v>
      </c>
      <c r="O109" s="459" t="e">
        <f t="shared" si="13"/>
        <v>#REF!</v>
      </c>
      <c r="P109" s="460" t="s">
        <v>156</v>
      </c>
      <c r="Q109" s="461"/>
      <c r="R109" s="85" t="s">
        <v>163</v>
      </c>
      <c r="S109" s="298" t="e">
        <f t="shared" si="15"/>
        <v>#REF!</v>
      </c>
      <c r="T109" s="198"/>
      <c r="U109" s="323"/>
      <c r="V109" s="198"/>
      <c r="W109" s="198"/>
      <c r="X109" s="198"/>
      <c r="Y109" s="198"/>
      <c r="Z109" s="198"/>
      <c r="AA109" s="198"/>
      <c r="AB109" s="198"/>
      <c r="AC109" s="198"/>
    </row>
    <row r="110" spans="1:29" s="188" customFormat="1" ht="11.25" customHeight="1">
      <c r="A110" s="13"/>
      <c r="B110" s="455">
        <v>45800</v>
      </c>
      <c r="C110" s="98" t="s">
        <v>49</v>
      </c>
      <c r="D110" s="94"/>
      <c r="E110" s="94">
        <v>54</v>
      </c>
      <c r="F110" s="96" t="s">
        <v>32</v>
      </c>
      <c r="G110" s="97"/>
      <c r="H110" s="95"/>
      <c r="I110" s="462"/>
      <c r="J110" s="95"/>
      <c r="K110" s="465">
        <v>3.6</v>
      </c>
      <c r="L110" s="458" t="e">
        <f>#REF!</f>
        <v>#REF!</v>
      </c>
      <c r="M110" s="428" t="e">
        <f>K110/L110</f>
        <v>#REF!</v>
      </c>
      <c r="N110" s="473" t="e">
        <f t="shared" si="12"/>
        <v>#REF!</v>
      </c>
      <c r="O110" s="473" t="e">
        <f t="shared" si="13"/>
        <v>#REF!</v>
      </c>
      <c r="P110" s="460" t="s">
        <v>156</v>
      </c>
      <c r="Q110" s="461"/>
      <c r="R110" s="456"/>
      <c r="S110" s="289" t="e">
        <f t="shared" si="15"/>
        <v>#REF!</v>
      </c>
      <c r="T110" s="198"/>
      <c r="U110" s="323"/>
      <c r="V110" s="198"/>
      <c r="W110" s="198"/>
      <c r="X110" s="198"/>
      <c r="Y110" s="198"/>
      <c r="Z110" s="198"/>
      <c r="AA110" s="198"/>
      <c r="AB110" s="198"/>
      <c r="AC110" s="198"/>
    </row>
    <row r="111" spans="1:29" ht="11.25" customHeight="1">
      <c r="C111" s="198"/>
      <c r="M111" s="399"/>
    </row>
    <row r="112" spans="1:29" ht="11.25" customHeight="1">
      <c r="M112" s="399"/>
    </row>
  </sheetData>
  <autoFilter ref="B18:R110" xr:uid="{00000000-0009-0000-0000-000005000000}">
    <filterColumn colId="14" showButton="0"/>
    <sortState xmlns:xlrd2="http://schemas.microsoft.com/office/spreadsheetml/2017/richdata2" ref="B19:R110">
      <sortCondition sortBy="cellColor" ref="M18:M110" dxfId="0"/>
    </sortState>
  </autoFilter>
  <mergeCells count="11">
    <mergeCell ref="K17:M17"/>
    <mergeCell ref="H17:J17"/>
    <mergeCell ref="R94:R98"/>
    <mergeCell ref="R99:R102"/>
    <mergeCell ref="N17:O17"/>
    <mergeCell ref="P18:Q18"/>
    <mergeCell ref="P17:Q17"/>
    <mergeCell ref="R79:R83"/>
    <mergeCell ref="R103:R107"/>
    <mergeCell ref="R84:R88"/>
    <mergeCell ref="R89:R93"/>
  </mergeCells>
  <phoneticPr fontId="3" type="noConversion"/>
  <pageMargins left="0.7" right="0.7" top="0.75" bottom="0.75" header="0.3" footer="0.3"/>
  <pageSetup paperSize="256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X499"/>
  <sheetViews>
    <sheetView showGridLines="0" zoomScaleNormal="100" workbookViewId="0">
      <pane ySplit="21" topLeftCell="A22" activePane="bottomLeft" state="frozen"/>
      <selection activeCell="G119" sqref="G119"/>
      <selection pane="bottomLeft" activeCell="H30" sqref="H30"/>
    </sheetView>
  </sheetViews>
  <sheetFormatPr defaultColWidth="9" defaultRowHeight="11.25" customHeight="1"/>
  <cols>
    <col min="1" max="1" width="1.75" style="125" customWidth="1"/>
    <col min="2" max="2" width="10.625" style="474" customWidth="1"/>
    <col min="3" max="3" width="10.625" style="475" customWidth="1"/>
    <col min="4" max="4" width="15.75" style="476" customWidth="1"/>
    <col min="5" max="5" width="10" style="476" bestFit="1" customWidth="1"/>
    <col min="6" max="6" width="15.125" style="476" customWidth="1"/>
    <col min="7" max="7" width="9.875" style="477" customWidth="1"/>
    <col min="8" max="8" width="9.75" style="476" customWidth="1"/>
    <col min="9" max="9" width="9.875" style="476" customWidth="1"/>
    <col min="10" max="10" width="10.5" style="477" customWidth="1"/>
    <col min="11" max="11" width="11" style="478" customWidth="1"/>
    <col min="12" max="12" width="11.125" style="476" customWidth="1"/>
    <col min="13" max="13" width="9.75" style="476" customWidth="1"/>
    <col min="14" max="14" width="12.375" style="476" customWidth="1"/>
    <col min="15" max="15" width="9.875" style="476" customWidth="1"/>
    <col min="16" max="16" width="10.75" style="476" customWidth="1"/>
    <col min="17" max="17" width="9.625" style="476" customWidth="1"/>
    <col min="18" max="18" width="15.625" style="477" customWidth="1"/>
    <col min="19" max="19" width="15.625" style="145" customWidth="1"/>
    <col min="20" max="20" width="9" style="476" customWidth="1"/>
    <col min="21" max="16384" width="9" style="476"/>
  </cols>
  <sheetData>
    <row r="1" spans="1:22" ht="12" customHeight="1">
      <c r="A1" s="114"/>
      <c r="B1" s="479"/>
      <c r="C1" s="480"/>
      <c r="D1" s="481"/>
      <c r="E1" s="482"/>
      <c r="F1" s="482"/>
      <c r="G1" s="483"/>
      <c r="H1" s="482"/>
      <c r="I1" s="482"/>
      <c r="J1" s="484"/>
      <c r="K1" s="485"/>
      <c r="L1" s="482"/>
      <c r="M1" s="486"/>
      <c r="N1" s="486"/>
      <c r="O1" s="481"/>
      <c r="P1" s="487"/>
      <c r="Q1" s="487"/>
      <c r="R1" s="488"/>
      <c r="S1" s="155"/>
    </row>
    <row r="2" spans="1:22" ht="15" customHeight="1">
      <c r="B2" s="489" t="s">
        <v>164</v>
      </c>
      <c r="D2" s="475"/>
      <c r="F2" s="490"/>
      <c r="G2" s="477" t="s">
        <v>13</v>
      </c>
      <c r="H2" s="115" t="s">
        <v>14</v>
      </c>
      <c r="I2" s="491"/>
      <c r="J2" s="491"/>
      <c r="K2" s="492"/>
      <c r="L2" s="491"/>
      <c r="M2" s="491"/>
      <c r="N2" s="493"/>
      <c r="O2" s="494"/>
      <c r="Q2" s="491"/>
    </row>
    <row r="3" spans="1:22" s="495" customFormat="1" ht="11.25" customHeight="1">
      <c r="A3" s="117"/>
      <c r="B3" s="496" t="s">
        <v>165</v>
      </c>
      <c r="C3" s="497"/>
      <c r="D3" s="497"/>
      <c r="E3" s="498"/>
      <c r="F3" s="118">
        <v>1405.6</v>
      </c>
      <c r="G3" s="499"/>
      <c r="H3" s="496" t="s">
        <v>166</v>
      </c>
      <c r="I3" s="497"/>
      <c r="K3" s="500"/>
      <c r="L3" s="118">
        <v>1358.9</v>
      </c>
      <c r="Q3" s="496"/>
      <c r="R3" s="496"/>
      <c r="S3" s="501"/>
    </row>
    <row r="4" spans="1:22" ht="11.25" customHeight="1">
      <c r="A4" s="114"/>
      <c r="B4" s="502" t="s">
        <v>18</v>
      </c>
      <c r="C4" s="503" t="s">
        <v>19</v>
      </c>
      <c r="D4" s="504" t="s">
        <v>20</v>
      </c>
      <c r="E4" s="505" t="s">
        <v>21</v>
      </c>
      <c r="F4" s="506" t="s">
        <v>22</v>
      </c>
      <c r="H4" s="502" t="s">
        <v>18</v>
      </c>
      <c r="I4" s="504" t="s">
        <v>19</v>
      </c>
      <c r="J4" s="507" t="s">
        <v>20</v>
      </c>
      <c r="K4" s="508" t="s">
        <v>21</v>
      </c>
      <c r="L4" s="506" t="s">
        <v>22</v>
      </c>
      <c r="M4" s="495"/>
      <c r="N4" s="495"/>
      <c r="O4" s="495"/>
      <c r="P4" s="495"/>
      <c r="Q4" s="496"/>
      <c r="R4" s="496"/>
    </row>
    <row r="5" spans="1:22" ht="11.25" customHeight="1">
      <c r="A5" s="116">
        <v>51131050</v>
      </c>
      <c r="B5" s="509" t="s">
        <v>23</v>
      </c>
      <c r="C5" s="510" t="s">
        <v>24</v>
      </c>
      <c r="D5" s="511"/>
      <c r="E5" s="512"/>
      <c r="F5" s="513">
        <f t="shared" ref="F5:F11" si="0">ROUND(E5*$F$3,0)</f>
        <v>0</v>
      </c>
      <c r="G5" s="514"/>
      <c r="H5" s="515" t="s">
        <v>23</v>
      </c>
      <c r="I5" s="515" t="s">
        <v>24</v>
      </c>
      <c r="J5" s="516"/>
      <c r="K5" s="517"/>
      <c r="L5" s="513">
        <f t="shared" ref="L5:L13" si="1">ROUND(K5*$L$3,0)</f>
        <v>0</v>
      </c>
      <c r="M5" s="495"/>
      <c r="N5" s="495"/>
      <c r="O5" s="495"/>
      <c r="P5" s="495"/>
      <c r="Q5" s="496"/>
      <c r="R5" s="496"/>
      <c r="S5" s="518">
        <f>F5+L5+R5</f>
        <v>0</v>
      </c>
    </row>
    <row r="6" spans="1:22" ht="11.25" customHeight="1">
      <c r="A6" s="116">
        <v>51061030</v>
      </c>
      <c r="B6" s="509" t="s">
        <v>25</v>
      </c>
      <c r="C6" s="510" t="s">
        <v>26</v>
      </c>
      <c r="D6" s="511"/>
      <c r="E6" s="511"/>
      <c r="F6" s="513">
        <f t="shared" si="0"/>
        <v>0</v>
      </c>
      <c r="G6" s="519"/>
      <c r="H6" s="515" t="s">
        <v>25</v>
      </c>
      <c r="I6" s="515" t="s">
        <v>26</v>
      </c>
      <c r="J6" s="516"/>
      <c r="K6" s="517"/>
      <c r="L6" s="513">
        <f t="shared" si="1"/>
        <v>0</v>
      </c>
      <c r="M6" s="495"/>
      <c r="N6" s="495"/>
      <c r="O6" s="495"/>
      <c r="P6" s="495"/>
      <c r="Q6" s="496"/>
      <c r="R6" s="496"/>
      <c r="S6" s="518">
        <f>F6+L6+R6</f>
        <v>0</v>
      </c>
      <c r="U6" s="491"/>
      <c r="V6" s="477"/>
    </row>
    <row r="7" spans="1:22" ht="11.25" customHeight="1">
      <c r="A7" s="116">
        <v>51201020</v>
      </c>
      <c r="B7" s="509" t="s">
        <v>27</v>
      </c>
      <c r="C7" s="510" t="s">
        <v>28</v>
      </c>
      <c r="D7" s="511"/>
      <c r="E7" s="511"/>
      <c r="F7" s="513">
        <f t="shared" si="0"/>
        <v>0</v>
      </c>
      <c r="G7" s="520"/>
      <c r="H7" s="515" t="s">
        <v>27</v>
      </c>
      <c r="I7" s="515" t="s">
        <v>28</v>
      </c>
      <c r="J7" s="516"/>
      <c r="K7" s="517"/>
      <c r="L7" s="513">
        <f t="shared" si="1"/>
        <v>0</v>
      </c>
      <c r="M7" s="495"/>
      <c r="N7" s="495"/>
      <c r="O7" s="495"/>
      <c r="P7" s="495"/>
      <c r="Q7" s="496"/>
      <c r="R7" s="496"/>
      <c r="S7" s="518">
        <f>F7+L7+R7</f>
        <v>0</v>
      </c>
    </row>
    <row r="8" spans="1:22" ht="12.95" customHeight="1">
      <c r="A8" s="116">
        <v>51201030</v>
      </c>
      <c r="B8" s="509" t="s">
        <v>27</v>
      </c>
      <c r="C8" s="510" t="s">
        <v>29</v>
      </c>
      <c r="D8" s="511"/>
      <c r="E8" s="511"/>
      <c r="F8" s="513">
        <f t="shared" si="0"/>
        <v>0</v>
      </c>
      <c r="G8" s="520"/>
      <c r="H8" s="515" t="s">
        <v>27</v>
      </c>
      <c r="I8" s="510" t="s">
        <v>29</v>
      </c>
      <c r="J8" s="516"/>
      <c r="K8" s="517"/>
      <c r="L8" s="513">
        <f t="shared" si="1"/>
        <v>0</v>
      </c>
      <c r="M8" s="495"/>
      <c r="N8" s="495"/>
      <c r="O8" s="495"/>
      <c r="P8" s="495"/>
      <c r="Q8" s="496"/>
      <c r="R8" s="496"/>
      <c r="S8" s="518">
        <f>F8+L8+R8</f>
        <v>0</v>
      </c>
    </row>
    <row r="9" spans="1:22" ht="11.25" customHeight="1">
      <c r="A9" s="116">
        <v>51071700</v>
      </c>
      <c r="B9" s="509" t="s">
        <v>30</v>
      </c>
      <c r="C9" s="510" t="s">
        <v>31</v>
      </c>
      <c r="D9" s="511"/>
      <c r="E9" s="511"/>
      <c r="F9" s="513">
        <f t="shared" si="0"/>
        <v>0</v>
      </c>
      <c r="G9" s="521"/>
      <c r="H9" s="515" t="s">
        <v>30</v>
      </c>
      <c r="I9" s="510" t="s">
        <v>31</v>
      </c>
      <c r="J9" s="516"/>
      <c r="K9" s="517"/>
      <c r="L9" s="513">
        <f t="shared" si="1"/>
        <v>0</v>
      </c>
      <c r="M9" s="495"/>
      <c r="N9" s="495"/>
      <c r="O9" s="495"/>
      <c r="P9" s="495"/>
      <c r="Q9" s="496"/>
      <c r="R9" s="496"/>
      <c r="S9" s="518"/>
    </row>
    <row r="10" spans="1:22" ht="11.25" customHeight="1">
      <c r="A10" s="116">
        <v>51321010</v>
      </c>
      <c r="B10" s="509" t="s">
        <v>32</v>
      </c>
      <c r="C10" s="510"/>
      <c r="D10" s="511"/>
      <c r="E10" s="511"/>
      <c r="F10" s="513">
        <f t="shared" si="0"/>
        <v>0</v>
      </c>
      <c r="G10" s="522"/>
      <c r="H10" s="515" t="s">
        <v>32</v>
      </c>
      <c r="I10" s="515"/>
      <c r="J10" s="516"/>
      <c r="K10" s="517"/>
      <c r="L10" s="513">
        <f t="shared" si="1"/>
        <v>0</v>
      </c>
      <c r="M10" s="495"/>
      <c r="N10" s="495"/>
      <c r="O10" s="495"/>
      <c r="P10" s="495"/>
      <c r="Q10" s="496"/>
      <c r="R10" s="496"/>
      <c r="S10" s="518"/>
      <c r="U10" s="491"/>
      <c r="V10" s="477"/>
    </row>
    <row r="11" spans="1:22" s="523" customFormat="1" ht="11.25" customHeight="1">
      <c r="A11" s="143"/>
      <c r="B11" s="524" t="s">
        <v>167</v>
      </c>
      <c r="C11" s="524" t="s">
        <v>31</v>
      </c>
      <c r="D11" s="525"/>
      <c r="E11" s="526"/>
      <c r="F11" s="527">
        <f t="shared" si="0"/>
        <v>0</v>
      </c>
      <c r="H11" s="524" t="s">
        <v>167</v>
      </c>
      <c r="I11" s="524" t="s">
        <v>31</v>
      </c>
      <c r="J11" s="516"/>
      <c r="K11" s="517"/>
      <c r="L11" s="513">
        <f t="shared" si="1"/>
        <v>0</v>
      </c>
      <c r="S11" s="528"/>
    </row>
    <row r="12" spans="1:22" ht="11.25" customHeight="1">
      <c r="A12" s="116">
        <v>51031020</v>
      </c>
      <c r="B12" s="529" t="s">
        <v>33</v>
      </c>
      <c r="C12" s="530" t="s">
        <v>34</v>
      </c>
      <c r="D12" s="529"/>
      <c r="E12" s="529"/>
      <c r="F12" s="531"/>
      <c r="G12" s="532" t="e">
        <f>G14/G13</f>
        <v>#REF!</v>
      </c>
      <c r="H12" s="529" t="s">
        <v>33</v>
      </c>
      <c r="I12" s="529" t="s">
        <v>35</v>
      </c>
      <c r="J12" s="533"/>
      <c r="K12" s="534"/>
      <c r="L12" s="535">
        <f t="shared" si="1"/>
        <v>0</v>
      </c>
      <c r="M12" s="495"/>
      <c r="N12" s="495"/>
      <c r="O12" s="495"/>
      <c r="P12" s="495"/>
      <c r="Q12" s="536"/>
      <c r="R12" s="496"/>
      <c r="S12" s="518"/>
      <c r="U12" s="491"/>
      <c r="V12" s="477"/>
    </row>
    <row r="13" spans="1:22" ht="11.25" customHeight="1">
      <c r="A13" s="116">
        <v>52981010</v>
      </c>
      <c r="B13" s="515" t="s">
        <v>36</v>
      </c>
      <c r="C13" s="510" t="s">
        <v>37</v>
      </c>
      <c r="D13" s="119"/>
      <c r="E13" s="511"/>
      <c r="F13" s="513">
        <f>ROUND(E13*$F$3,0)</f>
        <v>0</v>
      </c>
      <c r="G13" s="537">
        <f>E14+R14+U14</f>
        <v>0</v>
      </c>
      <c r="H13" s="515" t="s">
        <v>36</v>
      </c>
      <c r="I13" s="515" t="s">
        <v>37</v>
      </c>
      <c r="J13" s="538"/>
      <c r="K13" s="539"/>
      <c r="L13" s="513">
        <f t="shared" si="1"/>
        <v>0</v>
      </c>
      <c r="M13" s="495"/>
      <c r="N13" s="495"/>
      <c r="O13" s="495"/>
      <c r="P13" s="495"/>
      <c r="Q13" s="536"/>
      <c r="R13" s="496"/>
      <c r="S13" s="518"/>
      <c r="U13" s="491"/>
      <c r="V13" s="477"/>
    </row>
    <row r="14" spans="1:22" s="477" customFormat="1" ht="12" customHeight="1">
      <c r="A14" s="120"/>
      <c r="B14" s="540" t="s">
        <v>38</v>
      </c>
      <c r="C14" s="541"/>
      <c r="D14" s="542">
        <f>SUM(D5:D12)-D13</f>
        <v>0</v>
      </c>
      <c r="E14" s="543">
        <f>SUM(E5:E12)-E13</f>
        <v>0</v>
      </c>
      <c r="F14" s="544">
        <f>SUM(F5:F12)-F13</f>
        <v>0</v>
      </c>
      <c r="G14" s="545" t="e">
        <f>F14+#REF!+V14</f>
        <v>#REF!</v>
      </c>
      <c r="H14" s="540" t="s">
        <v>38</v>
      </c>
      <c r="I14" s="546"/>
      <c r="J14" s="542">
        <f>SUM(J5:J12)-J13</f>
        <v>0</v>
      </c>
      <c r="K14" s="508">
        <f>SUM(K5:K12)-K13</f>
        <v>0</v>
      </c>
      <c r="L14" s="544">
        <f>SUM(L5:L12)-L13</f>
        <v>0</v>
      </c>
      <c r="M14" s="495"/>
      <c r="N14" s="495"/>
      <c r="O14" s="495"/>
      <c r="P14" s="495"/>
      <c r="R14" s="495"/>
      <c r="S14" s="518"/>
      <c r="U14" s="547"/>
    </row>
    <row r="15" spans="1:22" ht="13.5" customHeight="1">
      <c r="A15" s="114"/>
      <c r="D15" s="548"/>
      <c r="E15" s="549"/>
      <c r="F15" s="550"/>
      <c r="G15" s="551"/>
      <c r="J15" s="552">
        <f>J14-J13</f>
        <v>0</v>
      </c>
      <c r="K15" s="552">
        <f>K14-K13</f>
        <v>0</v>
      </c>
      <c r="L15" s="552">
        <f>L14-L13</f>
        <v>0</v>
      </c>
      <c r="M15" s="495"/>
      <c r="N15" s="495"/>
      <c r="O15" s="495"/>
      <c r="P15" s="495"/>
      <c r="Q15" s="536"/>
      <c r="R15" s="496"/>
      <c r="U15" s="491"/>
      <c r="V15" s="477"/>
    </row>
    <row r="16" spans="1:22" ht="13.5" customHeight="1">
      <c r="A16" s="114"/>
      <c r="D16" s="548"/>
      <c r="E16" s="549"/>
      <c r="F16" s="550"/>
      <c r="G16" s="551"/>
      <c r="J16" s="552"/>
      <c r="K16" s="552"/>
      <c r="L16" s="552"/>
      <c r="M16" s="495"/>
      <c r="N16" s="495"/>
      <c r="O16" s="495"/>
      <c r="P16" s="495"/>
      <c r="Q16" s="536"/>
      <c r="R16" s="496"/>
      <c r="U16" s="491"/>
      <c r="V16" s="477"/>
    </row>
    <row r="17" spans="1:24" ht="12" customHeight="1">
      <c r="A17" s="114"/>
      <c r="D17" s="548"/>
      <c r="E17" s="549"/>
      <c r="F17" s="548"/>
      <c r="G17" s="551"/>
      <c r="J17" s="553"/>
      <c r="K17" s="554"/>
      <c r="L17" s="553"/>
      <c r="M17" s="554"/>
      <c r="O17" s="536"/>
      <c r="P17" s="536"/>
      <c r="Q17" s="536"/>
      <c r="R17" s="555"/>
      <c r="U17" s="491"/>
      <c r="V17" s="477"/>
    </row>
    <row r="18" spans="1:24" ht="11.1" customHeight="1">
      <c r="A18" s="114"/>
      <c r="D18" s="475"/>
      <c r="E18" s="556"/>
      <c r="F18" s="557"/>
      <c r="G18" s="551"/>
      <c r="I18" s="558">
        <f>SUBTOTAL(9,J21:J96)</f>
        <v>438992.36</v>
      </c>
      <c r="J18" s="547"/>
      <c r="K18" s="558">
        <f>SUBTOTAL(9,L21:L96)</f>
        <v>64496.45</v>
      </c>
      <c r="L18" s="558">
        <f>SUBTOTAL(9,M21:M96)</f>
        <v>671764.89999999991</v>
      </c>
      <c r="M18" s="559">
        <f>SUBTOTAL(9,O21:O109)</f>
        <v>100805.39926024948</v>
      </c>
      <c r="N18" s="558">
        <f>SUBTOTAL(9,O21:O96)</f>
        <v>99568.997366632262</v>
      </c>
      <c r="Q18" s="491"/>
    </row>
    <row r="19" spans="1:24" ht="11.45" customHeight="1">
      <c r="A19" s="114"/>
      <c r="B19" s="560" t="s">
        <v>39</v>
      </c>
      <c r="C19" s="560"/>
      <c r="D19" s="560"/>
      <c r="E19" s="561" t="s">
        <v>40</v>
      </c>
      <c r="F19" s="562" t="s">
        <v>41</v>
      </c>
      <c r="G19" s="563" t="s">
        <v>42</v>
      </c>
      <c r="H19" s="562" t="s">
        <v>18</v>
      </c>
      <c r="I19" s="564" t="s">
        <v>19</v>
      </c>
      <c r="J19" s="634" t="s">
        <v>3</v>
      </c>
      <c r="K19" s="629"/>
      <c r="L19" s="625"/>
      <c r="M19" s="634" t="s">
        <v>4</v>
      </c>
      <c r="N19" s="629"/>
      <c r="O19" s="625"/>
      <c r="P19" s="635" t="s">
        <v>5</v>
      </c>
      <c r="Q19" s="625"/>
      <c r="R19" s="566" t="s">
        <v>45</v>
      </c>
      <c r="S19" s="567" t="s">
        <v>168</v>
      </c>
      <c r="T19" s="116"/>
    </row>
    <row r="20" spans="1:24" s="494" customFormat="1" ht="13.5" customHeight="1">
      <c r="A20" s="144"/>
      <c r="B20" s="568" t="s">
        <v>169</v>
      </c>
      <c r="C20" s="568" t="s">
        <v>170</v>
      </c>
      <c r="D20" s="568" t="s">
        <v>171</v>
      </c>
      <c r="E20" s="569" t="s">
        <v>40</v>
      </c>
      <c r="F20" s="569" t="s">
        <v>41</v>
      </c>
      <c r="G20" s="570" t="s">
        <v>42</v>
      </c>
      <c r="H20" s="571" t="s">
        <v>18</v>
      </c>
      <c r="I20" s="572" t="s">
        <v>19</v>
      </c>
      <c r="J20" s="573" t="s">
        <v>44</v>
      </c>
      <c r="K20" s="573" t="s">
        <v>7</v>
      </c>
      <c r="L20" s="574" t="s">
        <v>9</v>
      </c>
      <c r="M20" s="574" t="s">
        <v>44</v>
      </c>
      <c r="N20" s="573" t="s">
        <v>7</v>
      </c>
      <c r="O20" s="575" t="s">
        <v>9</v>
      </c>
      <c r="P20" s="565" t="s">
        <v>44</v>
      </c>
      <c r="Q20" s="565" t="s">
        <v>9</v>
      </c>
      <c r="R20" s="569" t="s">
        <v>45</v>
      </c>
      <c r="S20" s="569" t="s">
        <v>168</v>
      </c>
      <c r="T20" s="145"/>
    </row>
    <row r="21" spans="1:24" s="576" customFormat="1" ht="11.1" customHeight="1">
      <c r="A21" s="125"/>
      <c r="B21" s="577" t="s">
        <v>172</v>
      </c>
      <c r="C21" s="577"/>
      <c r="D21" s="577"/>
      <c r="E21" s="150"/>
      <c r="F21" s="151"/>
      <c r="G21" s="152"/>
      <c r="H21" s="153"/>
      <c r="I21" s="152"/>
      <c r="J21" s="154"/>
      <c r="K21" s="154"/>
      <c r="L21" s="154"/>
      <c r="M21" s="578"/>
      <c r="N21" s="579"/>
      <c r="O21" s="580"/>
      <c r="P21" s="581">
        <v>0</v>
      </c>
      <c r="Q21" s="581">
        <v>0</v>
      </c>
      <c r="R21" s="582"/>
      <c r="S21" s="583"/>
      <c r="T21" s="584"/>
      <c r="U21" s="476"/>
      <c r="V21" s="476"/>
      <c r="W21" s="476"/>
      <c r="X21" s="476"/>
    </row>
    <row r="22" spans="1:24" s="576" customFormat="1" ht="11.1" customHeight="1">
      <c r="A22" s="125"/>
      <c r="B22" s="585" t="s">
        <v>173</v>
      </c>
      <c r="C22" s="585" t="s">
        <v>173</v>
      </c>
      <c r="D22" s="585"/>
      <c r="E22" s="67" t="s">
        <v>174</v>
      </c>
      <c r="F22" s="146" t="s">
        <v>175</v>
      </c>
      <c r="G22" s="147">
        <v>1</v>
      </c>
      <c r="H22" s="148" t="s">
        <v>176</v>
      </c>
      <c r="I22" s="147" t="s">
        <v>177</v>
      </c>
      <c r="J22" s="149">
        <v>36153.32</v>
      </c>
      <c r="K22" s="149">
        <v>6.93</v>
      </c>
      <c r="L22" s="149">
        <v>5226.93</v>
      </c>
      <c r="M22" s="586"/>
      <c r="N22" s="587"/>
      <c r="O22" s="588"/>
      <c r="P22" s="589">
        <f t="shared" ref="P22:P85" si="2">P21+J22-M22</f>
        <v>36153.32</v>
      </c>
      <c r="Q22" s="589">
        <f t="shared" ref="Q22:Q85" si="3">Q21+L22-O22</f>
        <v>5226.93</v>
      </c>
      <c r="R22" s="590"/>
      <c r="S22" s="591" t="s">
        <v>178</v>
      </c>
      <c r="T22" s="584"/>
      <c r="U22" s="476"/>
      <c r="V22" s="476"/>
      <c r="W22" s="476"/>
      <c r="X22" s="476"/>
    </row>
    <row r="23" spans="1:24" s="576" customFormat="1" ht="11.25" customHeight="1">
      <c r="A23" s="125"/>
      <c r="B23" s="585" t="s">
        <v>173</v>
      </c>
      <c r="C23" s="585" t="s">
        <v>173</v>
      </c>
      <c r="D23" s="585"/>
      <c r="E23" s="67" t="s">
        <v>179</v>
      </c>
      <c r="F23" s="146" t="s">
        <v>175</v>
      </c>
      <c r="G23" s="147">
        <v>1</v>
      </c>
      <c r="H23" s="148" t="s">
        <v>32</v>
      </c>
      <c r="I23" s="147" t="s">
        <v>177</v>
      </c>
      <c r="J23" s="149"/>
      <c r="K23" s="149"/>
      <c r="L23" s="149"/>
      <c r="M23" s="586">
        <f>O23*N23</f>
        <v>0</v>
      </c>
      <c r="N23" s="587"/>
      <c r="O23" s="588">
        <v>10</v>
      </c>
      <c r="P23" s="589">
        <f t="shared" si="2"/>
        <v>36153.32</v>
      </c>
      <c r="Q23" s="589">
        <f t="shared" si="3"/>
        <v>5216.93</v>
      </c>
      <c r="R23" s="590"/>
      <c r="S23" s="591" t="s">
        <v>178</v>
      </c>
      <c r="T23" s="584"/>
      <c r="U23" s="476"/>
      <c r="V23" s="476"/>
      <c r="W23" s="476"/>
      <c r="X23" s="476"/>
    </row>
    <row r="24" spans="1:24" s="576" customFormat="1" ht="11.25" customHeight="1">
      <c r="A24" s="125"/>
      <c r="B24" s="585" t="s">
        <v>180</v>
      </c>
      <c r="C24" s="585" t="s">
        <v>180</v>
      </c>
      <c r="D24" s="585"/>
      <c r="E24" s="67" t="s">
        <v>181</v>
      </c>
      <c r="F24" s="146" t="s">
        <v>175</v>
      </c>
      <c r="G24" s="147">
        <v>2</v>
      </c>
      <c r="H24" s="148" t="s">
        <v>176</v>
      </c>
      <c r="I24" s="147" t="s">
        <v>177</v>
      </c>
      <c r="J24" s="149">
        <v>402839.03999999998</v>
      </c>
      <c r="K24" s="149">
        <v>6.7995999999999999</v>
      </c>
      <c r="L24" s="149">
        <v>59269.52</v>
      </c>
      <c r="M24" s="586"/>
      <c r="N24" s="587"/>
      <c r="O24" s="588"/>
      <c r="P24" s="589">
        <f t="shared" si="2"/>
        <v>438992.36</v>
      </c>
      <c r="Q24" s="589">
        <f t="shared" si="3"/>
        <v>64486.45</v>
      </c>
      <c r="R24" s="590"/>
      <c r="S24" s="591" t="s">
        <v>182</v>
      </c>
      <c r="T24" s="584"/>
      <c r="U24" s="476"/>
      <c r="V24" s="476"/>
      <c r="W24" s="476"/>
      <c r="X24" s="476"/>
    </row>
    <row r="25" spans="1:24" s="576" customFormat="1" ht="11.25" customHeight="1">
      <c r="A25" s="125"/>
      <c r="B25" s="585" t="s">
        <v>180</v>
      </c>
      <c r="C25" s="585" t="s">
        <v>180</v>
      </c>
      <c r="D25" s="585"/>
      <c r="E25" s="67" t="s">
        <v>183</v>
      </c>
      <c r="F25" s="146" t="s">
        <v>175</v>
      </c>
      <c r="G25" s="147">
        <v>2</v>
      </c>
      <c r="H25" s="148" t="s">
        <v>32</v>
      </c>
      <c r="I25" s="147" t="s">
        <v>177</v>
      </c>
      <c r="J25" s="149"/>
      <c r="K25" s="149"/>
      <c r="L25" s="149"/>
      <c r="M25" s="586">
        <f>O25*N25</f>
        <v>0</v>
      </c>
      <c r="N25" s="587"/>
      <c r="O25" s="588">
        <v>25</v>
      </c>
      <c r="P25" s="589">
        <f t="shared" si="2"/>
        <v>438992.36</v>
      </c>
      <c r="Q25" s="589">
        <f t="shared" si="3"/>
        <v>64461.45</v>
      </c>
      <c r="R25" s="590"/>
      <c r="S25" s="591" t="s">
        <v>182</v>
      </c>
      <c r="T25" s="584"/>
      <c r="U25" s="476"/>
      <c r="V25" s="476"/>
      <c r="W25" s="476"/>
      <c r="X25" s="476"/>
    </row>
    <row r="26" spans="1:24" s="576" customFormat="1" ht="11.25" customHeight="1">
      <c r="A26" s="125"/>
      <c r="B26" s="585" t="s">
        <v>184</v>
      </c>
      <c r="C26" s="585" t="s">
        <v>185</v>
      </c>
      <c r="D26" s="585" t="s">
        <v>186</v>
      </c>
      <c r="E26" s="67" t="s">
        <v>55</v>
      </c>
      <c r="F26" s="146" t="s">
        <v>175</v>
      </c>
      <c r="G26" s="147">
        <v>3</v>
      </c>
      <c r="H26" s="148" t="s">
        <v>32</v>
      </c>
      <c r="I26" s="147"/>
      <c r="J26" s="149"/>
      <c r="K26" s="149"/>
      <c r="L26" s="149"/>
      <c r="M26" s="586">
        <v>3.6</v>
      </c>
      <c r="N26" s="587">
        <f>'통장내역(환율표)'!D94</f>
        <v>6.7490999836524441</v>
      </c>
      <c r="O26" s="588">
        <f t="shared" ref="O26:O89" si="4">M26/N26</f>
        <v>0.53340445521919355</v>
      </c>
      <c r="P26" s="589">
        <f t="shared" si="2"/>
        <v>438988.76</v>
      </c>
      <c r="Q26" s="589">
        <f t="shared" si="3"/>
        <v>64460.916595544775</v>
      </c>
      <c r="R26" s="590"/>
      <c r="S26" s="591" t="s">
        <v>187</v>
      </c>
      <c r="T26" s="584"/>
      <c r="U26" s="476"/>
      <c r="V26" s="476"/>
      <c r="W26" s="476"/>
      <c r="X26" s="476"/>
    </row>
    <row r="27" spans="1:24" s="576" customFormat="1" ht="11.25" customHeight="1">
      <c r="A27" s="125"/>
      <c r="B27" s="585" t="s">
        <v>184</v>
      </c>
      <c r="C27" s="585" t="s">
        <v>185</v>
      </c>
      <c r="D27" s="585" t="s">
        <v>188</v>
      </c>
      <c r="E27" s="67" t="s">
        <v>57</v>
      </c>
      <c r="F27" s="146" t="s">
        <v>175</v>
      </c>
      <c r="G27" s="147">
        <v>4</v>
      </c>
      <c r="H27" s="148" t="s">
        <v>23</v>
      </c>
      <c r="I27" s="147" t="s">
        <v>24</v>
      </c>
      <c r="J27" s="149"/>
      <c r="K27" s="149"/>
      <c r="L27" s="149"/>
      <c r="M27" s="586">
        <v>258</v>
      </c>
      <c r="N27" s="587">
        <f>'통장내역(환율표)'!D94</f>
        <v>6.7490999836524441</v>
      </c>
      <c r="O27" s="588">
        <f t="shared" si="4"/>
        <v>38.22731929070887</v>
      </c>
      <c r="P27" s="589">
        <f t="shared" si="2"/>
        <v>438730.76</v>
      </c>
      <c r="Q27" s="589">
        <f t="shared" si="3"/>
        <v>64422.689276254066</v>
      </c>
      <c r="R27" s="590"/>
      <c r="S27" s="592" t="s">
        <v>189</v>
      </c>
      <c r="T27" s="584"/>
      <c r="U27" s="476"/>
      <c r="V27" s="476"/>
      <c r="W27" s="476"/>
      <c r="X27" s="476"/>
    </row>
    <row r="28" spans="1:24" s="576" customFormat="1" ht="11.25" customHeight="1">
      <c r="A28" s="125"/>
      <c r="B28" s="585" t="s">
        <v>184</v>
      </c>
      <c r="C28" s="585" t="s">
        <v>185</v>
      </c>
      <c r="D28" s="585" t="s">
        <v>190</v>
      </c>
      <c r="E28" s="67" t="s">
        <v>58</v>
      </c>
      <c r="F28" s="146" t="s">
        <v>175</v>
      </c>
      <c r="G28" s="147">
        <v>5</v>
      </c>
      <c r="H28" s="148" t="s">
        <v>23</v>
      </c>
      <c r="I28" s="147"/>
      <c r="J28" s="149"/>
      <c r="K28" s="149"/>
      <c r="L28" s="149"/>
      <c r="M28" s="586">
        <v>873</v>
      </c>
      <c r="N28" s="587">
        <f>'통장내역(환율표)'!D94</f>
        <v>6.7490999836524441</v>
      </c>
      <c r="O28" s="588">
        <f t="shared" si="4"/>
        <v>129.35058039065444</v>
      </c>
      <c r="P28" s="589">
        <f t="shared" si="2"/>
        <v>437857.76</v>
      </c>
      <c r="Q28" s="589">
        <f t="shared" si="3"/>
        <v>64293.338695863415</v>
      </c>
      <c r="R28" s="590"/>
      <c r="S28" s="592" t="s">
        <v>191</v>
      </c>
      <c r="T28" s="584"/>
      <c r="U28" s="476"/>
      <c r="V28" s="476"/>
      <c r="W28" s="476"/>
      <c r="X28" s="476"/>
    </row>
    <row r="29" spans="1:24" s="576" customFormat="1" ht="12" customHeight="1">
      <c r="A29" s="125"/>
      <c r="B29" s="585" t="s">
        <v>184</v>
      </c>
      <c r="C29" s="585" t="s">
        <v>185</v>
      </c>
      <c r="D29" s="585" t="s">
        <v>192</v>
      </c>
      <c r="E29" s="67" t="s">
        <v>55</v>
      </c>
      <c r="F29" s="146" t="s">
        <v>175</v>
      </c>
      <c r="G29" s="147">
        <v>6</v>
      </c>
      <c r="H29" s="148" t="s">
        <v>23</v>
      </c>
      <c r="I29" s="147"/>
      <c r="J29" s="149"/>
      <c r="K29" s="149"/>
      <c r="L29" s="149"/>
      <c r="M29" s="586">
        <v>792.08</v>
      </c>
      <c r="N29" s="587">
        <f>'통장내역(환율표)'!D94</f>
        <v>6.7490999836524441</v>
      </c>
      <c r="O29" s="588">
        <f t="shared" si="4"/>
        <v>117.36083358056079</v>
      </c>
      <c r="P29" s="589">
        <f t="shared" si="2"/>
        <v>437065.68</v>
      </c>
      <c r="Q29" s="589">
        <f t="shared" si="3"/>
        <v>64175.977862282853</v>
      </c>
      <c r="R29" s="590"/>
      <c r="S29" s="593"/>
      <c r="T29" s="584"/>
      <c r="U29" s="476"/>
      <c r="V29" s="476"/>
      <c r="W29" s="476"/>
      <c r="X29" s="476"/>
    </row>
    <row r="30" spans="1:24" s="576" customFormat="1" ht="12" customHeight="1">
      <c r="A30" s="125"/>
      <c r="B30" s="585" t="s">
        <v>184</v>
      </c>
      <c r="C30" s="585" t="s">
        <v>185</v>
      </c>
      <c r="D30" s="585" t="s">
        <v>193</v>
      </c>
      <c r="E30" s="67" t="s">
        <v>57</v>
      </c>
      <c r="F30" s="146" t="s">
        <v>175</v>
      </c>
      <c r="G30" s="147">
        <v>7</v>
      </c>
      <c r="H30" s="148" t="s">
        <v>23</v>
      </c>
      <c r="I30" s="147"/>
      <c r="J30" s="149"/>
      <c r="K30" s="149"/>
      <c r="L30" s="149"/>
      <c r="M30" s="586">
        <v>402</v>
      </c>
      <c r="N30" s="587">
        <f>'통장내역(환율표)'!D94</f>
        <v>6.7490999836524441</v>
      </c>
      <c r="O30" s="588">
        <f t="shared" si="4"/>
        <v>59.563497499476611</v>
      </c>
      <c r="P30" s="589">
        <f t="shared" si="2"/>
        <v>436663.68</v>
      </c>
      <c r="Q30" s="589">
        <f t="shared" si="3"/>
        <v>64116.414364783377</v>
      </c>
      <c r="R30" s="590"/>
      <c r="S30" s="593"/>
      <c r="T30" s="584"/>
      <c r="U30" s="476"/>
      <c r="V30" s="476"/>
      <c r="W30" s="476"/>
      <c r="X30" s="476"/>
    </row>
    <row r="31" spans="1:24" s="576" customFormat="1" ht="12" customHeight="1">
      <c r="A31" s="125"/>
      <c r="B31" s="585" t="s">
        <v>184</v>
      </c>
      <c r="C31" s="585" t="s">
        <v>185</v>
      </c>
      <c r="D31" s="585" t="s">
        <v>194</v>
      </c>
      <c r="E31" s="67" t="s">
        <v>58</v>
      </c>
      <c r="F31" s="146" t="s">
        <v>175</v>
      </c>
      <c r="G31" s="147">
        <v>8</v>
      </c>
      <c r="H31" s="148" t="s">
        <v>23</v>
      </c>
      <c r="I31" s="147"/>
      <c r="J31" s="149"/>
      <c r="K31" s="149"/>
      <c r="L31" s="149"/>
      <c r="M31" s="586">
        <v>297</v>
      </c>
      <c r="N31" s="587">
        <f>'통장내역(환율표)'!D94</f>
        <v>6.7490999836524441</v>
      </c>
      <c r="O31" s="588">
        <f t="shared" si="4"/>
        <v>44.005867555583464</v>
      </c>
      <c r="P31" s="589">
        <f t="shared" si="2"/>
        <v>436366.68</v>
      </c>
      <c r="Q31" s="589">
        <f t="shared" si="3"/>
        <v>64072.408497227792</v>
      </c>
      <c r="R31" s="590"/>
      <c r="S31" s="592" t="s">
        <v>195</v>
      </c>
      <c r="T31" s="584"/>
      <c r="U31" s="476"/>
      <c r="V31" s="476"/>
      <c r="W31" s="476"/>
      <c r="X31" s="476"/>
    </row>
    <row r="32" spans="1:24" s="576" customFormat="1" ht="12" customHeight="1">
      <c r="A32" s="125"/>
      <c r="B32" s="585" t="s">
        <v>184</v>
      </c>
      <c r="C32" s="585" t="s">
        <v>173</v>
      </c>
      <c r="D32" s="585" t="s">
        <v>196</v>
      </c>
      <c r="E32" s="67" t="s">
        <v>197</v>
      </c>
      <c r="F32" s="146" t="s">
        <v>175</v>
      </c>
      <c r="G32" s="147">
        <v>9</v>
      </c>
      <c r="H32" s="148" t="s">
        <v>32</v>
      </c>
      <c r="I32" s="147"/>
      <c r="J32" s="149"/>
      <c r="K32" s="149"/>
      <c r="L32" s="149"/>
      <c r="M32" s="586">
        <v>676</v>
      </c>
      <c r="N32" s="587">
        <f>'통장내역(환율표)'!D94</f>
        <v>6.7490999836524441</v>
      </c>
      <c r="O32" s="588">
        <f t="shared" si="4"/>
        <v>100.16150325782634</v>
      </c>
      <c r="P32" s="589">
        <f t="shared" si="2"/>
        <v>435690.68</v>
      </c>
      <c r="Q32" s="589">
        <f t="shared" si="3"/>
        <v>63972.246993969966</v>
      </c>
      <c r="R32" s="590"/>
      <c r="S32" s="593"/>
      <c r="T32" s="584"/>
      <c r="U32" s="476"/>
      <c r="V32" s="476"/>
      <c r="W32" s="476"/>
      <c r="X32" s="476"/>
    </row>
    <row r="33" spans="1:24" s="576" customFormat="1" ht="12" customHeight="1">
      <c r="A33" s="125"/>
      <c r="B33" s="585" t="s">
        <v>184</v>
      </c>
      <c r="C33" s="585" t="s">
        <v>173</v>
      </c>
      <c r="D33" s="585" t="s">
        <v>198</v>
      </c>
      <c r="E33" s="67" t="s">
        <v>197</v>
      </c>
      <c r="F33" s="146" t="s">
        <v>175</v>
      </c>
      <c r="G33" s="147">
        <v>10</v>
      </c>
      <c r="H33" s="148" t="s">
        <v>25</v>
      </c>
      <c r="I33" s="147" t="s">
        <v>26</v>
      </c>
      <c r="J33" s="149"/>
      <c r="K33" s="149"/>
      <c r="L33" s="149"/>
      <c r="M33" s="586">
        <v>51.1</v>
      </c>
      <c r="N33" s="587">
        <f>'통장내역(환율표)'!D94</f>
        <v>6.7490999836524441</v>
      </c>
      <c r="O33" s="588">
        <f t="shared" si="4"/>
        <v>7.5713799060279978</v>
      </c>
      <c r="P33" s="589">
        <f t="shared" si="2"/>
        <v>435639.58</v>
      </c>
      <c r="Q33" s="589">
        <f t="shared" si="3"/>
        <v>63964.675614063941</v>
      </c>
      <c r="R33" s="590"/>
      <c r="S33" s="593"/>
      <c r="T33" s="584"/>
      <c r="U33" s="476"/>
      <c r="V33" s="476"/>
      <c r="W33" s="476"/>
      <c r="X33" s="476"/>
    </row>
    <row r="34" spans="1:24" s="576" customFormat="1" ht="12" customHeight="1">
      <c r="A34" s="125"/>
      <c r="B34" s="585" t="s">
        <v>184</v>
      </c>
      <c r="C34" s="585" t="s">
        <v>199</v>
      </c>
      <c r="D34" s="585" t="s">
        <v>200</v>
      </c>
      <c r="E34" s="67" t="s">
        <v>201</v>
      </c>
      <c r="F34" s="146" t="s">
        <v>175</v>
      </c>
      <c r="G34" s="147">
        <v>11</v>
      </c>
      <c r="H34" s="148" t="s">
        <v>25</v>
      </c>
      <c r="I34" s="147" t="s">
        <v>26</v>
      </c>
      <c r="J34" s="149"/>
      <c r="K34" s="149"/>
      <c r="L34" s="149"/>
      <c r="M34" s="586">
        <v>87.9</v>
      </c>
      <c r="N34" s="587">
        <f>'통장내역(환율표)'!D94</f>
        <v>6.7490999836524441</v>
      </c>
      <c r="O34" s="588">
        <f t="shared" si="4"/>
        <v>13.023958781601976</v>
      </c>
      <c r="P34" s="589">
        <f t="shared" si="2"/>
        <v>435551.68</v>
      </c>
      <c r="Q34" s="589">
        <f t="shared" si="3"/>
        <v>63951.651655282338</v>
      </c>
      <c r="R34" s="590"/>
      <c r="S34" s="593"/>
      <c r="T34" s="584"/>
      <c r="U34" s="476"/>
      <c r="V34" s="476"/>
      <c r="W34" s="476"/>
      <c r="X34" s="476"/>
    </row>
    <row r="35" spans="1:24" s="576" customFormat="1" ht="12" customHeight="1">
      <c r="A35" s="125"/>
      <c r="B35" s="585" t="s">
        <v>184</v>
      </c>
      <c r="C35" s="585" t="s">
        <v>199</v>
      </c>
      <c r="D35" s="585" t="s">
        <v>202</v>
      </c>
      <c r="E35" s="67" t="s">
        <v>201</v>
      </c>
      <c r="F35" s="146" t="s">
        <v>175</v>
      </c>
      <c r="G35" s="147">
        <v>12</v>
      </c>
      <c r="H35" s="148" t="s">
        <v>25</v>
      </c>
      <c r="I35" s="147" t="s">
        <v>26</v>
      </c>
      <c r="J35" s="149"/>
      <c r="K35" s="149"/>
      <c r="L35" s="149"/>
      <c r="M35" s="586">
        <v>37.9</v>
      </c>
      <c r="N35" s="587">
        <f>'통장내역(환율표)'!D94</f>
        <v>6.7490999836524441</v>
      </c>
      <c r="O35" s="588">
        <f t="shared" si="4"/>
        <v>5.6155635702242872</v>
      </c>
      <c r="P35" s="589">
        <f t="shared" si="2"/>
        <v>435513.77999999997</v>
      </c>
      <c r="Q35" s="589">
        <f t="shared" si="3"/>
        <v>63946.036091712114</v>
      </c>
      <c r="R35" s="590"/>
      <c r="S35" s="593"/>
      <c r="T35" s="584"/>
      <c r="U35" s="476"/>
      <c r="V35" s="476"/>
      <c r="W35" s="476"/>
      <c r="X35" s="476"/>
    </row>
    <row r="36" spans="1:24" s="576" customFormat="1" ht="12" customHeight="1">
      <c r="A36" s="125"/>
      <c r="B36" s="585" t="s">
        <v>184</v>
      </c>
      <c r="C36" s="585" t="s">
        <v>199</v>
      </c>
      <c r="D36" s="585"/>
      <c r="E36" s="67" t="s">
        <v>203</v>
      </c>
      <c r="F36" s="146" t="s">
        <v>175</v>
      </c>
      <c r="G36" s="147">
        <v>13</v>
      </c>
      <c r="H36" s="148" t="s">
        <v>25</v>
      </c>
      <c r="I36" s="147" t="s">
        <v>26</v>
      </c>
      <c r="J36" s="149"/>
      <c r="K36" s="149"/>
      <c r="L36" s="149"/>
      <c r="M36" s="586">
        <v>52.7</v>
      </c>
      <c r="N36" s="587">
        <f>'통장내역(환율표)'!D94</f>
        <v>6.7490999836524441</v>
      </c>
      <c r="O36" s="588">
        <f t="shared" si="4"/>
        <v>7.8084485527920835</v>
      </c>
      <c r="P36" s="589">
        <f t="shared" si="2"/>
        <v>435461.07999999996</v>
      </c>
      <c r="Q36" s="589">
        <f t="shared" si="3"/>
        <v>63938.22764315932</v>
      </c>
      <c r="R36" s="590"/>
      <c r="S36" s="592" t="s">
        <v>204</v>
      </c>
      <c r="T36" s="584"/>
      <c r="U36" s="476"/>
      <c r="V36" s="476"/>
      <c r="W36" s="476"/>
      <c r="X36" s="476"/>
    </row>
    <row r="37" spans="1:24" s="576" customFormat="1" ht="12" customHeight="1">
      <c r="A37" s="125"/>
      <c r="B37" s="585" t="s">
        <v>184</v>
      </c>
      <c r="C37" s="585" t="s">
        <v>199</v>
      </c>
      <c r="D37" s="585" t="s">
        <v>205</v>
      </c>
      <c r="E37" s="67" t="s">
        <v>55</v>
      </c>
      <c r="F37" s="146" t="s">
        <v>175</v>
      </c>
      <c r="G37" s="147">
        <v>14</v>
      </c>
      <c r="H37" s="148" t="s">
        <v>30</v>
      </c>
      <c r="I37" s="147" t="s">
        <v>31</v>
      </c>
      <c r="J37" s="149"/>
      <c r="K37" s="149"/>
      <c r="L37" s="149"/>
      <c r="M37" s="586">
        <v>417</v>
      </c>
      <c r="N37" s="587">
        <f>'통장내역(환율표)'!D94</f>
        <v>6.7490999836524441</v>
      </c>
      <c r="O37" s="588">
        <f t="shared" si="4"/>
        <v>61.786016062889921</v>
      </c>
      <c r="P37" s="589">
        <f t="shared" si="2"/>
        <v>435044.07999999996</v>
      </c>
      <c r="Q37" s="589">
        <f t="shared" si="3"/>
        <v>63876.441627096428</v>
      </c>
      <c r="R37" s="590"/>
      <c r="S37" s="593"/>
      <c r="T37" s="584"/>
      <c r="U37" s="476"/>
      <c r="V37" s="476"/>
      <c r="W37" s="476"/>
      <c r="X37" s="476"/>
    </row>
    <row r="38" spans="1:24" s="576" customFormat="1" ht="12" customHeight="1">
      <c r="A38" s="125"/>
      <c r="B38" s="585" t="s">
        <v>184</v>
      </c>
      <c r="C38" s="585" t="s">
        <v>199</v>
      </c>
      <c r="D38" s="585" t="s">
        <v>206</v>
      </c>
      <c r="E38" s="67" t="s">
        <v>57</v>
      </c>
      <c r="F38" s="146" t="s">
        <v>175</v>
      </c>
      <c r="G38" s="147">
        <v>15</v>
      </c>
      <c r="H38" s="148" t="s">
        <v>30</v>
      </c>
      <c r="I38" s="147" t="s">
        <v>31</v>
      </c>
      <c r="J38" s="149"/>
      <c r="K38" s="149"/>
      <c r="L38" s="149"/>
      <c r="M38" s="586">
        <v>499</v>
      </c>
      <c r="N38" s="587">
        <f>'통장내역(환율표)'!D94</f>
        <v>6.7490999836524441</v>
      </c>
      <c r="O38" s="588">
        <f t="shared" si="4"/>
        <v>73.935784209549325</v>
      </c>
      <c r="P38" s="589">
        <f t="shared" si="2"/>
        <v>434545.07999999996</v>
      </c>
      <c r="Q38" s="589">
        <f t="shared" si="3"/>
        <v>63802.50584288688</v>
      </c>
      <c r="R38" s="590"/>
      <c r="S38" s="593"/>
      <c r="T38" s="584"/>
      <c r="U38" s="476"/>
      <c r="V38" s="476"/>
      <c r="W38" s="476"/>
      <c r="X38" s="476"/>
    </row>
    <row r="39" spans="1:24" s="576" customFormat="1" ht="11.1" customHeight="1">
      <c r="A39" s="125"/>
      <c r="B39" s="585" t="s">
        <v>184</v>
      </c>
      <c r="C39" s="585" t="s">
        <v>199</v>
      </c>
      <c r="D39" s="585" t="s">
        <v>207</v>
      </c>
      <c r="E39" s="67" t="s">
        <v>58</v>
      </c>
      <c r="F39" s="146" t="s">
        <v>175</v>
      </c>
      <c r="G39" s="147">
        <v>16</v>
      </c>
      <c r="H39" s="148" t="s">
        <v>23</v>
      </c>
      <c r="I39" s="147" t="s">
        <v>24</v>
      </c>
      <c r="J39" s="149"/>
      <c r="K39" s="149"/>
      <c r="L39" s="149"/>
      <c r="M39" s="586">
        <v>693</v>
      </c>
      <c r="N39" s="587">
        <f>'통장내역(환율표)'!D94</f>
        <v>6.7490999836524441</v>
      </c>
      <c r="O39" s="588">
        <f t="shared" si="4"/>
        <v>102.68035762969475</v>
      </c>
      <c r="P39" s="589">
        <f t="shared" si="2"/>
        <v>433852.07999999996</v>
      </c>
      <c r="Q39" s="589">
        <f t="shared" si="3"/>
        <v>63699.825485257184</v>
      </c>
      <c r="R39" s="590"/>
      <c r="S39" s="593"/>
      <c r="T39" s="584"/>
      <c r="U39" s="476"/>
      <c r="V39" s="476"/>
      <c r="W39" s="476"/>
      <c r="X39" s="476"/>
    </row>
    <row r="40" spans="1:24" s="576" customFormat="1" ht="11.25" customHeight="1">
      <c r="A40" s="125"/>
      <c r="B40" s="585" t="s">
        <v>184</v>
      </c>
      <c r="C40" s="585" t="s">
        <v>184</v>
      </c>
      <c r="D40" s="585"/>
      <c r="E40" s="67" t="s">
        <v>49</v>
      </c>
      <c r="F40" s="146" t="s">
        <v>175</v>
      </c>
      <c r="G40" s="147">
        <v>17</v>
      </c>
      <c r="H40" s="148" t="s">
        <v>32</v>
      </c>
      <c r="I40" s="147"/>
      <c r="J40" s="149"/>
      <c r="K40" s="149"/>
      <c r="L40" s="149"/>
      <c r="M40" s="586">
        <v>3.6</v>
      </c>
      <c r="N40" s="587">
        <f>'통장내역(환율표)'!D94</f>
        <v>6.7490999836524441</v>
      </c>
      <c r="O40" s="588">
        <f t="shared" si="4"/>
        <v>0.53340445521919355</v>
      </c>
      <c r="P40" s="589">
        <f t="shared" si="2"/>
        <v>433848.48</v>
      </c>
      <c r="Q40" s="589">
        <f t="shared" si="3"/>
        <v>63699.292080801963</v>
      </c>
      <c r="R40" s="590"/>
      <c r="S40" s="592" t="s">
        <v>208</v>
      </c>
      <c r="T40" s="584"/>
      <c r="U40" s="476"/>
      <c r="V40" s="476"/>
      <c r="W40" s="476"/>
      <c r="X40" s="476"/>
    </row>
    <row r="41" spans="1:24" s="576" customFormat="1" ht="11.25" customHeight="1">
      <c r="A41" s="125"/>
      <c r="B41" s="585" t="s">
        <v>209</v>
      </c>
      <c r="C41" s="585" t="s">
        <v>209</v>
      </c>
      <c r="D41" s="585"/>
      <c r="E41" s="67" t="s">
        <v>49</v>
      </c>
      <c r="F41" s="146" t="s">
        <v>175</v>
      </c>
      <c r="G41" s="147">
        <v>18</v>
      </c>
      <c r="H41" s="148" t="s">
        <v>32</v>
      </c>
      <c r="I41" s="147"/>
      <c r="J41" s="149"/>
      <c r="K41" s="149"/>
      <c r="L41" s="149"/>
      <c r="M41" s="586">
        <v>7.2</v>
      </c>
      <c r="N41" s="587">
        <f>'통장내역(환율표)'!D94</f>
        <v>6.7490999836524441</v>
      </c>
      <c r="O41" s="588">
        <f t="shared" si="4"/>
        <v>1.0668089104383871</v>
      </c>
      <c r="P41" s="589">
        <f t="shared" si="2"/>
        <v>433841.27999999997</v>
      </c>
      <c r="Q41" s="589">
        <f t="shared" si="3"/>
        <v>63698.225271891526</v>
      </c>
      <c r="R41" s="590"/>
      <c r="S41" s="592" t="s">
        <v>210</v>
      </c>
      <c r="T41" s="584"/>
      <c r="U41" s="476"/>
      <c r="V41" s="476"/>
      <c r="W41" s="476"/>
      <c r="X41" s="476"/>
    </row>
    <row r="42" spans="1:24" s="576" customFormat="1" ht="11.25" customHeight="1">
      <c r="A42" s="125"/>
      <c r="B42" s="585" t="s">
        <v>211</v>
      </c>
      <c r="C42" s="585" t="s">
        <v>211</v>
      </c>
      <c r="D42" s="585"/>
      <c r="E42" s="67" t="s">
        <v>49</v>
      </c>
      <c r="F42" s="146" t="s">
        <v>175</v>
      </c>
      <c r="G42" s="147">
        <v>19</v>
      </c>
      <c r="H42" s="148" t="s">
        <v>32</v>
      </c>
      <c r="I42" s="147"/>
      <c r="J42" s="149"/>
      <c r="K42" s="149"/>
      <c r="L42" s="149"/>
      <c r="M42" s="586">
        <v>3.6</v>
      </c>
      <c r="N42" s="587">
        <f>'통장내역(환율표)'!D94</f>
        <v>6.7490999836524441</v>
      </c>
      <c r="O42" s="588">
        <f t="shared" si="4"/>
        <v>0.53340445521919355</v>
      </c>
      <c r="P42" s="589">
        <f t="shared" si="2"/>
        <v>433837.68</v>
      </c>
      <c r="Q42" s="589">
        <f t="shared" si="3"/>
        <v>63697.691867436304</v>
      </c>
      <c r="R42" s="590"/>
      <c r="S42" s="592" t="s">
        <v>212</v>
      </c>
      <c r="T42" s="584"/>
      <c r="U42" s="476"/>
      <c r="V42" s="476"/>
      <c r="W42" s="476"/>
      <c r="X42" s="476"/>
    </row>
    <row r="43" spans="1:24" s="576" customFormat="1" ht="11.25" customHeight="1">
      <c r="A43" s="125"/>
      <c r="B43" s="585" t="s">
        <v>211</v>
      </c>
      <c r="C43" s="585" t="s">
        <v>211</v>
      </c>
      <c r="D43" s="585"/>
      <c r="E43" s="67" t="s">
        <v>49</v>
      </c>
      <c r="F43" s="146" t="s">
        <v>175</v>
      </c>
      <c r="G43" s="147">
        <v>20</v>
      </c>
      <c r="H43" s="148" t="s">
        <v>32</v>
      </c>
      <c r="I43" s="147"/>
      <c r="J43" s="149"/>
      <c r="K43" s="149"/>
      <c r="L43" s="149"/>
      <c r="M43" s="586">
        <v>7.2</v>
      </c>
      <c r="N43" s="587">
        <f>'통장내역(환율표)'!D94</f>
        <v>6.7490999836524441</v>
      </c>
      <c r="O43" s="588">
        <f t="shared" si="4"/>
        <v>1.0668089104383871</v>
      </c>
      <c r="P43" s="589">
        <f t="shared" si="2"/>
        <v>433830.48</v>
      </c>
      <c r="Q43" s="589">
        <f t="shared" si="3"/>
        <v>63696.625058525868</v>
      </c>
      <c r="R43" s="590"/>
      <c r="S43" s="592" t="s">
        <v>213</v>
      </c>
      <c r="T43" s="584"/>
      <c r="U43" s="476"/>
      <c r="V43" s="476"/>
      <c r="W43" s="476"/>
      <c r="X43" s="476"/>
    </row>
    <row r="44" spans="1:24" s="576" customFormat="1" ht="11.25" customHeight="1">
      <c r="A44" s="125"/>
      <c r="B44" s="585" t="s">
        <v>211</v>
      </c>
      <c r="C44" s="585" t="s">
        <v>211</v>
      </c>
      <c r="D44" s="585"/>
      <c r="E44" s="67" t="s">
        <v>49</v>
      </c>
      <c r="F44" s="146" t="s">
        <v>175</v>
      </c>
      <c r="G44" s="147">
        <v>21</v>
      </c>
      <c r="H44" s="148" t="s">
        <v>32</v>
      </c>
      <c r="I44" s="147"/>
      <c r="J44" s="149"/>
      <c r="K44" s="149"/>
      <c r="L44" s="149"/>
      <c r="M44" s="586">
        <v>3.6</v>
      </c>
      <c r="N44" s="587">
        <f>'통장내역(환율표)'!D94</f>
        <v>6.7490999836524441</v>
      </c>
      <c r="O44" s="588">
        <f t="shared" si="4"/>
        <v>0.53340445521919355</v>
      </c>
      <c r="P44" s="589">
        <f t="shared" si="2"/>
        <v>433826.88</v>
      </c>
      <c r="Q44" s="589">
        <f t="shared" si="3"/>
        <v>63696.091654070646</v>
      </c>
      <c r="R44" s="590"/>
      <c r="S44" s="591" t="s">
        <v>214</v>
      </c>
      <c r="T44" s="584"/>
      <c r="U44" s="476"/>
      <c r="V44" s="476"/>
      <c r="W44" s="476"/>
      <c r="X44" s="476"/>
    </row>
    <row r="45" spans="1:24" s="576" customFormat="1" ht="11.25" customHeight="1">
      <c r="A45" s="125"/>
      <c r="B45" s="585" t="s">
        <v>211</v>
      </c>
      <c r="C45" s="585" t="s">
        <v>211</v>
      </c>
      <c r="D45" s="585"/>
      <c r="E45" s="67" t="s">
        <v>123</v>
      </c>
      <c r="F45" s="146" t="s">
        <v>175</v>
      </c>
      <c r="G45" s="147">
        <v>21</v>
      </c>
      <c r="H45" s="148" t="s">
        <v>32</v>
      </c>
      <c r="I45" s="147"/>
      <c r="J45" s="149"/>
      <c r="K45" s="149"/>
      <c r="L45" s="149"/>
      <c r="M45" s="586">
        <v>280937.55</v>
      </c>
      <c r="N45" s="587">
        <f>'통장내역(환율표)'!D94</f>
        <v>6.7490999836524441</v>
      </c>
      <c r="O45" s="588">
        <f t="shared" si="4"/>
        <v>41625.928002323591</v>
      </c>
      <c r="P45" s="589">
        <f t="shared" si="2"/>
        <v>152889.33000000002</v>
      </c>
      <c r="Q45" s="589">
        <f t="shared" si="3"/>
        <v>22070.163651747054</v>
      </c>
      <c r="R45" s="590"/>
      <c r="S45" s="592" t="s">
        <v>215</v>
      </c>
      <c r="T45" s="584"/>
      <c r="U45" s="476"/>
      <c r="V45" s="476"/>
      <c r="W45" s="476"/>
      <c r="X45" s="476"/>
    </row>
    <row r="46" spans="1:24" s="576" customFormat="1" ht="12" customHeight="1">
      <c r="A46" s="125"/>
      <c r="B46" s="585" t="s">
        <v>211</v>
      </c>
      <c r="C46" s="585" t="s">
        <v>216</v>
      </c>
      <c r="D46" s="585" t="s">
        <v>217</v>
      </c>
      <c r="E46" s="67" t="s">
        <v>218</v>
      </c>
      <c r="F46" s="146" t="s">
        <v>219</v>
      </c>
      <c r="G46" s="147">
        <v>22</v>
      </c>
      <c r="H46" s="148" t="s">
        <v>176</v>
      </c>
      <c r="I46" s="147" t="s">
        <v>177</v>
      </c>
      <c r="J46" s="149"/>
      <c r="K46" s="149"/>
      <c r="L46" s="149"/>
      <c r="M46" s="586">
        <v>0</v>
      </c>
      <c r="N46" s="587">
        <f>'통장내역(환율표)'!D94</f>
        <v>6.7490999836524441</v>
      </c>
      <c r="O46" s="588">
        <f t="shared" si="4"/>
        <v>0</v>
      </c>
      <c r="P46" s="589">
        <f t="shared" si="2"/>
        <v>152889.33000000002</v>
      </c>
      <c r="Q46" s="589">
        <f t="shared" si="3"/>
        <v>22070.163651747054</v>
      </c>
      <c r="R46" s="590"/>
      <c r="S46" s="592" t="s">
        <v>191</v>
      </c>
      <c r="T46" s="584"/>
      <c r="U46" s="476"/>
      <c r="V46" s="476"/>
      <c r="W46" s="476"/>
      <c r="X46" s="476"/>
    </row>
    <row r="47" spans="1:24" s="576" customFormat="1" ht="12" customHeight="1">
      <c r="A47" s="125"/>
      <c r="B47" s="585" t="s">
        <v>211</v>
      </c>
      <c r="C47" s="585" t="s">
        <v>220</v>
      </c>
      <c r="D47" s="585" t="s">
        <v>221</v>
      </c>
      <c r="E47" s="67" t="s">
        <v>71</v>
      </c>
      <c r="F47" s="146" t="s">
        <v>219</v>
      </c>
      <c r="G47" s="147">
        <v>23</v>
      </c>
      <c r="H47" s="148" t="s">
        <v>176</v>
      </c>
      <c r="I47" s="147" t="s">
        <v>177</v>
      </c>
      <c r="J47" s="149"/>
      <c r="K47" s="149"/>
      <c r="L47" s="149"/>
      <c r="M47" s="586">
        <v>29500</v>
      </c>
      <c r="N47" s="587">
        <f>'통장내역(환율표)'!D94</f>
        <v>6.7490999836524441</v>
      </c>
      <c r="O47" s="588">
        <f t="shared" si="4"/>
        <v>4370.9531747128358</v>
      </c>
      <c r="P47" s="589">
        <f t="shared" si="2"/>
        <v>123389.33000000002</v>
      </c>
      <c r="Q47" s="589">
        <f t="shared" si="3"/>
        <v>17699.210477034219</v>
      </c>
      <c r="R47" s="590"/>
      <c r="S47" s="593"/>
      <c r="T47" s="584"/>
      <c r="U47" s="476"/>
      <c r="V47" s="476"/>
      <c r="W47" s="476"/>
      <c r="X47" s="476"/>
    </row>
    <row r="48" spans="1:24" s="576" customFormat="1" ht="12" customHeight="1">
      <c r="A48" s="125"/>
      <c r="B48" s="585" t="s">
        <v>211</v>
      </c>
      <c r="C48" s="585" t="s">
        <v>222</v>
      </c>
      <c r="D48" s="585" t="s">
        <v>223</v>
      </c>
      <c r="E48" s="67" t="s">
        <v>71</v>
      </c>
      <c r="F48" s="146" t="s">
        <v>219</v>
      </c>
      <c r="G48" s="147">
        <v>24</v>
      </c>
      <c r="H48" s="148" t="s">
        <v>27</v>
      </c>
      <c r="I48" s="147" t="s">
        <v>29</v>
      </c>
      <c r="J48" s="149"/>
      <c r="K48" s="149"/>
      <c r="L48" s="149"/>
      <c r="M48" s="586">
        <v>7000</v>
      </c>
      <c r="N48" s="587">
        <f>'통장내역(환율표)'!D94</f>
        <v>6.7490999836524441</v>
      </c>
      <c r="O48" s="588">
        <f t="shared" si="4"/>
        <v>1037.1753295928763</v>
      </c>
      <c r="P48" s="589">
        <f t="shared" si="2"/>
        <v>116389.33000000002</v>
      </c>
      <c r="Q48" s="589">
        <f t="shared" si="3"/>
        <v>16662.035147441344</v>
      </c>
      <c r="R48" s="590"/>
      <c r="S48" s="591" t="s">
        <v>187</v>
      </c>
      <c r="T48" s="584"/>
      <c r="U48" s="476"/>
      <c r="V48" s="476"/>
      <c r="W48" s="476"/>
      <c r="X48" s="476"/>
    </row>
    <row r="49" spans="1:24" s="576" customFormat="1" ht="12" customHeight="1">
      <c r="A49" s="125"/>
      <c r="B49" s="585" t="s">
        <v>211</v>
      </c>
      <c r="C49" s="585" t="s">
        <v>222</v>
      </c>
      <c r="D49" s="585" t="s">
        <v>224</v>
      </c>
      <c r="E49" s="67" t="s">
        <v>225</v>
      </c>
      <c r="F49" s="146" t="s">
        <v>219</v>
      </c>
      <c r="G49" s="147">
        <v>25</v>
      </c>
      <c r="H49" s="148" t="s">
        <v>32</v>
      </c>
      <c r="I49" s="147"/>
      <c r="J49" s="149"/>
      <c r="K49" s="149"/>
      <c r="L49" s="149"/>
      <c r="M49" s="586">
        <v>7000</v>
      </c>
      <c r="N49" s="587">
        <f>'통장내역(환율표)'!D94</f>
        <v>6.7490999836524441</v>
      </c>
      <c r="O49" s="588">
        <f t="shared" si="4"/>
        <v>1037.1753295928763</v>
      </c>
      <c r="P49" s="589">
        <f t="shared" si="2"/>
        <v>109389.33000000002</v>
      </c>
      <c r="Q49" s="589">
        <f t="shared" si="3"/>
        <v>15624.859817848468</v>
      </c>
      <c r="R49" s="590"/>
      <c r="S49" s="592" t="s">
        <v>189</v>
      </c>
      <c r="T49" s="584"/>
      <c r="U49" s="476"/>
      <c r="V49" s="476"/>
      <c r="W49" s="476"/>
      <c r="X49" s="476"/>
    </row>
    <row r="50" spans="1:24" s="576" customFormat="1" ht="12" customHeight="1">
      <c r="A50" s="125"/>
      <c r="B50" s="585" t="s">
        <v>211</v>
      </c>
      <c r="C50" s="585" t="s">
        <v>226</v>
      </c>
      <c r="D50" s="585" t="s">
        <v>227</v>
      </c>
      <c r="E50" s="67" t="s">
        <v>71</v>
      </c>
      <c r="F50" s="146" t="s">
        <v>219</v>
      </c>
      <c r="G50" s="147">
        <v>26</v>
      </c>
      <c r="H50" s="148" t="s">
        <v>32</v>
      </c>
      <c r="I50" s="147"/>
      <c r="J50" s="149"/>
      <c r="K50" s="149"/>
      <c r="L50" s="149"/>
      <c r="M50" s="586">
        <v>6000</v>
      </c>
      <c r="N50" s="587">
        <f>'통장내역(환율표)'!D94</f>
        <v>6.7490999836524441</v>
      </c>
      <c r="O50" s="588">
        <f t="shared" si="4"/>
        <v>889.00742536532255</v>
      </c>
      <c r="P50" s="589">
        <f t="shared" si="2"/>
        <v>103389.33000000002</v>
      </c>
      <c r="Q50" s="589">
        <f t="shared" si="3"/>
        <v>14735.852392483146</v>
      </c>
      <c r="R50" s="590"/>
      <c r="S50" s="593"/>
      <c r="T50" s="584"/>
      <c r="U50" s="476"/>
      <c r="V50" s="476"/>
      <c r="W50" s="476"/>
      <c r="X50" s="476"/>
    </row>
    <row r="51" spans="1:24" s="576" customFormat="1" ht="12" customHeight="1">
      <c r="A51" s="125"/>
      <c r="B51" s="585" t="s">
        <v>211</v>
      </c>
      <c r="C51" s="585" t="s">
        <v>228</v>
      </c>
      <c r="D51" s="585" t="s">
        <v>229</v>
      </c>
      <c r="E51" s="67" t="s">
        <v>71</v>
      </c>
      <c r="F51" s="146" t="s">
        <v>219</v>
      </c>
      <c r="G51" s="147">
        <v>27</v>
      </c>
      <c r="H51" s="148" t="s">
        <v>27</v>
      </c>
      <c r="I51" s="147" t="s">
        <v>29</v>
      </c>
      <c r="J51" s="149"/>
      <c r="K51" s="149"/>
      <c r="L51" s="149"/>
      <c r="M51" s="586">
        <v>6000</v>
      </c>
      <c r="N51" s="587">
        <f>'통장내역(환율표)'!D94</f>
        <v>6.7490999836524441</v>
      </c>
      <c r="O51" s="588">
        <f t="shared" si="4"/>
        <v>889.00742536532255</v>
      </c>
      <c r="P51" s="589">
        <f t="shared" si="2"/>
        <v>97389.330000000016</v>
      </c>
      <c r="Q51" s="589">
        <f t="shared" si="3"/>
        <v>13846.844967117824</v>
      </c>
      <c r="R51" s="590"/>
      <c r="S51" s="593"/>
      <c r="T51" s="584"/>
      <c r="U51" s="476"/>
      <c r="V51" s="476"/>
      <c r="W51" s="476"/>
      <c r="X51" s="476"/>
    </row>
    <row r="52" spans="1:24" s="576" customFormat="1" ht="12" customHeight="1">
      <c r="A52" s="125"/>
      <c r="B52" s="585" t="s">
        <v>211</v>
      </c>
      <c r="C52" s="585" t="s">
        <v>230</v>
      </c>
      <c r="D52" s="585" t="s">
        <v>231</v>
      </c>
      <c r="E52" s="67" t="s">
        <v>71</v>
      </c>
      <c r="F52" s="146" t="s">
        <v>219</v>
      </c>
      <c r="G52" s="147">
        <v>28</v>
      </c>
      <c r="H52" s="148" t="s">
        <v>32</v>
      </c>
      <c r="I52" s="147"/>
      <c r="J52" s="149"/>
      <c r="K52" s="149"/>
      <c r="L52" s="149"/>
      <c r="M52" s="586">
        <v>6000</v>
      </c>
      <c r="N52" s="587">
        <f>'통장내역(환율표)'!D94</f>
        <v>6.7490999836524441</v>
      </c>
      <c r="O52" s="588">
        <f t="shared" si="4"/>
        <v>889.00742536532255</v>
      </c>
      <c r="P52" s="589">
        <f t="shared" si="2"/>
        <v>91389.330000000016</v>
      </c>
      <c r="Q52" s="589">
        <f t="shared" si="3"/>
        <v>12957.837541752502</v>
      </c>
      <c r="R52" s="590"/>
      <c r="S52" s="593"/>
      <c r="T52" s="584"/>
      <c r="U52" s="476"/>
      <c r="V52" s="476"/>
      <c r="W52" s="476"/>
      <c r="X52" s="476"/>
    </row>
    <row r="53" spans="1:24" s="576" customFormat="1" ht="12" customHeight="1">
      <c r="A53" s="125"/>
      <c r="B53" s="585" t="s">
        <v>211</v>
      </c>
      <c r="C53" s="585" t="s">
        <v>232</v>
      </c>
      <c r="D53" s="585" t="s">
        <v>233</v>
      </c>
      <c r="E53" s="67" t="s">
        <v>234</v>
      </c>
      <c r="F53" s="146" t="s">
        <v>219</v>
      </c>
      <c r="G53" s="147">
        <v>29</v>
      </c>
      <c r="H53" s="148" t="s">
        <v>32</v>
      </c>
      <c r="I53" s="147"/>
      <c r="J53" s="149"/>
      <c r="K53" s="149"/>
      <c r="L53" s="149"/>
      <c r="M53" s="586">
        <v>6000</v>
      </c>
      <c r="N53" s="587">
        <f>'통장내역(환율표)'!D94</f>
        <v>6.7490999836524441</v>
      </c>
      <c r="O53" s="588">
        <f t="shared" si="4"/>
        <v>889.00742536532255</v>
      </c>
      <c r="P53" s="589">
        <f t="shared" si="2"/>
        <v>85389.330000000016</v>
      </c>
      <c r="Q53" s="589">
        <f t="shared" si="3"/>
        <v>12068.83011638718</v>
      </c>
      <c r="R53" s="590"/>
      <c r="S53" s="592" t="s">
        <v>235</v>
      </c>
      <c r="T53" s="584"/>
      <c r="U53" s="476"/>
      <c r="V53" s="476"/>
      <c r="W53" s="476"/>
      <c r="X53" s="476"/>
    </row>
    <row r="54" spans="1:24" s="576" customFormat="1" ht="12" customHeight="1">
      <c r="A54" s="125"/>
      <c r="B54" s="585" t="s">
        <v>211</v>
      </c>
      <c r="C54" s="585" t="s">
        <v>209</v>
      </c>
      <c r="D54" s="585" t="s">
        <v>236</v>
      </c>
      <c r="E54" s="67" t="s">
        <v>71</v>
      </c>
      <c r="F54" s="146" t="s">
        <v>219</v>
      </c>
      <c r="G54" s="147">
        <v>30</v>
      </c>
      <c r="H54" s="148" t="s">
        <v>32</v>
      </c>
      <c r="I54" s="147"/>
      <c r="J54" s="149"/>
      <c r="K54" s="149"/>
      <c r="L54" s="149"/>
      <c r="M54" s="586">
        <v>505</v>
      </c>
      <c r="N54" s="587">
        <f>'통장내역(환율표)'!D94</f>
        <v>6.7490999836524441</v>
      </c>
      <c r="O54" s="588">
        <f t="shared" si="4"/>
        <v>74.824791634914646</v>
      </c>
      <c r="P54" s="589">
        <f t="shared" si="2"/>
        <v>84884.330000000016</v>
      </c>
      <c r="Q54" s="589">
        <f t="shared" si="3"/>
        <v>11994.005324752265</v>
      </c>
      <c r="R54" s="590"/>
      <c r="S54" s="593"/>
      <c r="T54" s="584"/>
      <c r="U54" s="476"/>
      <c r="V54" s="476"/>
      <c r="W54" s="476"/>
      <c r="X54" s="476"/>
    </row>
    <row r="55" spans="1:24" s="576" customFormat="1" ht="12" customHeight="1">
      <c r="A55" s="125"/>
      <c r="B55" s="585" t="s">
        <v>211</v>
      </c>
      <c r="C55" s="585" t="s">
        <v>237</v>
      </c>
      <c r="D55" s="585" t="s">
        <v>238</v>
      </c>
      <c r="E55" s="67" t="s">
        <v>74</v>
      </c>
      <c r="F55" s="146" t="s">
        <v>219</v>
      </c>
      <c r="G55" s="147">
        <v>31</v>
      </c>
      <c r="H55" s="148" t="s">
        <v>32</v>
      </c>
      <c r="I55" s="147"/>
      <c r="J55" s="149"/>
      <c r="K55" s="149"/>
      <c r="L55" s="149"/>
      <c r="M55" s="586">
        <v>505</v>
      </c>
      <c r="N55" s="587">
        <f>'통장내역(환율표)'!D94</f>
        <v>6.7490999836524441</v>
      </c>
      <c r="O55" s="588">
        <f t="shared" si="4"/>
        <v>74.824791634914646</v>
      </c>
      <c r="P55" s="589">
        <f t="shared" si="2"/>
        <v>84379.330000000016</v>
      </c>
      <c r="Q55" s="589">
        <f t="shared" si="3"/>
        <v>11919.180533117349</v>
      </c>
      <c r="R55" s="590"/>
      <c r="S55" s="593"/>
      <c r="T55" s="584"/>
      <c r="U55" s="476"/>
      <c r="V55" s="476"/>
      <c r="W55" s="476"/>
      <c r="X55" s="476"/>
    </row>
    <row r="56" spans="1:24" s="576" customFormat="1" ht="12" customHeight="1">
      <c r="A56" s="125"/>
      <c r="B56" s="585" t="s">
        <v>211</v>
      </c>
      <c r="C56" s="585"/>
      <c r="D56" s="585" t="s">
        <v>239</v>
      </c>
      <c r="E56" s="67" t="s">
        <v>240</v>
      </c>
      <c r="F56" s="146" t="s">
        <v>219</v>
      </c>
      <c r="G56" s="147">
        <v>32</v>
      </c>
      <c r="H56" s="148" t="s">
        <v>27</v>
      </c>
      <c r="I56" s="147" t="s">
        <v>28</v>
      </c>
      <c r="J56" s="149"/>
      <c r="K56" s="149"/>
      <c r="L56" s="149"/>
      <c r="M56" s="586">
        <v>388.53</v>
      </c>
      <c r="N56" s="587">
        <f>'통장내역(환율표)'!D94</f>
        <v>6.7490999836524441</v>
      </c>
      <c r="O56" s="588">
        <f t="shared" si="4"/>
        <v>57.56767582953146</v>
      </c>
      <c r="P56" s="589">
        <f t="shared" si="2"/>
        <v>83990.800000000017</v>
      </c>
      <c r="Q56" s="589">
        <f t="shared" si="3"/>
        <v>11861.612857287817</v>
      </c>
      <c r="R56" s="590"/>
      <c r="S56" s="592" t="s">
        <v>191</v>
      </c>
      <c r="T56" s="584"/>
      <c r="U56" s="476"/>
      <c r="V56" s="476"/>
      <c r="W56" s="476"/>
      <c r="X56" s="476"/>
    </row>
    <row r="57" spans="1:24" s="576" customFormat="1" ht="12" customHeight="1">
      <c r="A57" s="125"/>
      <c r="B57" s="585" t="s">
        <v>211</v>
      </c>
      <c r="C57" s="585"/>
      <c r="D57" s="585" t="s">
        <v>241</v>
      </c>
      <c r="E57" s="67" t="s">
        <v>242</v>
      </c>
      <c r="F57" s="146" t="s">
        <v>219</v>
      </c>
      <c r="G57" s="147">
        <v>33</v>
      </c>
      <c r="H57" s="148" t="s">
        <v>27</v>
      </c>
      <c r="I57" s="147" t="s">
        <v>28</v>
      </c>
      <c r="J57" s="149"/>
      <c r="K57" s="149"/>
      <c r="L57" s="149"/>
      <c r="M57" s="586">
        <v>79.23</v>
      </c>
      <c r="N57" s="587">
        <f>'통장내역(환율표)'!D94</f>
        <v>6.7490999836524441</v>
      </c>
      <c r="O57" s="588">
        <f t="shared" si="4"/>
        <v>11.739343051949085</v>
      </c>
      <c r="P57" s="589">
        <f t="shared" si="2"/>
        <v>83911.570000000022</v>
      </c>
      <c r="Q57" s="589">
        <f t="shared" si="3"/>
        <v>11849.873514235867</v>
      </c>
      <c r="R57" s="590"/>
      <c r="S57" s="592" t="s">
        <v>191</v>
      </c>
      <c r="T57" s="584"/>
      <c r="U57" s="476"/>
      <c r="V57" s="476"/>
      <c r="W57" s="476"/>
      <c r="X57" s="476"/>
    </row>
    <row r="58" spans="1:24" s="576" customFormat="1" ht="12" customHeight="1">
      <c r="A58" s="125"/>
      <c r="B58" s="585" t="s">
        <v>211</v>
      </c>
      <c r="C58" s="585" t="s">
        <v>243</v>
      </c>
      <c r="D58" s="585"/>
      <c r="E58" s="67" t="s">
        <v>244</v>
      </c>
      <c r="F58" s="146" t="s">
        <v>219</v>
      </c>
      <c r="G58" s="147">
        <v>34</v>
      </c>
      <c r="H58" s="148" t="s">
        <v>25</v>
      </c>
      <c r="I58" s="147" t="s">
        <v>26</v>
      </c>
      <c r="J58" s="149"/>
      <c r="K58" s="149"/>
      <c r="L58" s="149"/>
      <c r="M58" s="586">
        <v>0</v>
      </c>
      <c r="N58" s="587">
        <f>'통장내역(환율표)'!D94</f>
        <v>6.7490999836524441</v>
      </c>
      <c r="O58" s="588">
        <f t="shared" si="4"/>
        <v>0</v>
      </c>
      <c r="P58" s="589">
        <f t="shared" si="2"/>
        <v>83911.570000000022</v>
      </c>
      <c r="Q58" s="589">
        <f t="shared" si="3"/>
        <v>11849.873514235867</v>
      </c>
      <c r="R58" s="590"/>
      <c r="S58" s="593"/>
      <c r="T58" s="584"/>
      <c r="U58" s="476"/>
      <c r="V58" s="476"/>
      <c r="W58" s="476"/>
      <c r="X58" s="476"/>
    </row>
    <row r="59" spans="1:24" s="576" customFormat="1" ht="12" customHeight="1">
      <c r="A59" s="125"/>
      <c r="B59" s="585" t="s">
        <v>211</v>
      </c>
      <c r="C59" s="585" t="s">
        <v>211</v>
      </c>
      <c r="D59" s="585"/>
      <c r="E59" s="67" t="s">
        <v>49</v>
      </c>
      <c r="F59" s="146" t="s">
        <v>219</v>
      </c>
      <c r="G59" s="147">
        <v>35</v>
      </c>
      <c r="H59" s="148" t="s">
        <v>32</v>
      </c>
      <c r="I59" s="147"/>
      <c r="J59" s="149"/>
      <c r="K59" s="149"/>
      <c r="L59" s="149"/>
      <c r="M59" s="586">
        <v>3.6</v>
      </c>
      <c r="N59" s="587">
        <f>'통장내역(환율표)'!D94</f>
        <v>6.7490999836524441</v>
      </c>
      <c r="O59" s="588">
        <f t="shared" si="4"/>
        <v>0.53340445521919355</v>
      </c>
      <c r="P59" s="589">
        <f t="shared" si="2"/>
        <v>83907.970000000016</v>
      </c>
      <c r="Q59" s="589">
        <f t="shared" si="3"/>
        <v>11849.340109780647</v>
      </c>
      <c r="R59" s="590"/>
      <c r="S59" s="592" t="s">
        <v>245</v>
      </c>
      <c r="T59" s="584"/>
      <c r="U59" s="476"/>
      <c r="V59" s="476"/>
      <c r="W59" s="476"/>
      <c r="X59" s="476"/>
    </row>
    <row r="60" spans="1:24" s="576" customFormat="1" ht="12" customHeight="1">
      <c r="A60" s="125"/>
      <c r="B60" s="585" t="s">
        <v>211</v>
      </c>
      <c r="C60" s="585" t="s">
        <v>246</v>
      </c>
      <c r="D60" s="585" t="s">
        <v>247</v>
      </c>
      <c r="E60" s="67" t="s">
        <v>57</v>
      </c>
      <c r="F60" s="146" t="s">
        <v>72</v>
      </c>
      <c r="G60" s="147">
        <v>36</v>
      </c>
      <c r="H60" s="148" t="s">
        <v>32</v>
      </c>
      <c r="I60" s="147"/>
      <c r="J60" s="149"/>
      <c r="K60" s="149"/>
      <c r="L60" s="149"/>
      <c r="M60" s="586">
        <v>760</v>
      </c>
      <c r="N60" s="587">
        <f>'통장내역(환율표)'!D94</f>
        <v>6.7490999836524441</v>
      </c>
      <c r="O60" s="588">
        <f t="shared" si="4"/>
        <v>112.60760721294086</v>
      </c>
      <c r="P60" s="589">
        <f t="shared" si="2"/>
        <v>83147.970000000016</v>
      </c>
      <c r="Q60" s="589">
        <f t="shared" si="3"/>
        <v>11736.732502567706</v>
      </c>
      <c r="R60" s="590"/>
      <c r="S60" s="592" t="s">
        <v>191</v>
      </c>
      <c r="T60" s="584"/>
      <c r="U60" s="476"/>
      <c r="V60" s="476"/>
      <c r="W60" s="476"/>
      <c r="X60" s="476"/>
    </row>
    <row r="61" spans="1:24" s="576" customFormat="1" ht="12" customHeight="1">
      <c r="A61" s="125"/>
      <c r="B61" s="585" t="s">
        <v>211</v>
      </c>
      <c r="C61" s="585" t="s">
        <v>248</v>
      </c>
      <c r="D61" s="585" t="s">
        <v>249</v>
      </c>
      <c r="E61" s="67" t="s">
        <v>250</v>
      </c>
      <c r="F61" s="146" t="s">
        <v>72</v>
      </c>
      <c r="G61" s="147">
        <v>37</v>
      </c>
      <c r="H61" s="148" t="s">
        <v>32</v>
      </c>
      <c r="I61" s="147"/>
      <c r="J61" s="149"/>
      <c r="K61" s="149"/>
      <c r="L61" s="149"/>
      <c r="M61" s="586">
        <v>580</v>
      </c>
      <c r="N61" s="587">
        <f>'통장내역(환율표)'!D94</f>
        <v>6.7490999836524441</v>
      </c>
      <c r="O61" s="588">
        <f t="shared" si="4"/>
        <v>85.937384451981188</v>
      </c>
      <c r="P61" s="589">
        <f t="shared" si="2"/>
        <v>82567.970000000016</v>
      </c>
      <c r="Q61" s="589">
        <f t="shared" si="3"/>
        <v>11650.795118115724</v>
      </c>
      <c r="R61" s="590"/>
      <c r="S61" s="592" t="s">
        <v>191</v>
      </c>
      <c r="T61" s="584"/>
      <c r="U61" s="476"/>
      <c r="V61" s="476"/>
      <c r="W61" s="476"/>
      <c r="X61" s="476"/>
    </row>
    <row r="62" spans="1:24" s="576" customFormat="1" ht="12" customHeight="1">
      <c r="A62" s="125"/>
      <c r="B62" s="585" t="s">
        <v>211</v>
      </c>
      <c r="C62" s="585" t="s">
        <v>251</v>
      </c>
      <c r="D62" s="585" t="s">
        <v>252</v>
      </c>
      <c r="E62" s="67" t="s">
        <v>71</v>
      </c>
      <c r="F62" s="146" t="s">
        <v>72</v>
      </c>
      <c r="G62" s="147">
        <v>38</v>
      </c>
      <c r="H62" s="148" t="s">
        <v>32</v>
      </c>
      <c r="I62" s="147"/>
      <c r="J62" s="149"/>
      <c r="K62" s="149"/>
      <c r="L62" s="149"/>
      <c r="M62" s="586">
        <v>3.6</v>
      </c>
      <c r="N62" s="587">
        <f>'통장내역(환율표)'!D94</f>
        <v>6.7490999836524441</v>
      </c>
      <c r="O62" s="588">
        <f t="shared" si="4"/>
        <v>0.53340445521919355</v>
      </c>
      <c r="P62" s="589">
        <f t="shared" si="2"/>
        <v>82564.37000000001</v>
      </c>
      <c r="Q62" s="589">
        <f t="shared" si="3"/>
        <v>11650.261713660504</v>
      </c>
      <c r="R62" s="590"/>
      <c r="S62" s="592" t="s">
        <v>253</v>
      </c>
      <c r="T62" s="584"/>
      <c r="U62" s="476"/>
      <c r="V62" s="476"/>
      <c r="W62" s="476"/>
      <c r="X62" s="476"/>
    </row>
    <row r="63" spans="1:24" s="576" customFormat="1" ht="12" customHeight="1">
      <c r="A63" s="125"/>
      <c r="B63" s="585" t="s">
        <v>211</v>
      </c>
      <c r="C63" s="585" t="s">
        <v>220</v>
      </c>
      <c r="D63" s="585" t="s">
        <v>254</v>
      </c>
      <c r="E63" s="67" t="s">
        <v>71</v>
      </c>
      <c r="F63" s="146" t="s">
        <v>72</v>
      </c>
      <c r="G63" s="147">
        <v>39</v>
      </c>
      <c r="H63" s="148" t="s">
        <v>32</v>
      </c>
      <c r="I63" s="147"/>
      <c r="J63" s="149"/>
      <c r="K63" s="149"/>
      <c r="L63" s="149"/>
      <c r="M63" s="586">
        <v>7.2</v>
      </c>
      <c r="N63" s="587">
        <f>'통장내역(환율표)'!D94</f>
        <v>6.7490999836524441</v>
      </c>
      <c r="O63" s="588">
        <f t="shared" si="4"/>
        <v>1.0668089104383871</v>
      </c>
      <c r="P63" s="589">
        <f t="shared" si="2"/>
        <v>82557.170000000013</v>
      </c>
      <c r="Q63" s="589">
        <f t="shared" si="3"/>
        <v>11649.194904750066</v>
      </c>
      <c r="R63" s="590"/>
      <c r="S63" s="592" t="s">
        <v>255</v>
      </c>
      <c r="T63" s="584"/>
      <c r="U63" s="476"/>
      <c r="V63" s="476"/>
      <c r="W63" s="476"/>
      <c r="X63" s="476"/>
    </row>
    <row r="64" spans="1:24" s="576" customFormat="1" ht="12" customHeight="1">
      <c r="A64" s="125"/>
      <c r="B64" s="585" t="s">
        <v>211</v>
      </c>
      <c r="C64" s="585" t="s">
        <v>222</v>
      </c>
      <c r="D64" s="585" t="s">
        <v>256</v>
      </c>
      <c r="E64" s="67" t="s">
        <v>71</v>
      </c>
      <c r="F64" s="146" t="s">
        <v>72</v>
      </c>
      <c r="G64" s="147">
        <v>40</v>
      </c>
      <c r="H64" s="148" t="s">
        <v>32</v>
      </c>
      <c r="I64" s="147"/>
      <c r="J64" s="149"/>
      <c r="K64" s="149"/>
      <c r="L64" s="149"/>
      <c r="M64" s="586">
        <v>3.6</v>
      </c>
      <c r="N64" s="587">
        <f>'통장내역(환율표)'!D94</f>
        <v>6.7490999836524441</v>
      </c>
      <c r="O64" s="588">
        <f t="shared" si="4"/>
        <v>0.53340445521919355</v>
      </c>
      <c r="P64" s="589">
        <f t="shared" si="2"/>
        <v>82553.570000000007</v>
      </c>
      <c r="Q64" s="589">
        <f t="shared" si="3"/>
        <v>11648.661500294846</v>
      </c>
      <c r="R64" s="590"/>
      <c r="S64" s="592" t="s">
        <v>257</v>
      </c>
      <c r="T64" s="584"/>
      <c r="U64" s="476"/>
      <c r="V64" s="476"/>
      <c r="W64" s="476"/>
      <c r="X64" s="476"/>
    </row>
    <row r="65" spans="1:24" s="477" customFormat="1" ht="11.25" customHeight="1">
      <c r="A65" s="125"/>
      <c r="B65" s="585" t="s">
        <v>211</v>
      </c>
      <c r="C65" s="585" t="s">
        <v>226</v>
      </c>
      <c r="D65" s="585" t="s">
        <v>258</v>
      </c>
      <c r="E65" s="67" t="s">
        <v>259</v>
      </c>
      <c r="F65" s="146" t="s">
        <v>72</v>
      </c>
      <c r="G65" s="147">
        <v>41</v>
      </c>
      <c r="H65" s="148" t="s">
        <v>32</v>
      </c>
      <c r="I65" s="147"/>
      <c r="J65" s="149"/>
      <c r="K65" s="149"/>
      <c r="L65" s="149"/>
      <c r="M65" s="586">
        <v>7.2</v>
      </c>
      <c r="N65" s="587">
        <f>'통장내역(환율표)'!D94</f>
        <v>6.7490999836524441</v>
      </c>
      <c r="O65" s="588">
        <f t="shared" si="4"/>
        <v>1.0668089104383871</v>
      </c>
      <c r="P65" s="589">
        <f t="shared" si="2"/>
        <v>82546.37000000001</v>
      </c>
      <c r="Q65" s="589">
        <f t="shared" si="3"/>
        <v>11647.594691384407</v>
      </c>
      <c r="R65" s="590"/>
      <c r="S65" s="592" t="s">
        <v>260</v>
      </c>
      <c r="T65" s="584"/>
      <c r="U65" s="476"/>
      <c r="V65" s="476"/>
      <c r="W65" s="476"/>
      <c r="X65" s="476"/>
    </row>
    <row r="66" spans="1:24" s="477" customFormat="1" ht="11.25" customHeight="1">
      <c r="A66" s="125"/>
      <c r="B66" s="585" t="s">
        <v>211</v>
      </c>
      <c r="C66" s="585" t="s">
        <v>261</v>
      </c>
      <c r="D66" s="585" t="s">
        <v>262</v>
      </c>
      <c r="E66" s="67" t="s">
        <v>71</v>
      </c>
      <c r="F66" s="146" t="s">
        <v>72</v>
      </c>
      <c r="G66" s="147">
        <v>42</v>
      </c>
      <c r="H66" s="148" t="s">
        <v>32</v>
      </c>
      <c r="I66" s="147"/>
      <c r="J66" s="149"/>
      <c r="K66" s="149"/>
      <c r="L66" s="149"/>
      <c r="M66" s="586">
        <v>280937.55</v>
      </c>
      <c r="N66" s="587">
        <f>'통장내역(환율표)'!D94</f>
        <v>6.7490999836524441</v>
      </c>
      <c r="O66" s="588">
        <f t="shared" si="4"/>
        <v>41625.928002323591</v>
      </c>
      <c r="P66" s="589">
        <f t="shared" si="2"/>
        <v>-198391.18</v>
      </c>
      <c r="Q66" s="589">
        <f t="shared" si="3"/>
        <v>-29978.333310939182</v>
      </c>
      <c r="R66" s="590"/>
      <c r="S66" s="592" t="s">
        <v>215</v>
      </c>
      <c r="T66" s="584"/>
      <c r="U66" s="476"/>
      <c r="V66" s="476"/>
      <c r="W66" s="476"/>
      <c r="X66" s="476"/>
    </row>
    <row r="67" spans="1:24" s="477" customFormat="1" ht="11.25" customHeight="1">
      <c r="A67" s="125"/>
      <c r="B67" s="585" t="s">
        <v>211</v>
      </c>
      <c r="C67" s="585" t="s">
        <v>263</v>
      </c>
      <c r="D67" s="585" t="s">
        <v>264</v>
      </c>
      <c r="E67" s="67" t="s">
        <v>71</v>
      </c>
      <c r="F67" s="146" t="s">
        <v>72</v>
      </c>
      <c r="G67" s="147">
        <v>43</v>
      </c>
      <c r="H67" s="148" t="s">
        <v>25</v>
      </c>
      <c r="I67" s="147" t="s">
        <v>26</v>
      </c>
      <c r="J67" s="149"/>
      <c r="K67" s="149"/>
      <c r="L67" s="149"/>
      <c r="M67" s="586">
        <v>0</v>
      </c>
      <c r="N67" s="587">
        <f>'통장내역(환율표)'!D94</f>
        <v>6.7490999836524441</v>
      </c>
      <c r="O67" s="588">
        <f t="shared" si="4"/>
        <v>0</v>
      </c>
      <c r="P67" s="589">
        <f t="shared" si="2"/>
        <v>-198391.18</v>
      </c>
      <c r="Q67" s="589">
        <f t="shared" si="3"/>
        <v>-29978.333310939182</v>
      </c>
      <c r="R67" s="590"/>
      <c r="S67" s="593"/>
      <c r="T67" s="584"/>
      <c r="U67" s="476"/>
      <c r="V67" s="476"/>
      <c r="W67" s="476"/>
      <c r="X67" s="476"/>
    </row>
    <row r="68" spans="1:24" s="477" customFormat="1" ht="11.25" customHeight="1">
      <c r="A68" s="125"/>
      <c r="B68" s="585" t="s">
        <v>211</v>
      </c>
      <c r="C68" s="585" t="s">
        <v>243</v>
      </c>
      <c r="D68" s="585" t="s">
        <v>265</v>
      </c>
      <c r="E68" s="67" t="s">
        <v>71</v>
      </c>
      <c r="F68" s="146" t="s">
        <v>72</v>
      </c>
      <c r="G68" s="147">
        <v>44</v>
      </c>
      <c r="H68" s="148" t="s">
        <v>25</v>
      </c>
      <c r="I68" s="147" t="s">
        <v>26</v>
      </c>
      <c r="J68" s="149"/>
      <c r="K68" s="149"/>
      <c r="L68" s="149"/>
      <c r="M68" s="586">
        <v>29500</v>
      </c>
      <c r="N68" s="587">
        <f>'통장내역(환율표)'!D94</f>
        <v>6.7490999836524441</v>
      </c>
      <c r="O68" s="588">
        <f t="shared" si="4"/>
        <v>4370.9531747128358</v>
      </c>
      <c r="P68" s="589">
        <f t="shared" si="2"/>
        <v>-227891.18</v>
      </c>
      <c r="Q68" s="589">
        <f t="shared" si="3"/>
        <v>-34349.286485652017</v>
      </c>
      <c r="R68" s="590"/>
      <c r="S68" s="593"/>
      <c r="T68" s="584"/>
      <c r="U68" s="476"/>
      <c r="V68" s="476"/>
      <c r="W68" s="476"/>
      <c r="X68" s="476"/>
    </row>
    <row r="69" spans="1:24" s="477" customFormat="1" ht="11.25" customHeight="1">
      <c r="A69" s="125"/>
      <c r="B69" s="585" t="s">
        <v>211</v>
      </c>
      <c r="C69" s="585" t="s">
        <v>232</v>
      </c>
      <c r="D69" s="585" t="s">
        <v>266</v>
      </c>
      <c r="E69" s="67" t="s">
        <v>71</v>
      </c>
      <c r="F69" s="146" t="s">
        <v>72</v>
      </c>
      <c r="G69" s="147">
        <v>45</v>
      </c>
      <c r="H69" s="148" t="s">
        <v>25</v>
      </c>
      <c r="I69" s="147" t="s">
        <v>26</v>
      </c>
      <c r="J69" s="149"/>
      <c r="K69" s="149"/>
      <c r="L69" s="149"/>
      <c r="M69" s="586">
        <v>250</v>
      </c>
      <c r="N69" s="587">
        <f>'통장내역(환율표)'!D94</f>
        <v>6.7490999836524441</v>
      </c>
      <c r="O69" s="588">
        <f t="shared" si="4"/>
        <v>37.041976056888437</v>
      </c>
      <c r="P69" s="589">
        <f t="shared" si="2"/>
        <v>-228141.18</v>
      </c>
      <c r="Q69" s="589">
        <f t="shared" si="3"/>
        <v>-34386.328461708908</v>
      </c>
      <c r="R69" s="590"/>
      <c r="S69" s="591" t="s">
        <v>187</v>
      </c>
      <c r="T69" s="584"/>
      <c r="U69" s="476"/>
      <c r="V69" s="476"/>
      <c r="W69" s="476"/>
      <c r="X69" s="476"/>
    </row>
    <row r="70" spans="1:24" s="477" customFormat="1" ht="11.25" customHeight="1">
      <c r="A70" s="125"/>
      <c r="B70" s="585" t="s">
        <v>211</v>
      </c>
      <c r="C70" s="585" t="s">
        <v>180</v>
      </c>
      <c r="D70" s="585" t="s">
        <v>267</v>
      </c>
      <c r="E70" s="67" t="s">
        <v>71</v>
      </c>
      <c r="F70" s="146" t="s">
        <v>72</v>
      </c>
      <c r="G70" s="147">
        <v>46</v>
      </c>
      <c r="H70" s="148" t="s">
        <v>25</v>
      </c>
      <c r="I70" s="147" t="s">
        <v>26</v>
      </c>
      <c r="J70" s="149"/>
      <c r="K70" s="149"/>
      <c r="L70" s="149"/>
      <c r="M70" s="586">
        <v>86</v>
      </c>
      <c r="N70" s="587">
        <f>'통장내역(환율표)'!D94</f>
        <v>6.7490999836524441</v>
      </c>
      <c r="O70" s="588">
        <f t="shared" si="4"/>
        <v>12.742439763569623</v>
      </c>
      <c r="P70" s="589">
        <f t="shared" si="2"/>
        <v>-228227.18</v>
      </c>
      <c r="Q70" s="589">
        <f t="shared" si="3"/>
        <v>-34399.070901472478</v>
      </c>
      <c r="R70" s="590"/>
      <c r="S70" s="592" t="s">
        <v>268</v>
      </c>
      <c r="T70" s="584"/>
      <c r="U70" s="476"/>
      <c r="V70" s="476"/>
      <c r="W70" s="476"/>
      <c r="X70" s="476"/>
    </row>
    <row r="71" spans="1:24" s="477" customFormat="1" ht="11.1" customHeight="1">
      <c r="A71" s="125"/>
      <c r="B71" s="585" t="s">
        <v>211</v>
      </c>
      <c r="C71" s="585"/>
      <c r="D71" s="585" t="s">
        <v>269</v>
      </c>
      <c r="E71" s="67" t="s">
        <v>71</v>
      </c>
      <c r="F71" s="146" t="s">
        <v>72</v>
      </c>
      <c r="G71" s="147">
        <v>47</v>
      </c>
      <c r="H71" s="148" t="s">
        <v>25</v>
      </c>
      <c r="I71" s="147" t="s">
        <v>26</v>
      </c>
      <c r="J71" s="149"/>
      <c r="K71" s="149"/>
      <c r="L71" s="149"/>
      <c r="M71" s="586">
        <v>310</v>
      </c>
      <c r="N71" s="587">
        <f>'통장내역(환율표)'!D94</f>
        <v>6.7490999836524441</v>
      </c>
      <c r="O71" s="588">
        <f t="shared" si="4"/>
        <v>45.932050310541669</v>
      </c>
      <c r="P71" s="589">
        <f t="shared" si="2"/>
        <v>-228537.18</v>
      </c>
      <c r="Q71" s="589">
        <f t="shared" si="3"/>
        <v>-34445.002951783019</v>
      </c>
      <c r="R71" s="590"/>
      <c r="S71" s="592" t="s">
        <v>191</v>
      </c>
      <c r="T71" s="584"/>
      <c r="U71" s="476"/>
      <c r="V71" s="476"/>
      <c r="W71" s="476"/>
      <c r="X71" s="476"/>
    </row>
    <row r="72" spans="1:24" s="477" customFormat="1" ht="11.25" customHeight="1">
      <c r="A72" s="125"/>
      <c r="B72" s="585" t="s">
        <v>211</v>
      </c>
      <c r="C72" s="585"/>
      <c r="D72" s="585" t="s">
        <v>270</v>
      </c>
      <c r="E72" s="67" t="s">
        <v>242</v>
      </c>
      <c r="F72" s="146" t="s">
        <v>72</v>
      </c>
      <c r="G72" s="147">
        <v>48</v>
      </c>
      <c r="H72" s="148" t="s">
        <v>25</v>
      </c>
      <c r="I72" s="147" t="s">
        <v>26</v>
      </c>
      <c r="J72" s="149"/>
      <c r="K72" s="149"/>
      <c r="L72" s="149"/>
      <c r="M72" s="586">
        <v>340</v>
      </c>
      <c r="N72" s="587">
        <f>'통장내역(환율표)'!D94</f>
        <v>6.7490999836524441</v>
      </c>
      <c r="O72" s="588">
        <f t="shared" si="4"/>
        <v>50.377087437368282</v>
      </c>
      <c r="P72" s="589">
        <f t="shared" si="2"/>
        <v>-228877.18</v>
      </c>
      <c r="Q72" s="589">
        <f t="shared" si="3"/>
        <v>-34495.380039220385</v>
      </c>
      <c r="R72" s="590"/>
      <c r="S72" s="592" t="s">
        <v>191</v>
      </c>
      <c r="T72" s="584"/>
      <c r="U72" s="476"/>
      <c r="V72" s="476"/>
      <c r="W72" s="476"/>
      <c r="X72" s="476"/>
    </row>
    <row r="73" spans="1:24" s="477" customFormat="1" ht="11.25" customHeight="1">
      <c r="A73" s="125"/>
      <c r="B73" s="585" t="s">
        <v>211</v>
      </c>
      <c r="C73" s="585" t="s">
        <v>228</v>
      </c>
      <c r="D73" s="585"/>
      <c r="E73" s="67" t="s">
        <v>244</v>
      </c>
      <c r="F73" s="146" t="s">
        <v>72</v>
      </c>
      <c r="G73" s="147">
        <v>49</v>
      </c>
      <c r="H73" s="148" t="s">
        <v>25</v>
      </c>
      <c r="I73" s="147" t="s">
        <v>26</v>
      </c>
      <c r="J73" s="149"/>
      <c r="K73" s="149"/>
      <c r="L73" s="149"/>
      <c r="M73" s="586">
        <v>370</v>
      </c>
      <c r="N73" s="587">
        <f>'통장내역(환율표)'!D94</f>
        <v>6.7490999836524441</v>
      </c>
      <c r="O73" s="588">
        <f t="shared" si="4"/>
        <v>54.822124564194894</v>
      </c>
      <c r="P73" s="589">
        <f t="shared" si="2"/>
        <v>-229247.18</v>
      </c>
      <c r="Q73" s="589">
        <f t="shared" si="3"/>
        <v>-34550.202163784583</v>
      </c>
      <c r="R73" s="590"/>
      <c r="S73" s="593"/>
      <c r="T73" s="584"/>
      <c r="U73" s="476"/>
      <c r="V73" s="476"/>
      <c r="W73" s="476"/>
      <c r="X73" s="476"/>
    </row>
    <row r="74" spans="1:24" s="477" customFormat="1" ht="11.25" customHeight="1">
      <c r="A74" s="125"/>
      <c r="B74" s="585" t="s">
        <v>211</v>
      </c>
      <c r="C74" s="585" t="s">
        <v>263</v>
      </c>
      <c r="D74" s="585"/>
      <c r="E74" s="67" t="s">
        <v>244</v>
      </c>
      <c r="F74" s="146" t="s">
        <v>72</v>
      </c>
      <c r="G74" s="147">
        <v>50</v>
      </c>
      <c r="H74" s="148" t="s">
        <v>25</v>
      </c>
      <c r="I74" s="147" t="s">
        <v>26</v>
      </c>
      <c r="J74" s="149"/>
      <c r="K74" s="149"/>
      <c r="L74" s="149"/>
      <c r="M74" s="586">
        <v>9</v>
      </c>
      <c r="N74" s="587">
        <f>'통장내역(환율표)'!D94</f>
        <v>6.7490999836524441</v>
      </c>
      <c r="O74" s="588">
        <f t="shared" si="4"/>
        <v>1.3335111380479838</v>
      </c>
      <c r="P74" s="589">
        <f t="shared" si="2"/>
        <v>-229256.18</v>
      </c>
      <c r="Q74" s="589">
        <f t="shared" si="3"/>
        <v>-34551.535674922634</v>
      </c>
      <c r="R74" s="590"/>
      <c r="S74" s="593"/>
      <c r="T74" s="584"/>
      <c r="U74" s="476"/>
      <c r="V74" s="476"/>
      <c r="W74" s="476"/>
      <c r="X74" s="476"/>
    </row>
    <row r="75" spans="1:24" s="477" customFormat="1" ht="11.25" customHeight="1">
      <c r="A75" s="125"/>
      <c r="B75" s="585" t="s">
        <v>211</v>
      </c>
      <c r="C75" s="585" t="s">
        <v>232</v>
      </c>
      <c r="D75" s="585"/>
      <c r="E75" s="67" t="s">
        <v>244</v>
      </c>
      <c r="F75" s="146" t="s">
        <v>72</v>
      </c>
      <c r="G75" s="147">
        <v>51</v>
      </c>
      <c r="H75" s="148" t="s">
        <v>25</v>
      </c>
      <c r="I75" s="147" t="s">
        <v>26</v>
      </c>
      <c r="J75" s="149"/>
      <c r="K75" s="149"/>
      <c r="L75" s="149"/>
      <c r="M75" s="586">
        <v>380</v>
      </c>
      <c r="N75" s="587">
        <f>'통장내역(환율표)'!D94</f>
        <v>6.7490999836524441</v>
      </c>
      <c r="O75" s="588">
        <f t="shared" si="4"/>
        <v>56.303803606470431</v>
      </c>
      <c r="P75" s="589">
        <f t="shared" si="2"/>
        <v>-229636.18</v>
      </c>
      <c r="Q75" s="589">
        <f t="shared" si="3"/>
        <v>-34607.839478529102</v>
      </c>
      <c r="R75" s="590"/>
      <c r="S75" s="593"/>
      <c r="T75" s="584"/>
      <c r="U75" s="476"/>
      <c r="V75" s="476"/>
      <c r="W75" s="476"/>
      <c r="X75" s="476"/>
    </row>
    <row r="76" spans="1:24" s="477" customFormat="1" ht="11.25" customHeight="1">
      <c r="A76" s="125"/>
      <c r="B76" s="585" t="s">
        <v>211</v>
      </c>
      <c r="C76" s="585" t="s">
        <v>211</v>
      </c>
      <c r="D76" s="585"/>
      <c r="E76" s="67" t="s">
        <v>49</v>
      </c>
      <c r="F76" s="146" t="s">
        <v>72</v>
      </c>
      <c r="G76" s="147">
        <v>52</v>
      </c>
      <c r="H76" s="148" t="s">
        <v>32</v>
      </c>
      <c r="I76" s="147"/>
      <c r="J76" s="149"/>
      <c r="K76" s="149"/>
      <c r="L76" s="149"/>
      <c r="M76" s="586">
        <v>3.6</v>
      </c>
      <c r="N76" s="587">
        <f>'통장내역(환율표)'!D94</f>
        <v>6.7490999836524441</v>
      </c>
      <c r="O76" s="588">
        <f t="shared" si="4"/>
        <v>0.53340445521919355</v>
      </c>
      <c r="P76" s="589">
        <f t="shared" si="2"/>
        <v>-229639.78</v>
      </c>
      <c r="Q76" s="589">
        <f t="shared" si="3"/>
        <v>-34608.372882984324</v>
      </c>
      <c r="R76" s="590"/>
      <c r="S76" s="592" t="s">
        <v>271</v>
      </c>
      <c r="T76" s="584"/>
      <c r="U76" s="476"/>
      <c r="V76" s="476"/>
      <c r="W76" s="476"/>
      <c r="X76" s="476"/>
    </row>
    <row r="77" spans="1:24" s="477" customFormat="1" ht="11.25" customHeight="1">
      <c r="A77" s="125"/>
      <c r="B77" s="585" t="s">
        <v>211</v>
      </c>
      <c r="C77" s="585" t="s">
        <v>180</v>
      </c>
      <c r="D77" s="585" t="s">
        <v>272</v>
      </c>
      <c r="E77" s="67" t="s">
        <v>273</v>
      </c>
      <c r="F77" s="146" t="s">
        <v>274</v>
      </c>
      <c r="G77" s="147">
        <v>53</v>
      </c>
      <c r="H77" s="148" t="s">
        <v>25</v>
      </c>
      <c r="I77" s="147" t="s">
        <v>26</v>
      </c>
      <c r="J77" s="149"/>
      <c r="K77" s="149"/>
      <c r="L77" s="149"/>
      <c r="M77" s="586">
        <v>13</v>
      </c>
      <c r="N77" s="587">
        <f>'통장내역(환율표)'!D94</f>
        <v>6.7490999836524441</v>
      </c>
      <c r="O77" s="588">
        <f t="shared" si="4"/>
        <v>1.9261827549581989</v>
      </c>
      <c r="P77" s="589">
        <f t="shared" si="2"/>
        <v>-229652.78</v>
      </c>
      <c r="Q77" s="589">
        <f t="shared" si="3"/>
        <v>-34610.29906573928</v>
      </c>
      <c r="R77" s="590"/>
      <c r="S77" s="593"/>
      <c r="T77" s="584"/>
      <c r="U77" s="476"/>
      <c r="V77" s="476"/>
      <c r="W77" s="476"/>
      <c r="X77" s="476"/>
    </row>
    <row r="78" spans="1:24" s="477" customFormat="1" ht="11.25" customHeight="1">
      <c r="A78" s="125"/>
      <c r="B78" s="585" t="s">
        <v>211</v>
      </c>
      <c r="C78" s="585" t="s">
        <v>180</v>
      </c>
      <c r="D78" s="585" t="s">
        <v>275</v>
      </c>
      <c r="E78" s="67" t="s">
        <v>273</v>
      </c>
      <c r="F78" s="146" t="s">
        <v>274</v>
      </c>
      <c r="G78" s="147">
        <v>54</v>
      </c>
      <c r="H78" s="148" t="s">
        <v>25</v>
      </c>
      <c r="I78" s="147" t="s">
        <v>26</v>
      </c>
      <c r="J78" s="149"/>
      <c r="K78" s="149"/>
      <c r="L78" s="149"/>
      <c r="M78" s="586">
        <v>6</v>
      </c>
      <c r="N78" s="587">
        <f>'통장내역(환율표)'!D94</f>
        <v>6.7490999836524441</v>
      </c>
      <c r="O78" s="588">
        <f t="shared" si="4"/>
        <v>0.88900742536532262</v>
      </c>
      <c r="P78" s="589">
        <f t="shared" si="2"/>
        <v>-229658.78</v>
      </c>
      <c r="Q78" s="589">
        <f t="shared" si="3"/>
        <v>-34611.188073164645</v>
      </c>
      <c r="R78" s="590"/>
      <c r="S78" s="593"/>
      <c r="T78" s="584"/>
      <c r="U78" s="476"/>
      <c r="V78" s="476"/>
      <c r="W78" s="476"/>
      <c r="X78" s="476"/>
    </row>
    <row r="79" spans="1:24" s="477" customFormat="1" ht="11.25" customHeight="1">
      <c r="A79" s="125"/>
      <c r="B79" s="585" t="s">
        <v>211</v>
      </c>
      <c r="C79" s="585" t="s">
        <v>180</v>
      </c>
      <c r="D79" s="585" t="s">
        <v>276</v>
      </c>
      <c r="E79" s="67" t="s">
        <v>273</v>
      </c>
      <c r="F79" s="146" t="s">
        <v>274</v>
      </c>
      <c r="G79" s="147">
        <v>55</v>
      </c>
      <c r="H79" s="148" t="s">
        <v>25</v>
      </c>
      <c r="I79" s="147" t="s">
        <v>26</v>
      </c>
      <c r="J79" s="149"/>
      <c r="K79" s="149"/>
      <c r="L79" s="149"/>
      <c r="M79" s="586">
        <v>10</v>
      </c>
      <c r="N79" s="587">
        <f>'통장내역(환율표)'!D94</f>
        <v>6.7490999836524441</v>
      </c>
      <c r="O79" s="588">
        <f t="shared" si="4"/>
        <v>1.4816790422755377</v>
      </c>
      <c r="P79" s="589">
        <f t="shared" si="2"/>
        <v>-229668.78</v>
      </c>
      <c r="Q79" s="589">
        <f t="shared" si="3"/>
        <v>-34612.669752206923</v>
      </c>
      <c r="R79" s="590"/>
      <c r="S79" s="593"/>
      <c r="T79" s="584"/>
      <c r="U79" s="476"/>
      <c r="V79" s="476"/>
      <c r="W79" s="476"/>
      <c r="X79" s="476"/>
    </row>
    <row r="80" spans="1:24" s="477" customFormat="1" ht="11.25" customHeight="1">
      <c r="A80" s="125"/>
      <c r="B80" s="585" t="s">
        <v>211</v>
      </c>
      <c r="C80" s="585" t="s">
        <v>180</v>
      </c>
      <c r="D80" s="585" t="s">
        <v>277</v>
      </c>
      <c r="E80" s="67" t="s">
        <v>273</v>
      </c>
      <c r="F80" s="146" t="s">
        <v>274</v>
      </c>
      <c r="G80" s="147">
        <v>56</v>
      </c>
      <c r="H80" s="148" t="s">
        <v>32</v>
      </c>
      <c r="I80" s="147"/>
      <c r="J80" s="149"/>
      <c r="K80" s="149"/>
      <c r="L80" s="149"/>
      <c r="M80" s="586">
        <v>3.6</v>
      </c>
      <c r="N80" s="587">
        <f>'통장내역(환율표)'!D94</f>
        <v>6.7490999836524441</v>
      </c>
      <c r="O80" s="588">
        <f t="shared" si="4"/>
        <v>0.53340445521919355</v>
      </c>
      <c r="P80" s="589">
        <f t="shared" si="2"/>
        <v>-229672.38</v>
      </c>
      <c r="Q80" s="589">
        <f t="shared" si="3"/>
        <v>-34613.203156662144</v>
      </c>
      <c r="R80" s="590"/>
      <c r="S80" s="592" t="s">
        <v>278</v>
      </c>
      <c r="T80" s="584"/>
      <c r="U80" s="476"/>
      <c r="V80" s="476"/>
      <c r="W80" s="476"/>
      <c r="X80" s="476"/>
    </row>
    <row r="81" spans="1:24" s="477" customFormat="1" ht="11.25" customHeight="1">
      <c r="A81" s="125"/>
      <c r="B81" s="585" t="s">
        <v>211</v>
      </c>
      <c r="C81" s="585" t="s">
        <v>180</v>
      </c>
      <c r="D81" s="585"/>
      <c r="E81" s="67" t="s">
        <v>279</v>
      </c>
      <c r="F81" s="146" t="s">
        <v>274</v>
      </c>
      <c r="G81" s="147">
        <v>57</v>
      </c>
      <c r="H81" s="148" t="s">
        <v>30</v>
      </c>
      <c r="I81" s="147" t="s">
        <v>31</v>
      </c>
      <c r="J81" s="149"/>
      <c r="K81" s="149"/>
      <c r="L81" s="149"/>
      <c r="M81" s="586">
        <v>13</v>
      </c>
      <c r="N81" s="587">
        <f>'통장내역(환율표)'!D94</f>
        <v>6.7490999836524441</v>
      </c>
      <c r="O81" s="588">
        <f t="shared" si="4"/>
        <v>1.9261827549581989</v>
      </c>
      <c r="P81" s="589">
        <f t="shared" si="2"/>
        <v>-229685.38</v>
      </c>
      <c r="Q81" s="589">
        <f t="shared" si="3"/>
        <v>-34615.129339417101</v>
      </c>
      <c r="R81" s="590"/>
      <c r="S81" s="592" t="s">
        <v>280</v>
      </c>
      <c r="T81" s="584"/>
      <c r="U81" s="476"/>
      <c r="V81" s="476"/>
      <c r="W81" s="476"/>
      <c r="X81" s="476"/>
    </row>
    <row r="82" spans="1:24" s="477" customFormat="1" ht="11.25" customHeight="1">
      <c r="A82" s="125"/>
      <c r="B82" s="585" t="s">
        <v>211</v>
      </c>
      <c r="C82" s="585" t="s">
        <v>209</v>
      </c>
      <c r="D82" s="585" t="s">
        <v>281</v>
      </c>
      <c r="E82" s="67" t="s">
        <v>203</v>
      </c>
      <c r="F82" s="146" t="s">
        <v>274</v>
      </c>
      <c r="G82" s="147">
        <v>58</v>
      </c>
      <c r="H82" s="148" t="s">
        <v>25</v>
      </c>
      <c r="I82" s="147" t="s">
        <v>26</v>
      </c>
      <c r="J82" s="149"/>
      <c r="K82" s="149"/>
      <c r="L82" s="149"/>
      <c r="M82" s="586">
        <v>13</v>
      </c>
      <c r="N82" s="587">
        <f>'통장내역(환율표)'!D94</f>
        <v>6.7490999836524441</v>
      </c>
      <c r="O82" s="588">
        <f t="shared" si="4"/>
        <v>1.9261827549581989</v>
      </c>
      <c r="P82" s="589">
        <f t="shared" si="2"/>
        <v>-229698.38</v>
      </c>
      <c r="Q82" s="589">
        <f t="shared" si="3"/>
        <v>-34617.055522172057</v>
      </c>
      <c r="R82" s="590"/>
      <c r="S82" s="593"/>
      <c r="T82" s="584"/>
      <c r="U82" s="476"/>
      <c r="V82" s="476"/>
      <c r="W82" s="476"/>
      <c r="X82" s="476"/>
    </row>
    <row r="83" spans="1:24" s="477" customFormat="1" ht="11.25" customHeight="1">
      <c r="A83" s="125"/>
      <c r="B83" s="585" t="s">
        <v>211</v>
      </c>
      <c r="C83" s="585" t="s">
        <v>209</v>
      </c>
      <c r="D83" s="585" t="s">
        <v>282</v>
      </c>
      <c r="E83" s="67" t="s">
        <v>203</v>
      </c>
      <c r="F83" s="146" t="s">
        <v>274</v>
      </c>
      <c r="G83" s="147">
        <v>59</v>
      </c>
      <c r="H83" s="148" t="s">
        <v>25</v>
      </c>
      <c r="I83" s="147" t="s">
        <v>26</v>
      </c>
      <c r="J83" s="149"/>
      <c r="K83" s="149"/>
      <c r="L83" s="149"/>
      <c r="M83" s="586">
        <v>400</v>
      </c>
      <c r="N83" s="587">
        <f>'통장내역(환율표)'!D94</f>
        <v>6.7490999836524441</v>
      </c>
      <c r="O83" s="588">
        <f t="shared" si="4"/>
        <v>59.267161691021506</v>
      </c>
      <c r="P83" s="589">
        <f t="shared" si="2"/>
        <v>-230098.38</v>
      </c>
      <c r="Q83" s="589">
        <f t="shared" si="3"/>
        <v>-34676.32268386308</v>
      </c>
      <c r="R83" s="590"/>
      <c r="S83" s="592" t="s">
        <v>253</v>
      </c>
      <c r="T83" s="584"/>
      <c r="U83" s="476"/>
      <c r="V83" s="476"/>
      <c r="W83" s="476"/>
      <c r="X83" s="476"/>
    </row>
    <row r="84" spans="1:24" s="477" customFormat="1" ht="11.25" customHeight="1">
      <c r="A84" s="125"/>
      <c r="B84" s="585" t="s">
        <v>211</v>
      </c>
      <c r="C84" s="585" t="s">
        <v>209</v>
      </c>
      <c r="D84" s="585" t="s">
        <v>283</v>
      </c>
      <c r="E84" s="67" t="s">
        <v>64</v>
      </c>
      <c r="F84" s="146" t="s">
        <v>274</v>
      </c>
      <c r="G84" s="147">
        <v>60</v>
      </c>
      <c r="H84" s="148" t="s">
        <v>25</v>
      </c>
      <c r="I84" s="147" t="s">
        <v>26</v>
      </c>
      <c r="J84" s="149"/>
      <c r="K84" s="149"/>
      <c r="L84" s="149"/>
      <c r="M84" s="586">
        <v>400</v>
      </c>
      <c r="N84" s="587">
        <f>'통장내역(환율표)'!D94</f>
        <v>6.7490999836524441</v>
      </c>
      <c r="O84" s="588">
        <f t="shared" si="4"/>
        <v>59.267161691021506</v>
      </c>
      <c r="P84" s="589">
        <f t="shared" si="2"/>
        <v>-230498.38</v>
      </c>
      <c r="Q84" s="589">
        <f t="shared" si="3"/>
        <v>-34735.589845554103</v>
      </c>
      <c r="R84" s="590"/>
      <c r="S84" s="592" t="s">
        <v>255</v>
      </c>
      <c r="T84" s="584"/>
      <c r="U84" s="476"/>
      <c r="V84" s="476"/>
      <c r="W84" s="476"/>
      <c r="X84" s="476"/>
    </row>
    <row r="85" spans="1:24" s="477" customFormat="1" ht="11.25" customHeight="1">
      <c r="A85" s="125"/>
      <c r="B85" s="585" t="s">
        <v>211</v>
      </c>
      <c r="C85" s="585" t="s">
        <v>237</v>
      </c>
      <c r="D85" s="585" t="s">
        <v>284</v>
      </c>
      <c r="E85" s="67" t="s">
        <v>30</v>
      </c>
      <c r="F85" s="146" t="s">
        <v>274</v>
      </c>
      <c r="G85" s="147">
        <v>61</v>
      </c>
      <c r="H85" s="148" t="s">
        <v>25</v>
      </c>
      <c r="I85" s="147" t="s">
        <v>26</v>
      </c>
      <c r="J85" s="149"/>
      <c r="K85" s="149"/>
      <c r="L85" s="149"/>
      <c r="M85" s="586">
        <v>400</v>
      </c>
      <c r="N85" s="587">
        <f>'통장내역(환율표)'!D94</f>
        <v>6.7490999836524441</v>
      </c>
      <c r="O85" s="588">
        <f t="shared" si="4"/>
        <v>59.267161691021506</v>
      </c>
      <c r="P85" s="589">
        <f t="shared" si="2"/>
        <v>-230898.38</v>
      </c>
      <c r="Q85" s="589">
        <f t="shared" si="3"/>
        <v>-34794.857007245126</v>
      </c>
      <c r="R85" s="590"/>
      <c r="S85" s="591" t="s">
        <v>285</v>
      </c>
      <c r="T85" s="584"/>
      <c r="U85" s="476"/>
      <c r="V85" s="476"/>
      <c r="W85" s="476"/>
      <c r="X85" s="476"/>
    </row>
    <row r="86" spans="1:24" s="477" customFormat="1" ht="11.25" customHeight="1">
      <c r="A86" s="125"/>
      <c r="B86" s="585" t="s">
        <v>211</v>
      </c>
      <c r="C86" s="585" t="s">
        <v>286</v>
      </c>
      <c r="D86" s="585"/>
      <c r="E86" s="67" t="s">
        <v>279</v>
      </c>
      <c r="F86" s="146" t="s">
        <v>274</v>
      </c>
      <c r="G86" s="147">
        <v>62</v>
      </c>
      <c r="H86" s="148" t="s">
        <v>25</v>
      </c>
      <c r="I86" s="147" t="s">
        <v>26</v>
      </c>
      <c r="J86" s="149"/>
      <c r="K86" s="149"/>
      <c r="L86" s="149"/>
      <c r="M86" s="586">
        <v>10.56</v>
      </c>
      <c r="N86" s="587">
        <f>'통장내역(환율표)'!D94</f>
        <v>6.7490999836524441</v>
      </c>
      <c r="O86" s="588">
        <f t="shared" si="4"/>
        <v>1.5646530686429678</v>
      </c>
      <c r="P86" s="589">
        <f t="shared" ref="P86:P149" si="5">P85+J86-M86</f>
        <v>-230908.94</v>
      </c>
      <c r="Q86" s="589">
        <f t="shared" ref="Q86:Q149" si="6">Q85+L86-O86</f>
        <v>-34796.421660313768</v>
      </c>
      <c r="R86" s="590"/>
      <c r="S86" s="592" t="s">
        <v>287</v>
      </c>
      <c r="T86" s="584"/>
      <c r="U86" s="476"/>
      <c r="V86" s="476"/>
      <c r="W86" s="476"/>
      <c r="X86" s="476"/>
    </row>
    <row r="87" spans="1:24" s="477" customFormat="1" ht="11.25" customHeight="1">
      <c r="A87" s="125"/>
      <c r="B87" s="585" t="s">
        <v>211</v>
      </c>
      <c r="C87" s="585" t="s">
        <v>286</v>
      </c>
      <c r="D87" s="585"/>
      <c r="E87" s="67" t="s">
        <v>279</v>
      </c>
      <c r="F87" s="146" t="s">
        <v>274</v>
      </c>
      <c r="G87" s="147">
        <v>63</v>
      </c>
      <c r="H87" s="148" t="s">
        <v>25</v>
      </c>
      <c r="I87" s="147" t="s">
        <v>26</v>
      </c>
      <c r="J87" s="149"/>
      <c r="K87" s="149"/>
      <c r="L87" s="149"/>
      <c r="M87" s="586">
        <v>400</v>
      </c>
      <c r="N87" s="587">
        <f>'통장내역(환율표)'!D94</f>
        <v>6.7490999836524441</v>
      </c>
      <c r="O87" s="588">
        <f t="shared" si="4"/>
        <v>59.267161691021506</v>
      </c>
      <c r="P87" s="589">
        <f t="shared" si="5"/>
        <v>-231308.94</v>
      </c>
      <c r="Q87" s="589">
        <f t="shared" si="6"/>
        <v>-34855.688822004791</v>
      </c>
      <c r="R87" s="590"/>
      <c r="S87" s="592" t="s">
        <v>288</v>
      </c>
      <c r="T87" s="584"/>
      <c r="U87" s="476"/>
      <c r="V87" s="476"/>
      <c r="W87" s="476"/>
      <c r="X87" s="476"/>
    </row>
    <row r="88" spans="1:24" s="477" customFormat="1" ht="11.25" customHeight="1">
      <c r="A88" s="125"/>
      <c r="B88" s="585" t="s">
        <v>211</v>
      </c>
      <c r="C88" s="585" t="s">
        <v>211</v>
      </c>
      <c r="D88" s="585"/>
      <c r="E88" s="67" t="s">
        <v>49</v>
      </c>
      <c r="F88" s="146" t="s">
        <v>274</v>
      </c>
      <c r="G88" s="147">
        <v>64</v>
      </c>
      <c r="H88" s="148" t="s">
        <v>32</v>
      </c>
      <c r="I88" s="147"/>
      <c r="J88" s="149"/>
      <c r="K88" s="149"/>
      <c r="L88" s="149"/>
      <c r="M88" s="586">
        <v>3.6</v>
      </c>
      <c r="N88" s="587">
        <f>'통장내역(환율표)'!D94</f>
        <v>6.7490999836524441</v>
      </c>
      <c r="O88" s="588">
        <f t="shared" si="4"/>
        <v>0.53340445521919355</v>
      </c>
      <c r="P88" s="589">
        <f t="shared" si="5"/>
        <v>-231312.54</v>
      </c>
      <c r="Q88" s="589">
        <f t="shared" si="6"/>
        <v>-34856.222226460013</v>
      </c>
      <c r="R88" s="590"/>
      <c r="S88" s="592" t="s">
        <v>289</v>
      </c>
      <c r="T88" s="584"/>
      <c r="U88" s="476"/>
      <c r="V88" s="476"/>
      <c r="W88" s="476"/>
      <c r="X88" s="476"/>
    </row>
    <row r="89" spans="1:24" s="477" customFormat="1" ht="11.25" customHeight="1">
      <c r="A89" s="125"/>
      <c r="B89" s="585" t="s">
        <v>211</v>
      </c>
      <c r="C89" s="585" t="s">
        <v>251</v>
      </c>
      <c r="D89" s="585" t="s">
        <v>290</v>
      </c>
      <c r="E89" s="67" t="s">
        <v>71</v>
      </c>
      <c r="F89" s="146" t="s">
        <v>75</v>
      </c>
      <c r="G89" s="147">
        <v>65</v>
      </c>
      <c r="H89" s="148" t="s">
        <v>25</v>
      </c>
      <c r="I89" s="147" t="s">
        <v>26</v>
      </c>
      <c r="J89" s="149"/>
      <c r="K89" s="149"/>
      <c r="L89" s="149"/>
      <c r="M89" s="586">
        <v>562</v>
      </c>
      <c r="N89" s="587">
        <f>'통장내역(환율표)'!D94</f>
        <v>6.7490999836524441</v>
      </c>
      <c r="O89" s="588">
        <f t="shared" si="4"/>
        <v>83.270362175885211</v>
      </c>
      <c r="P89" s="589">
        <f t="shared" si="5"/>
        <v>-231874.54</v>
      </c>
      <c r="Q89" s="589">
        <f t="shared" si="6"/>
        <v>-34939.492588635898</v>
      </c>
      <c r="R89" s="590"/>
      <c r="S89" s="592" t="s">
        <v>191</v>
      </c>
      <c r="T89" s="584"/>
      <c r="U89" s="476"/>
      <c r="V89" s="476"/>
      <c r="W89" s="476"/>
      <c r="X89" s="476"/>
    </row>
    <row r="90" spans="1:24" s="477" customFormat="1" ht="11.25" customHeight="1">
      <c r="A90" s="125"/>
      <c r="B90" s="585" t="s">
        <v>211</v>
      </c>
      <c r="C90" s="585" t="s">
        <v>209</v>
      </c>
      <c r="D90" s="585" t="s">
        <v>291</v>
      </c>
      <c r="E90" s="67" t="s">
        <v>71</v>
      </c>
      <c r="F90" s="146" t="s">
        <v>75</v>
      </c>
      <c r="G90" s="147">
        <v>66</v>
      </c>
      <c r="H90" s="148" t="s">
        <v>25</v>
      </c>
      <c r="I90" s="147" t="s">
        <v>26</v>
      </c>
      <c r="J90" s="149"/>
      <c r="K90" s="149"/>
      <c r="L90" s="149"/>
      <c r="M90" s="586">
        <v>400</v>
      </c>
      <c r="N90" s="587">
        <f>'통장내역(환율표)'!D94</f>
        <v>6.7490999836524441</v>
      </c>
      <c r="O90" s="588">
        <f t="shared" ref="O90:O153" si="7">M90/N90</f>
        <v>59.267161691021506</v>
      </c>
      <c r="P90" s="589">
        <f t="shared" si="5"/>
        <v>-232274.54</v>
      </c>
      <c r="Q90" s="589">
        <f t="shared" si="6"/>
        <v>-34998.759750326921</v>
      </c>
      <c r="R90" s="590"/>
      <c r="S90" s="591" t="s">
        <v>187</v>
      </c>
      <c r="T90" s="584"/>
      <c r="U90" s="476"/>
      <c r="V90" s="476"/>
      <c r="W90" s="476"/>
      <c r="X90" s="476"/>
    </row>
    <row r="91" spans="1:24" s="477" customFormat="1" ht="11.25" customHeight="1">
      <c r="A91" s="125"/>
      <c r="B91" s="585" t="s">
        <v>211</v>
      </c>
      <c r="C91" s="585" t="s">
        <v>209</v>
      </c>
      <c r="D91" s="585" t="s">
        <v>292</v>
      </c>
      <c r="E91" s="67" t="s">
        <v>71</v>
      </c>
      <c r="F91" s="146" t="s">
        <v>75</v>
      </c>
      <c r="G91" s="147">
        <v>67</v>
      </c>
      <c r="H91" s="148" t="s">
        <v>25</v>
      </c>
      <c r="I91" s="147" t="s">
        <v>26</v>
      </c>
      <c r="J91" s="149"/>
      <c r="K91" s="149"/>
      <c r="L91" s="149"/>
      <c r="M91" s="586">
        <v>400</v>
      </c>
      <c r="N91" s="587">
        <f>'통장내역(환율표)'!D94</f>
        <v>6.7490999836524441</v>
      </c>
      <c r="O91" s="588">
        <f t="shared" si="7"/>
        <v>59.267161691021506</v>
      </c>
      <c r="P91" s="589">
        <f t="shared" si="5"/>
        <v>-232674.54</v>
      </c>
      <c r="Q91" s="589">
        <f t="shared" si="6"/>
        <v>-35058.026912017944</v>
      </c>
      <c r="R91" s="590"/>
      <c r="S91" s="592" t="s">
        <v>268</v>
      </c>
      <c r="T91" s="584"/>
      <c r="U91" s="476"/>
      <c r="V91" s="476"/>
      <c r="W91" s="476"/>
      <c r="X91" s="476"/>
    </row>
    <row r="92" spans="1:24" s="477" customFormat="1" ht="11.25" customHeight="1">
      <c r="A92" s="125"/>
      <c r="B92" s="585" t="s">
        <v>211</v>
      </c>
      <c r="C92" s="585" t="s">
        <v>209</v>
      </c>
      <c r="D92" s="585" t="s">
        <v>293</v>
      </c>
      <c r="E92" s="67" t="s">
        <v>71</v>
      </c>
      <c r="F92" s="146" t="s">
        <v>75</v>
      </c>
      <c r="G92" s="147">
        <v>68</v>
      </c>
      <c r="H92" s="148" t="s">
        <v>25</v>
      </c>
      <c r="I92" s="147" t="s">
        <v>26</v>
      </c>
      <c r="J92" s="149"/>
      <c r="K92" s="149"/>
      <c r="L92" s="149"/>
      <c r="M92" s="586">
        <v>3</v>
      </c>
      <c r="N92" s="587">
        <f>'통장내역(환율표)'!D94</f>
        <v>6.7490999836524441</v>
      </c>
      <c r="O92" s="588">
        <f t="shared" si="7"/>
        <v>0.44450371268266131</v>
      </c>
      <c r="P92" s="589">
        <f t="shared" si="5"/>
        <v>-232677.54</v>
      </c>
      <c r="Q92" s="589">
        <f t="shared" si="6"/>
        <v>-35058.47141573063</v>
      </c>
      <c r="R92" s="590"/>
      <c r="S92" s="593"/>
      <c r="T92" s="584"/>
      <c r="U92" s="476"/>
      <c r="V92" s="476"/>
      <c r="W92" s="476"/>
      <c r="X92" s="476"/>
    </row>
    <row r="93" spans="1:24" s="477" customFormat="1" ht="11.25" customHeight="1">
      <c r="A93" s="125"/>
      <c r="B93" s="585" t="s">
        <v>211</v>
      </c>
      <c r="C93" s="585" t="s">
        <v>237</v>
      </c>
      <c r="D93" s="585" t="s">
        <v>294</v>
      </c>
      <c r="E93" s="67" t="s">
        <v>71</v>
      </c>
      <c r="F93" s="146" t="s">
        <v>75</v>
      </c>
      <c r="G93" s="147">
        <v>69</v>
      </c>
      <c r="H93" s="148" t="s">
        <v>25</v>
      </c>
      <c r="I93" s="147" t="s">
        <v>26</v>
      </c>
      <c r="J93" s="149"/>
      <c r="K93" s="149"/>
      <c r="L93" s="149"/>
      <c r="M93" s="586">
        <v>13</v>
      </c>
      <c r="N93" s="587">
        <f>'통장내역(환율표)'!D94</f>
        <v>6.7490999836524441</v>
      </c>
      <c r="O93" s="588">
        <f t="shared" si="7"/>
        <v>1.9261827549581989</v>
      </c>
      <c r="P93" s="589">
        <f t="shared" si="5"/>
        <v>-232690.54</v>
      </c>
      <c r="Q93" s="589">
        <f t="shared" si="6"/>
        <v>-35060.397598485586</v>
      </c>
      <c r="R93" s="590"/>
      <c r="S93" s="593"/>
      <c r="T93" s="584"/>
      <c r="U93" s="476"/>
      <c r="V93" s="476"/>
      <c r="W93" s="476"/>
      <c r="X93" s="476"/>
    </row>
    <row r="94" spans="1:24" s="477" customFormat="1" ht="11.25" customHeight="1">
      <c r="A94" s="125"/>
      <c r="B94" s="585" t="s">
        <v>211</v>
      </c>
      <c r="C94" s="585" t="s">
        <v>237</v>
      </c>
      <c r="D94" s="585" t="s">
        <v>295</v>
      </c>
      <c r="E94" s="67" t="s">
        <v>71</v>
      </c>
      <c r="F94" s="146" t="s">
        <v>75</v>
      </c>
      <c r="G94" s="147">
        <v>70</v>
      </c>
      <c r="H94" s="148" t="s">
        <v>25</v>
      </c>
      <c r="I94" s="147" t="s">
        <v>26</v>
      </c>
      <c r="J94" s="149"/>
      <c r="K94" s="149"/>
      <c r="L94" s="149"/>
      <c r="M94" s="586">
        <v>56</v>
      </c>
      <c r="N94" s="587">
        <f>'통장내역(환율표)'!D94</f>
        <v>6.7490999836524441</v>
      </c>
      <c r="O94" s="588">
        <f t="shared" si="7"/>
        <v>8.2974026367430103</v>
      </c>
      <c r="P94" s="589">
        <f t="shared" si="5"/>
        <v>-232746.54</v>
      </c>
      <c r="Q94" s="589">
        <f t="shared" si="6"/>
        <v>-35068.695001122331</v>
      </c>
      <c r="R94" s="590"/>
      <c r="S94" s="593"/>
      <c r="T94" s="584"/>
      <c r="U94" s="476"/>
      <c r="V94" s="476"/>
      <c r="W94" s="476"/>
      <c r="X94" s="476"/>
    </row>
    <row r="95" spans="1:24" s="477" customFormat="1" ht="11.25" customHeight="1">
      <c r="A95" s="125"/>
      <c r="B95" s="585" t="s">
        <v>211</v>
      </c>
      <c r="C95" s="585" t="s">
        <v>237</v>
      </c>
      <c r="D95" s="585" t="s">
        <v>296</v>
      </c>
      <c r="E95" s="67" t="s">
        <v>71</v>
      </c>
      <c r="F95" s="146" t="s">
        <v>75</v>
      </c>
      <c r="G95" s="147">
        <v>71</v>
      </c>
      <c r="H95" s="148" t="s">
        <v>25</v>
      </c>
      <c r="I95" s="147" t="s">
        <v>26</v>
      </c>
      <c r="J95" s="149"/>
      <c r="K95" s="149"/>
      <c r="L95" s="149"/>
      <c r="M95" s="586">
        <v>11</v>
      </c>
      <c r="N95" s="587">
        <f>'통장내역(환율표)'!D94</f>
        <v>6.7490999836524441</v>
      </c>
      <c r="O95" s="588">
        <f t="shared" si="7"/>
        <v>1.6298469465030914</v>
      </c>
      <c r="P95" s="589">
        <f t="shared" si="5"/>
        <v>-232757.54</v>
      </c>
      <c r="Q95" s="589">
        <f t="shared" si="6"/>
        <v>-35070.324848068834</v>
      </c>
      <c r="R95" s="590"/>
      <c r="S95" s="593"/>
      <c r="T95" s="584"/>
      <c r="U95" s="476"/>
      <c r="V95" s="476"/>
      <c r="W95" s="476"/>
      <c r="X95" s="476"/>
    </row>
    <row r="96" spans="1:24" s="477" customFormat="1" ht="11.25" customHeight="1">
      <c r="A96" s="125"/>
      <c r="B96" s="585" t="s">
        <v>211</v>
      </c>
      <c r="C96" s="585" t="s">
        <v>237</v>
      </c>
      <c r="D96" s="585" t="s">
        <v>297</v>
      </c>
      <c r="E96" s="67" t="s">
        <v>71</v>
      </c>
      <c r="F96" s="146" t="s">
        <v>75</v>
      </c>
      <c r="G96" s="147">
        <v>72</v>
      </c>
      <c r="H96" s="148" t="s">
        <v>25</v>
      </c>
      <c r="I96" s="147" t="s">
        <v>26</v>
      </c>
      <c r="J96" s="149"/>
      <c r="K96" s="149"/>
      <c r="L96" s="149"/>
      <c r="M96" s="586">
        <v>15</v>
      </c>
      <c r="N96" s="587">
        <f>'통장내역(환율표)'!D94</f>
        <v>6.7490999836524441</v>
      </c>
      <c r="O96" s="588">
        <f t="shared" si="7"/>
        <v>2.2225185634133062</v>
      </c>
      <c r="P96" s="589">
        <f t="shared" si="5"/>
        <v>-232772.54</v>
      </c>
      <c r="Q96" s="589">
        <f t="shared" si="6"/>
        <v>-35072.54736663225</v>
      </c>
      <c r="R96" s="590"/>
      <c r="S96" s="593"/>
      <c r="T96" s="584"/>
      <c r="U96" s="476"/>
      <c r="V96" s="476"/>
      <c r="W96" s="476"/>
      <c r="X96" s="476"/>
    </row>
    <row r="97" spans="1:24" s="477" customFormat="1" ht="11.25" customHeight="1">
      <c r="A97" s="125"/>
      <c r="B97" s="585" t="s">
        <v>211</v>
      </c>
      <c r="C97" s="585" t="s">
        <v>237</v>
      </c>
      <c r="D97" s="585" t="s">
        <v>298</v>
      </c>
      <c r="E97" s="67" t="s">
        <v>71</v>
      </c>
      <c r="F97" s="146" t="s">
        <v>75</v>
      </c>
      <c r="G97" s="147">
        <v>73</v>
      </c>
      <c r="H97" s="148" t="s">
        <v>32</v>
      </c>
      <c r="I97" s="147"/>
      <c r="J97" s="149"/>
      <c r="K97" s="149"/>
      <c r="L97" s="149"/>
      <c r="M97" s="586">
        <v>3.6</v>
      </c>
      <c r="N97" s="587">
        <f>'통장내역(환율표)'!D94</f>
        <v>6.7490999836524441</v>
      </c>
      <c r="O97" s="588">
        <f t="shared" si="7"/>
        <v>0.53340445521919355</v>
      </c>
      <c r="P97" s="589">
        <f t="shared" si="5"/>
        <v>-232776.14</v>
      </c>
      <c r="Q97" s="589">
        <f t="shared" si="6"/>
        <v>-35073.080771087472</v>
      </c>
      <c r="R97" s="590"/>
      <c r="S97" s="592" t="s">
        <v>299</v>
      </c>
      <c r="T97" s="584"/>
      <c r="U97" s="476"/>
      <c r="V97" s="476"/>
      <c r="W97" s="476"/>
      <c r="X97" s="476"/>
    </row>
    <row r="98" spans="1:24" s="477" customFormat="1" ht="11.25" customHeight="1">
      <c r="A98" s="125"/>
      <c r="B98" s="585" t="s">
        <v>211</v>
      </c>
      <c r="C98" s="585" t="s">
        <v>237</v>
      </c>
      <c r="D98" s="585" t="s">
        <v>300</v>
      </c>
      <c r="E98" s="67" t="s">
        <v>71</v>
      </c>
      <c r="F98" s="146" t="s">
        <v>75</v>
      </c>
      <c r="G98" s="147">
        <v>74</v>
      </c>
      <c r="H98" s="148" t="s">
        <v>25</v>
      </c>
      <c r="I98" s="147" t="s">
        <v>26</v>
      </c>
      <c r="J98" s="149"/>
      <c r="K98" s="149"/>
      <c r="L98" s="149"/>
      <c r="M98" s="586">
        <v>824</v>
      </c>
      <c r="N98" s="587">
        <f>'통장내역(환율표)'!D94</f>
        <v>6.7490999836524441</v>
      </c>
      <c r="O98" s="588">
        <f t="shared" si="7"/>
        <v>122.0903530835043</v>
      </c>
      <c r="P98" s="589">
        <f t="shared" si="5"/>
        <v>-233600.14</v>
      </c>
      <c r="Q98" s="589">
        <f t="shared" si="6"/>
        <v>-35195.171124170978</v>
      </c>
      <c r="R98" s="590"/>
      <c r="S98" s="593"/>
      <c r="T98" s="584"/>
      <c r="U98" s="476"/>
      <c r="V98" s="476"/>
      <c r="W98" s="476"/>
      <c r="X98" s="476"/>
    </row>
    <row r="99" spans="1:24" s="477" customFormat="1" ht="11.25" customHeight="1">
      <c r="A99" s="125"/>
      <c r="B99" s="585" t="s">
        <v>211</v>
      </c>
      <c r="C99" s="585"/>
      <c r="D99" s="585" t="s">
        <v>301</v>
      </c>
      <c r="E99" s="67" t="s">
        <v>302</v>
      </c>
      <c r="F99" s="146" t="s">
        <v>75</v>
      </c>
      <c r="G99" s="147">
        <v>75</v>
      </c>
      <c r="H99" s="148" t="s">
        <v>25</v>
      </c>
      <c r="I99" s="147" t="s">
        <v>26</v>
      </c>
      <c r="J99" s="149"/>
      <c r="K99" s="149"/>
      <c r="L99" s="149"/>
      <c r="M99" s="586">
        <v>1365</v>
      </c>
      <c r="N99" s="587">
        <f>'통장내역(환율표)'!D94</f>
        <v>6.7490999836524441</v>
      </c>
      <c r="O99" s="588">
        <f t="shared" si="7"/>
        <v>202.24918927061088</v>
      </c>
      <c r="P99" s="589">
        <f t="shared" si="5"/>
        <v>-234965.14</v>
      </c>
      <c r="Q99" s="589">
        <f t="shared" si="6"/>
        <v>-35397.420313441587</v>
      </c>
      <c r="R99" s="590"/>
      <c r="S99" s="592" t="s">
        <v>191</v>
      </c>
      <c r="T99" s="584"/>
      <c r="U99" s="476"/>
      <c r="V99" s="476"/>
      <c r="W99" s="476"/>
      <c r="X99" s="476"/>
    </row>
    <row r="100" spans="1:24" s="477" customFormat="1" ht="11.25" customHeight="1">
      <c r="A100" s="125"/>
      <c r="B100" s="585" t="s">
        <v>211</v>
      </c>
      <c r="C100" s="585"/>
      <c r="D100" s="585" t="s">
        <v>303</v>
      </c>
      <c r="E100" s="67" t="s">
        <v>279</v>
      </c>
      <c r="F100" s="146" t="s">
        <v>75</v>
      </c>
      <c r="G100" s="147">
        <v>76</v>
      </c>
      <c r="H100" s="148" t="s">
        <v>25</v>
      </c>
      <c r="I100" s="147" t="s">
        <v>26</v>
      </c>
      <c r="J100" s="149"/>
      <c r="K100" s="149"/>
      <c r="L100" s="149"/>
      <c r="M100" s="586">
        <v>910</v>
      </c>
      <c r="N100" s="587">
        <f>'통장내역(환율표)'!D94</f>
        <v>6.7490999836524441</v>
      </c>
      <c r="O100" s="588">
        <f t="shared" si="7"/>
        <v>134.83279284707393</v>
      </c>
      <c r="P100" s="589">
        <f t="shared" si="5"/>
        <v>-235875.14</v>
      </c>
      <c r="Q100" s="589">
        <f t="shared" si="6"/>
        <v>-35532.253106288663</v>
      </c>
      <c r="R100" s="590"/>
      <c r="S100" s="592" t="s">
        <v>191</v>
      </c>
      <c r="T100" s="584"/>
      <c r="U100" s="476"/>
      <c r="V100" s="476"/>
      <c r="W100" s="476"/>
      <c r="X100" s="476"/>
    </row>
    <row r="101" spans="1:24" s="477" customFormat="1" ht="11.25" customHeight="1">
      <c r="A101" s="125"/>
      <c r="B101" s="585" t="s">
        <v>211</v>
      </c>
      <c r="C101" s="585"/>
      <c r="D101" s="585" t="s">
        <v>304</v>
      </c>
      <c r="E101" s="67" t="s">
        <v>305</v>
      </c>
      <c r="F101" s="146" t="s">
        <v>75</v>
      </c>
      <c r="G101" s="147">
        <v>77</v>
      </c>
      <c r="H101" s="148" t="s">
        <v>25</v>
      </c>
      <c r="I101" s="147" t="s">
        <v>26</v>
      </c>
      <c r="J101" s="149"/>
      <c r="K101" s="149"/>
      <c r="L101" s="149"/>
      <c r="M101" s="586">
        <v>2275</v>
      </c>
      <c r="N101" s="587">
        <f>'통장내역(환율표)'!D94</f>
        <v>6.7490999836524441</v>
      </c>
      <c r="O101" s="588">
        <f t="shared" si="7"/>
        <v>337.08198211768479</v>
      </c>
      <c r="P101" s="589">
        <f t="shared" si="5"/>
        <v>-238150.14</v>
      </c>
      <c r="Q101" s="589">
        <f t="shared" si="6"/>
        <v>-35869.335088406347</v>
      </c>
      <c r="R101" s="590"/>
      <c r="S101" s="592" t="s">
        <v>306</v>
      </c>
      <c r="T101" s="584"/>
      <c r="U101" s="476"/>
      <c r="V101" s="476"/>
      <c r="W101" s="476"/>
      <c r="X101" s="476"/>
    </row>
    <row r="102" spans="1:24" s="477" customFormat="1" ht="11.25" customHeight="1">
      <c r="A102" s="125"/>
      <c r="B102" s="585" t="s">
        <v>211</v>
      </c>
      <c r="C102" s="585" t="s">
        <v>216</v>
      </c>
      <c r="D102" s="585"/>
      <c r="E102" s="67" t="s">
        <v>244</v>
      </c>
      <c r="F102" s="146" t="s">
        <v>75</v>
      </c>
      <c r="G102" s="147">
        <v>78</v>
      </c>
      <c r="H102" s="148" t="s">
        <v>25</v>
      </c>
      <c r="I102" s="147" t="s">
        <v>26</v>
      </c>
      <c r="J102" s="149"/>
      <c r="K102" s="149"/>
      <c r="L102" s="149"/>
      <c r="M102" s="586">
        <v>505.1</v>
      </c>
      <c r="N102" s="587">
        <f>'통장내역(환율표)'!D94</f>
        <v>6.7490999836524441</v>
      </c>
      <c r="O102" s="588">
        <f t="shared" si="7"/>
        <v>74.839608425337403</v>
      </c>
      <c r="P102" s="589">
        <f t="shared" si="5"/>
        <v>-238655.24000000002</v>
      </c>
      <c r="Q102" s="589">
        <f t="shared" si="6"/>
        <v>-35944.174696831687</v>
      </c>
      <c r="R102" s="590"/>
      <c r="S102" s="593"/>
      <c r="T102" s="584"/>
      <c r="U102" s="476"/>
      <c r="V102" s="476"/>
      <c r="W102" s="476"/>
      <c r="X102" s="476"/>
    </row>
    <row r="103" spans="1:24" s="477" customFormat="1" ht="11.25" customHeight="1">
      <c r="A103" s="125"/>
      <c r="B103" s="585" t="s">
        <v>211</v>
      </c>
      <c r="C103" s="585" t="s">
        <v>172</v>
      </c>
      <c r="D103" s="585"/>
      <c r="E103" s="67" t="s">
        <v>244</v>
      </c>
      <c r="F103" s="146" t="s">
        <v>75</v>
      </c>
      <c r="G103" s="147">
        <v>79</v>
      </c>
      <c r="H103" s="148" t="s">
        <v>25</v>
      </c>
      <c r="I103" s="147" t="s">
        <v>26</v>
      </c>
      <c r="J103" s="149"/>
      <c r="K103" s="149"/>
      <c r="L103" s="149"/>
      <c r="M103" s="586">
        <v>1224.5999999999999</v>
      </c>
      <c r="N103" s="587">
        <f>'통장내역(환율표)'!D94</f>
        <v>6.7490999836524441</v>
      </c>
      <c r="O103" s="588">
        <f t="shared" si="7"/>
        <v>181.44641551706232</v>
      </c>
      <c r="P103" s="589">
        <f t="shared" si="5"/>
        <v>-239879.84000000003</v>
      </c>
      <c r="Q103" s="589">
        <f t="shared" si="6"/>
        <v>-36125.621112348752</v>
      </c>
      <c r="R103" s="590"/>
      <c r="S103" s="593"/>
      <c r="T103" s="584"/>
      <c r="U103" s="476"/>
      <c r="V103" s="476"/>
      <c r="W103" s="476"/>
      <c r="X103" s="476"/>
    </row>
    <row r="104" spans="1:24" s="477" customFormat="1" ht="11.25" customHeight="1">
      <c r="A104" s="125"/>
      <c r="B104" s="585" t="s">
        <v>211</v>
      </c>
      <c r="C104" s="585" t="s">
        <v>211</v>
      </c>
      <c r="D104" s="585"/>
      <c r="E104" s="67" t="s">
        <v>49</v>
      </c>
      <c r="F104" s="146" t="s">
        <v>75</v>
      </c>
      <c r="G104" s="147">
        <v>80</v>
      </c>
      <c r="H104" s="148" t="s">
        <v>32</v>
      </c>
      <c r="I104" s="147"/>
      <c r="J104" s="149"/>
      <c r="K104" s="149"/>
      <c r="L104" s="149"/>
      <c r="M104" s="586">
        <v>3.6</v>
      </c>
      <c r="N104" s="587">
        <f>'통장내역(환율표)'!D94</f>
        <v>6.7490999836524441</v>
      </c>
      <c r="O104" s="588">
        <f t="shared" si="7"/>
        <v>0.53340445521919355</v>
      </c>
      <c r="P104" s="589">
        <f t="shared" si="5"/>
        <v>-239883.44000000003</v>
      </c>
      <c r="Q104" s="589">
        <f t="shared" si="6"/>
        <v>-36126.154516803974</v>
      </c>
      <c r="R104" s="590"/>
      <c r="S104" s="592" t="s">
        <v>195</v>
      </c>
      <c r="T104" s="584"/>
      <c r="U104" s="476"/>
      <c r="V104" s="476"/>
      <c r="W104" s="476"/>
      <c r="X104" s="476"/>
    </row>
    <row r="105" spans="1:24" s="477" customFormat="1" ht="11.25" customHeight="1">
      <c r="A105" s="125"/>
      <c r="B105" s="585" t="s">
        <v>211</v>
      </c>
      <c r="C105" s="585" t="s">
        <v>307</v>
      </c>
      <c r="D105" s="585"/>
      <c r="E105" s="67" t="s">
        <v>244</v>
      </c>
      <c r="F105" s="146" t="s">
        <v>75</v>
      </c>
      <c r="G105" s="147">
        <v>81</v>
      </c>
      <c r="H105" s="148" t="s">
        <v>32</v>
      </c>
      <c r="I105" s="147" t="s">
        <v>31</v>
      </c>
      <c r="J105" s="149"/>
      <c r="K105" s="149"/>
      <c r="L105" s="149"/>
      <c r="M105" s="586">
        <v>490.7</v>
      </c>
      <c r="N105" s="587">
        <f>'통장내역(환율표)'!D94</f>
        <v>6.7490999836524441</v>
      </c>
      <c r="O105" s="588">
        <f t="shared" si="7"/>
        <v>72.705990604460624</v>
      </c>
      <c r="P105" s="589">
        <f t="shared" si="5"/>
        <v>-240374.14000000004</v>
      </c>
      <c r="Q105" s="589">
        <f t="shared" si="6"/>
        <v>-36198.860507408433</v>
      </c>
      <c r="R105" s="590"/>
      <c r="S105" s="592" t="s">
        <v>255</v>
      </c>
      <c r="T105" s="584"/>
      <c r="U105" s="476"/>
      <c r="V105" s="476"/>
      <c r="W105" s="476"/>
      <c r="X105" s="476"/>
    </row>
    <row r="106" spans="1:24" s="477" customFormat="1" ht="11.25" customHeight="1">
      <c r="A106" s="125"/>
      <c r="B106" s="585" t="s">
        <v>211</v>
      </c>
      <c r="C106" s="585" t="s">
        <v>308</v>
      </c>
      <c r="D106" s="585" t="s">
        <v>309</v>
      </c>
      <c r="E106" s="67" t="s">
        <v>78</v>
      </c>
      <c r="F106" s="146" t="s">
        <v>77</v>
      </c>
      <c r="G106" s="147">
        <v>82</v>
      </c>
      <c r="H106" s="148" t="s">
        <v>30</v>
      </c>
      <c r="I106" s="147" t="s">
        <v>31</v>
      </c>
      <c r="J106" s="149"/>
      <c r="K106" s="149"/>
      <c r="L106" s="149"/>
      <c r="M106" s="586">
        <v>300</v>
      </c>
      <c r="N106" s="587">
        <f>'통장내역(환율표)'!D94</f>
        <v>6.7490999836524441</v>
      </c>
      <c r="O106" s="588">
        <f t="shared" si="7"/>
        <v>44.450371268266132</v>
      </c>
      <c r="P106" s="589">
        <f t="shared" si="5"/>
        <v>-240674.14000000004</v>
      </c>
      <c r="Q106" s="589">
        <f t="shared" si="6"/>
        <v>-36243.310878676697</v>
      </c>
      <c r="R106" s="590"/>
      <c r="S106" s="592" t="s">
        <v>257</v>
      </c>
      <c r="T106" s="584"/>
      <c r="U106" s="476"/>
      <c r="V106" s="476"/>
      <c r="W106" s="476"/>
      <c r="X106" s="476"/>
    </row>
    <row r="107" spans="1:24" s="576" customFormat="1" ht="12" customHeight="1">
      <c r="A107" s="125"/>
      <c r="B107" s="585" t="s">
        <v>211</v>
      </c>
      <c r="C107" s="585" t="s">
        <v>310</v>
      </c>
      <c r="D107" s="585" t="s">
        <v>311</v>
      </c>
      <c r="E107" s="67" t="s">
        <v>312</v>
      </c>
      <c r="F107" s="146" t="s">
        <v>77</v>
      </c>
      <c r="G107" s="147">
        <v>83</v>
      </c>
      <c r="H107" s="148" t="s">
        <v>25</v>
      </c>
      <c r="I107" s="147" t="s">
        <v>26</v>
      </c>
      <c r="J107" s="149"/>
      <c r="K107" s="149"/>
      <c r="L107" s="149"/>
      <c r="M107" s="586">
        <v>217.8</v>
      </c>
      <c r="N107" s="587">
        <f>'통장내역(환율표)'!D94</f>
        <v>6.7490999836524441</v>
      </c>
      <c r="O107" s="588">
        <f t="shared" si="7"/>
        <v>32.270969540761214</v>
      </c>
      <c r="P107" s="589">
        <f t="shared" si="5"/>
        <v>-240891.94000000003</v>
      </c>
      <c r="Q107" s="589">
        <f t="shared" si="6"/>
        <v>-36275.581848217458</v>
      </c>
      <c r="R107" s="590"/>
      <c r="S107" s="592" t="s">
        <v>313</v>
      </c>
      <c r="T107" s="584"/>
      <c r="U107" s="476"/>
      <c r="V107" s="476"/>
      <c r="W107" s="476"/>
      <c r="X107" s="476"/>
    </row>
    <row r="108" spans="1:24" s="576" customFormat="1" ht="12" customHeight="1">
      <c r="A108" s="125"/>
      <c r="B108" s="585" t="s">
        <v>211</v>
      </c>
      <c r="C108" s="585" t="s">
        <v>172</v>
      </c>
      <c r="D108" s="585" t="s">
        <v>314</v>
      </c>
      <c r="E108" s="67" t="s">
        <v>315</v>
      </c>
      <c r="F108" s="146" t="s">
        <v>77</v>
      </c>
      <c r="G108" s="147">
        <v>84</v>
      </c>
      <c r="H108" s="148" t="s">
        <v>25</v>
      </c>
      <c r="I108" s="147" t="s">
        <v>26</v>
      </c>
      <c r="J108" s="149"/>
      <c r="K108" s="149"/>
      <c r="L108" s="149"/>
      <c r="M108" s="586">
        <v>221.6</v>
      </c>
      <c r="N108" s="587">
        <f>'통장내역(환율표)'!D94</f>
        <v>6.7490999836524441</v>
      </c>
      <c r="O108" s="588">
        <f t="shared" si="7"/>
        <v>32.834007576825911</v>
      </c>
      <c r="P108" s="589">
        <f t="shared" si="5"/>
        <v>-241113.54000000004</v>
      </c>
      <c r="Q108" s="589">
        <f t="shared" si="6"/>
        <v>-36308.415855794286</v>
      </c>
      <c r="R108" s="590"/>
      <c r="S108" s="592" t="s">
        <v>215</v>
      </c>
      <c r="T108" s="584"/>
      <c r="U108" s="476"/>
      <c r="V108" s="476"/>
      <c r="W108" s="476"/>
      <c r="X108" s="476"/>
    </row>
    <row r="109" spans="1:24" s="477" customFormat="1" ht="11.25" customHeight="1">
      <c r="A109" s="125"/>
      <c r="B109" s="585" t="s">
        <v>211</v>
      </c>
      <c r="C109" s="585" t="s">
        <v>316</v>
      </c>
      <c r="D109" s="585" t="s">
        <v>317</v>
      </c>
      <c r="E109" s="67" t="s">
        <v>318</v>
      </c>
      <c r="F109" s="146" t="s">
        <v>77</v>
      </c>
      <c r="G109" s="147">
        <v>85</v>
      </c>
      <c r="H109" s="148" t="s">
        <v>32</v>
      </c>
      <c r="I109" s="147"/>
      <c r="J109" s="149"/>
      <c r="K109" s="149"/>
      <c r="L109" s="149"/>
      <c r="M109" s="586">
        <v>3.6</v>
      </c>
      <c r="N109" s="587">
        <f>'통장내역(환율표)'!D94</f>
        <v>6.7490999836524441</v>
      </c>
      <c r="O109" s="588">
        <f t="shared" si="7"/>
        <v>0.53340445521919355</v>
      </c>
      <c r="P109" s="589">
        <f t="shared" si="5"/>
        <v>-241117.14000000004</v>
      </c>
      <c r="Q109" s="589">
        <f t="shared" si="6"/>
        <v>-36308.949260249508</v>
      </c>
      <c r="R109" s="590"/>
      <c r="S109" s="592" t="s">
        <v>319</v>
      </c>
      <c r="T109" s="584"/>
      <c r="U109" s="476"/>
      <c r="V109" s="476"/>
      <c r="W109" s="476"/>
      <c r="X109" s="476"/>
    </row>
    <row r="110" spans="1:24" s="477" customFormat="1" ht="11.25" customHeight="1">
      <c r="A110" s="125"/>
      <c r="B110" s="585" t="s">
        <v>211</v>
      </c>
      <c r="C110" s="585" t="s">
        <v>173</v>
      </c>
      <c r="D110" s="585" t="s">
        <v>320</v>
      </c>
      <c r="E110" s="67" t="s">
        <v>131</v>
      </c>
      <c r="F110" s="146" t="s">
        <v>77</v>
      </c>
      <c r="G110" s="147">
        <v>86</v>
      </c>
      <c r="H110" s="148" t="s">
        <v>30</v>
      </c>
      <c r="I110" s="147" t="s">
        <v>31</v>
      </c>
      <c r="J110" s="149"/>
      <c r="K110" s="149"/>
      <c r="L110" s="149"/>
      <c r="M110" s="586">
        <v>58</v>
      </c>
      <c r="N110" s="587">
        <f>'통장내역(환율표)'!D94</f>
        <v>6.7490999836524441</v>
      </c>
      <c r="O110" s="588">
        <f t="shared" si="7"/>
        <v>8.5937384451981185</v>
      </c>
      <c r="P110" s="589">
        <f t="shared" si="5"/>
        <v>-241175.14000000004</v>
      </c>
      <c r="Q110" s="589">
        <f t="shared" si="6"/>
        <v>-36317.542998694706</v>
      </c>
      <c r="R110" s="590"/>
      <c r="S110" s="593"/>
      <c r="T110" s="584"/>
      <c r="U110" s="476"/>
      <c r="V110" s="476"/>
      <c r="W110" s="476"/>
      <c r="X110" s="476"/>
    </row>
    <row r="111" spans="1:24" s="477" customFormat="1" ht="11.25" customHeight="1">
      <c r="A111" s="125"/>
      <c r="B111" s="585" t="s">
        <v>211</v>
      </c>
      <c r="C111" s="585" t="s">
        <v>228</v>
      </c>
      <c r="D111" s="585" t="s">
        <v>321</v>
      </c>
      <c r="E111" s="67" t="s">
        <v>23</v>
      </c>
      <c r="F111" s="146" t="s">
        <v>77</v>
      </c>
      <c r="G111" s="147">
        <v>87</v>
      </c>
      <c r="H111" s="148" t="s">
        <v>25</v>
      </c>
      <c r="I111" s="147" t="s">
        <v>26</v>
      </c>
      <c r="J111" s="149"/>
      <c r="K111" s="149"/>
      <c r="L111" s="149"/>
      <c r="M111" s="586">
        <v>365</v>
      </c>
      <c r="N111" s="587">
        <f>'통장내역(환율표)'!D94</f>
        <v>6.7490999836524441</v>
      </c>
      <c r="O111" s="588">
        <f t="shared" si="7"/>
        <v>54.081285043057122</v>
      </c>
      <c r="P111" s="589">
        <f t="shared" si="5"/>
        <v>-241540.14000000004</v>
      </c>
      <c r="Q111" s="589">
        <f t="shared" si="6"/>
        <v>-36371.624283737765</v>
      </c>
      <c r="R111" s="590"/>
      <c r="S111" s="591" t="s">
        <v>187</v>
      </c>
      <c r="T111" s="584"/>
      <c r="U111" s="476"/>
      <c r="V111" s="476"/>
      <c r="W111" s="476"/>
      <c r="X111" s="476"/>
    </row>
    <row r="112" spans="1:24" s="477" customFormat="1" ht="11.25" customHeight="1">
      <c r="A112" s="125"/>
      <c r="B112" s="585" t="s">
        <v>211</v>
      </c>
      <c r="C112" s="585" t="s">
        <v>243</v>
      </c>
      <c r="D112" s="585" t="s">
        <v>322</v>
      </c>
      <c r="E112" s="67" t="s">
        <v>315</v>
      </c>
      <c r="F112" s="146" t="s">
        <v>77</v>
      </c>
      <c r="G112" s="147">
        <v>88</v>
      </c>
      <c r="H112" s="148" t="s">
        <v>25</v>
      </c>
      <c r="I112" s="147" t="s">
        <v>26</v>
      </c>
      <c r="J112" s="149"/>
      <c r="K112" s="149"/>
      <c r="L112" s="149"/>
      <c r="M112" s="586">
        <v>410</v>
      </c>
      <c r="N112" s="587">
        <f>'통장내역(환율표)'!D94</f>
        <v>6.7490999836524441</v>
      </c>
      <c r="O112" s="588">
        <f t="shared" si="7"/>
        <v>60.748840733297044</v>
      </c>
      <c r="P112" s="589">
        <f t="shared" si="5"/>
        <v>-241950.14000000004</v>
      </c>
      <c r="Q112" s="589">
        <f t="shared" si="6"/>
        <v>-36432.373124471065</v>
      </c>
      <c r="R112" s="590"/>
      <c r="S112" s="592" t="s">
        <v>323</v>
      </c>
      <c r="T112" s="584"/>
      <c r="U112" s="476"/>
      <c r="V112" s="476"/>
      <c r="W112" s="476"/>
      <c r="X112" s="476"/>
    </row>
    <row r="113" spans="1:24" s="477" customFormat="1" ht="11.25" customHeight="1">
      <c r="A113" s="125"/>
      <c r="B113" s="585" t="s">
        <v>211</v>
      </c>
      <c r="C113" s="585" t="s">
        <v>230</v>
      </c>
      <c r="D113" s="585" t="s">
        <v>324</v>
      </c>
      <c r="E113" s="67" t="s">
        <v>315</v>
      </c>
      <c r="F113" s="146" t="s">
        <v>77</v>
      </c>
      <c r="G113" s="147">
        <v>89</v>
      </c>
      <c r="H113" s="148" t="s">
        <v>25</v>
      </c>
      <c r="I113" s="147" t="s">
        <v>26</v>
      </c>
      <c r="J113" s="149"/>
      <c r="K113" s="149"/>
      <c r="L113" s="149"/>
      <c r="M113" s="586">
        <v>256</v>
      </c>
      <c r="N113" s="587">
        <f>'통장내역(환율표)'!D94</f>
        <v>6.7490999836524441</v>
      </c>
      <c r="O113" s="588">
        <f t="shared" si="7"/>
        <v>37.930983482253765</v>
      </c>
      <c r="P113" s="589">
        <f t="shared" si="5"/>
        <v>-242206.14000000004</v>
      </c>
      <c r="Q113" s="589">
        <f t="shared" si="6"/>
        <v>-36470.304107953321</v>
      </c>
      <c r="R113" s="590"/>
      <c r="S113" s="593"/>
      <c r="T113" s="584"/>
      <c r="U113" s="476"/>
      <c r="V113" s="476"/>
      <c r="W113" s="476"/>
      <c r="X113" s="476"/>
    </row>
    <row r="114" spans="1:24" s="477" customFormat="1" ht="11.25" customHeight="1">
      <c r="A114" s="125"/>
      <c r="B114" s="585" t="s">
        <v>211</v>
      </c>
      <c r="C114" s="585" t="s">
        <v>286</v>
      </c>
      <c r="D114" s="585" t="s">
        <v>325</v>
      </c>
      <c r="E114" s="67" t="s">
        <v>203</v>
      </c>
      <c r="F114" s="146" t="s">
        <v>77</v>
      </c>
      <c r="G114" s="147">
        <v>90</v>
      </c>
      <c r="H114" s="148" t="s">
        <v>25</v>
      </c>
      <c r="I114" s="147" t="s">
        <v>26</v>
      </c>
      <c r="J114" s="149"/>
      <c r="K114" s="149"/>
      <c r="L114" s="149"/>
      <c r="M114" s="586">
        <v>290</v>
      </c>
      <c r="N114" s="587">
        <f>'통장내역(환율표)'!D94</f>
        <v>6.7490999836524441</v>
      </c>
      <c r="O114" s="588">
        <f t="shared" si="7"/>
        <v>42.968692225990594</v>
      </c>
      <c r="P114" s="589">
        <f t="shared" si="5"/>
        <v>-242496.14000000004</v>
      </c>
      <c r="Q114" s="589">
        <f t="shared" si="6"/>
        <v>-36513.272800179315</v>
      </c>
      <c r="R114" s="590"/>
      <c r="S114" s="593"/>
      <c r="T114" s="584"/>
      <c r="U114" s="476"/>
      <c r="V114" s="476"/>
      <c r="W114" s="476"/>
      <c r="X114" s="476"/>
    </row>
    <row r="115" spans="1:24" s="576" customFormat="1" ht="12" customHeight="1">
      <c r="A115" s="125"/>
      <c r="B115" s="585" t="s">
        <v>211</v>
      </c>
      <c r="C115" s="585" t="s">
        <v>286</v>
      </c>
      <c r="D115" s="585" t="s">
        <v>326</v>
      </c>
      <c r="E115" s="67" t="s">
        <v>153</v>
      </c>
      <c r="F115" s="146" t="s">
        <v>77</v>
      </c>
      <c r="G115" s="147">
        <v>91</v>
      </c>
      <c r="H115" s="148" t="s">
        <v>25</v>
      </c>
      <c r="I115" s="147" t="s">
        <v>26</v>
      </c>
      <c r="J115" s="149"/>
      <c r="K115" s="149"/>
      <c r="L115" s="149"/>
      <c r="M115" s="586">
        <v>280</v>
      </c>
      <c r="N115" s="587">
        <f>'통장내역(환율표)'!D94</f>
        <v>6.7490999836524441</v>
      </c>
      <c r="O115" s="588">
        <f t="shared" si="7"/>
        <v>41.487013183715057</v>
      </c>
      <c r="P115" s="589">
        <f t="shared" si="5"/>
        <v>-242776.14000000004</v>
      </c>
      <c r="Q115" s="589">
        <f t="shared" si="6"/>
        <v>-36554.759813363031</v>
      </c>
      <c r="R115" s="590"/>
      <c r="S115" s="593"/>
      <c r="T115" s="584"/>
      <c r="U115" s="476"/>
      <c r="V115" s="476"/>
      <c r="W115" s="476"/>
      <c r="X115" s="476"/>
    </row>
    <row r="116" spans="1:24" s="576" customFormat="1" ht="12" customHeight="1">
      <c r="A116" s="125"/>
      <c r="B116" s="585" t="s">
        <v>211</v>
      </c>
      <c r="C116" s="585" t="s">
        <v>286</v>
      </c>
      <c r="D116" s="585" t="s">
        <v>327</v>
      </c>
      <c r="E116" s="67" t="s">
        <v>30</v>
      </c>
      <c r="F116" s="146" t="s">
        <v>77</v>
      </c>
      <c r="G116" s="147">
        <v>92</v>
      </c>
      <c r="H116" s="148" t="s">
        <v>25</v>
      </c>
      <c r="I116" s="147" t="s">
        <v>26</v>
      </c>
      <c r="J116" s="149"/>
      <c r="K116" s="149"/>
      <c r="L116" s="149"/>
      <c r="M116" s="586">
        <v>162</v>
      </c>
      <c r="N116" s="587">
        <f>'통장내역(환율표)'!D94</f>
        <v>6.7490999836524441</v>
      </c>
      <c r="O116" s="588">
        <f t="shared" si="7"/>
        <v>24.003200484863708</v>
      </c>
      <c r="P116" s="589">
        <f t="shared" si="5"/>
        <v>-242938.14000000004</v>
      </c>
      <c r="Q116" s="589">
        <f t="shared" si="6"/>
        <v>-36578.763013847893</v>
      </c>
      <c r="R116" s="590"/>
      <c r="S116" s="593"/>
      <c r="T116" s="584"/>
      <c r="U116" s="476"/>
      <c r="V116" s="476"/>
      <c r="W116" s="476"/>
      <c r="X116" s="476"/>
    </row>
    <row r="117" spans="1:24" s="477" customFormat="1" ht="11.25" customHeight="1">
      <c r="A117" s="125"/>
      <c r="B117" s="585" t="s">
        <v>211</v>
      </c>
      <c r="C117" s="585" t="s">
        <v>286</v>
      </c>
      <c r="D117" s="585" t="s">
        <v>328</v>
      </c>
      <c r="E117" s="67" t="s">
        <v>30</v>
      </c>
      <c r="F117" s="146" t="s">
        <v>77</v>
      </c>
      <c r="G117" s="147">
        <v>93</v>
      </c>
      <c r="H117" s="148" t="s">
        <v>25</v>
      </c>
      <c r="I117" s="147" t="s">
        <v>26</v>
      </c>
      <c r="J117" s="149"/>
      <c r="K117" s="149"/>
      <c r="L117" s="149"/>
      <c r="M117" s="586">
        <v>265</v>
      </c>
      <c r="N117" s="587">
        <f>'통장내역(환율표)'!D94</f>
        <v>6.7490999836524441</v>
      </c>
      <c r="O117" s="588">
        <f t="shared" si="7"/>
        <v>39.264494620301747</v>
      </c>
      <c r="P117" s="589">
        <f t="shared" si="5"/>
        <v>-243203.14000000004</v>
      </c>
      <c r="Q117" s="589">
        <f t="shared" si="6"/>
        <v>-36618.027508468193</v>
      </c>
      <c r="R117" s="590"/>
      <c r="S117" s="593"/>
      <c r="T117" s="584"/>
      <c r="U117" s="476"/>
      <c r="V117" s="476"/>
      <c r="W117" s="476"/>
      <c r="X117" s="476"/>
    </row>
    <row r="118" spans="1:24" s="477" customFormat="1" ht="11.25" customHeight="1">
      <c r="A118" s="125"/>
      <c r="B118" s="585" t="s">
        <v>211</v>
      </c>
      <c r="C118" s="585" t="s">
        <v>228</v>
      </c>
      <c r="D118" s="585"/>
      <c r="E118" s="67" t="s">
        <v>244</v>
      </c>
      <c r="F118" s="146" t="s">
        <v>77</v>
      </c>
      <c r="G118" s="147">
        <v>94</v>
      </c>
      <c r="H118" s="148" t="s">
        <v>25</v>
      </c>
      <c r="I118" s="147" t="s">
        <v>26</v>
      </c>
      <c r="J118" s="149"/>
      <c r="K118" s="149"/>
      <c r="L118" s="149"/>
      <c r="M118" s="586">
        <v>349</v>
      </c>
      <c r="N118" s="587">
        <f>'통장내역(환율표)'!D94</f>
        <v>6.7490999836524441</v>
      </c>
      <c r="O118" s="588">
        <f t="shared" si="7"/>
        <v>51.710598575416263</v>
      </c>
      <c r="P118" s="589">
        <f t="shared" si="5"/>
        <v>-243552.14000000004</v>
      </c>
      <c r="Q118" s="589">
        <f t="shared" si="6"/>
        <v>-36669.738107043609</v>
      </c>
      <c r="R118" s="590"/>
      <c r="S118" s="592" t="s">
        <v>299</v>
      </c>
      <c r="T118" s="584"/>
      <c r="U118" s="476"/>
      <c r="V118" s="476"/>
      <c r="W118" s="476"/>
      <c r="X118" s="476"/>
    </row>
    <row r="119" spans="1:24" s="477" customFormat="1" ht="11.25" customHeight="1">
      <c r="A119" s="125"/>
      <c r="B119" s="585" t="s">
        <v>211</v>
      </c>
      <c r="C119" s="585" t="s">
        <v>211</v>
      </c>
      <c r="D119" s="585"/>
      <c r="E119" s="67" t="s">
        <v>49</v>
      </c>
      <c r="F119" s="146" t="s">
        <v>77</v>
      </c>
      <c r="G119" s="147">
        <v>95</v>
      </c>
      <c r="H119" s="148" t="s">
        <v>32</v>
      </c>
      <c r="I119" s="147"/>
      <c r="J119" s="149"/>
      <c r="K119" s="149"/>
      <c r="L119" s="149"/>
      <c r="M119" s="586">
        <v>3.6</v>
      </c>
      <c r="N119" s="587">
        <f>'통장내역(환율표)'!D94</f>
        <v>6.7490999836524441</v>
      </c>
      <c r="O119" s="588">
        <f t="shared" si="7"/>
        <v>0.53340445521919355</v>
      </c>
      <c r="P119" s="589">
        <f t="shared" si="5"/>
        <v>-243555.74000000005</v>
      </c>
      <c r="Q119" s="589">
        <f t="shared" si="6"/>
        <v>-36670.271511498831</v>
      </c>
      <c r="R119" s="590"/>
      <c r="S119" s="592" t="s">
        <v>329</v>
      </c>
      <c r="T119" s="584"/>
      <c r="U119" s="476"/>
      <c r="V119" s="476"/>
      <c r="W119" s="476"/>
      <c r="X119" s="476"/>
    </row>
    <row r="120" spans="1:24" s="477" customFormat="1" ht="11.25" customHeight="1">
      <c r="A120" s="125"/>
      <c r="B120" s="585" t="s">
        <v>211</v>
      </c>
      <c r="C120" s="585" t="s">
        <v>330</v>
      </c>
      <c r="D120" s="585" t="s">
        <v>331</v>
      </c>
      <c r="E120" s="67" t="s">
        <v>23</v>
      </c>
      <c r="F120" s="146" t="s">
        <v>332</v>
      </c>
      <c r="G120" s="147">
        <v>96</v>
      </c>
      <c r="H120" s="148" t="s">
        <v>23</v>
      </c>
      <c r="I120" s="147"/>
      <c r="J120" s="149"/>
      <c r="K120" s="149"/>
      <c r="L120" s="149"/>
      <c r="M120" s="586">
        <v>25.01</v>
      </c>
      <c r="N120" s="587">
        <f>'통장내역(환율표)'!D94</f>
        <v>6.7490999836524441</v>
      </c>
      <c r="O120" s="588">
        <f t="shared" si="7"/>
        <v>3.70567928473112</v>
      </c>
      <c r="P120" s="589">
        <f t="shared" si="5"/>
        <v>-243580.75000000006</v>
      </c>
      <c r="Q120" s="589">
        <f t="shared" si="6"/>
        <v>-36673.97719078356</v>
      </c>
      <c r="R120" s="590"/>
      <c r="S120" s="592" t="s">
        <v>191</v>
      </c>
      <c r="T120" s="584"/>
      <c r="U120" s="476"/>
      <c r="V120" s="476"/>
      <c r="W120" s="476"/>
      <c r="X120" s="476"/>
    </row>
    <row r="121" spans="1:24" s="477" customFormat="1" ht="11.25" customHeight="1">
      <c r="A121" s="125"/>
      <c r="B121" s="585" t="s">
        <v>211</v>
      </c>
      <c r="C121" s="585" t="s">
        <v>251</v>
      </c>
      <c r="D121" s="585" t="s">
        <v>333</v>
      </c>
      <c r="E121" s="67" t="s">
        <v>23</v>
      </c>
      <c r="F121" s="146" t="s">
        <v>332</v>
      </c>
      <c r="G121" s="147">
        <v>97</v>
      </c>
      <c r="H121" s="148" t="s">
        <v>25</v>
      </c>
      <c r="I121" s="147" t="s">
        <v>203</v>
      </c>
      <c r="J121" s="149"/>
      <c r="K121" s="149"/>
      <c r="L121" s="149"/>
      <c r="M121" s="586">
        <v>14.4</v>
      </c>
      <c r="N121" s="587">
        <f>'통장내역(환율표)'!D94</f>
        <v>6.7490999836524441</v>
      </c>
      <c r="O121" s="588">
        <f t="shared" si="7"/>
        <v>2.1336178208767742</v>
      </c>
      <c r="P121" s="589">
        <f t="shared" si="5"/>
        <v>-243595.15000000005</v>
      </c>
      <c r="Q121" s="589">
        <f t="shared" si="6"/>
        <v>-36676.110808604441</v>
      </c>
      <c r="R121" s="590"/>
      <c r="S121" s="593"/>
      <c r="T121" s="584"/>
      <c r="U121" s="476"/>
      <c r="V121" s="476"/>
      <c r="W121" s="476"/>
      <c r="X121" s="476"/>
    </row>
    <row r="122" spans="1:24" s="477" customFormat="1" ht="11.25" customHeight="1">
      <c r="A122" s="125"/>
      <c r="B122" s="585" t="s">
        <v>211</v>
      </c>
      <c r="C122" s="585" t="s">
        <v>251</v>
      </c>
      <c r="D122" s="585" t="s">
        <v>334</v>
      </c>
      <c r="E122" s="67" t="s">
        <v>153</v>
      </c>
      <c r="F122" s="146" t="s">
        <v>332</v>
      </c>
      <c r="G122" s="147">
        <v>98</v>
      </c>
      <c r="H122" s="148" t="s">
        <v>25</v>
      </c>
      <c r="I122" s="147" t="s">
        <v>26</v>
      </c>
      <c r="J122" s="149"/>
      <c r="K122" s="149"/>
      <c r="L122" s="149"/>
      <c r="M122" s="586">
        <v>0</v>
      </c>
      <c r="N122" s="587">
        <f>'통장내역(환율표)'!D94</f>
        <v>6.7490999836524441</v>
      </c>
      <c r="O122" s="588">
        <f t="shared" si="7"/>
        <v>0</v>
      </c>
      <c r="P122" s="589">
        <f t="shared" si="5"/>
        <v>-243595.15000000005</v>
      </c>
      <c r="Q122" s="589">
        <f t="shared" si="6"/>
        <v>-36676.110808604441</v>
      </c>
      <c r="R122" s="590"/>
      <c r="S122" s="592" t="s">
        <v>306</v>
      </c>
      <c r="T122" s="584"/>
      <c r="U122" s="476"/>
      <c r="V122" s="476"/>
      <c r="W122" s="476"/>
      <c r="X122" s="476"/>
    </row>
    <row r="123" spans="1:24" s="576" customFormat="1" ht="12" customHeight="1">
      <c r="A123" s="125"/>
      <c r="B123" s="585" t="s">
        <v>211</v>
      </c>
      <c r="C123" s="585" t="s">
        <v>251</v>
      </c>
      <c r="D123" s="585" t="s">
        <v>335</v>
      </c>
      <c r="E123" s="67" t="s">
        <v>153</v>
      </c>
      <c r="F123" s="146" t="s">
        <v>332</v>
      </c>
      <c r="G123" s="147">
        <v>99</v>
      </c>
      <c r="H123" s="148" t="s">
        <v>25</v>
      </c>
      <c r="I123" s="147" t="s">
        <v>26</v>
      </c>
      <c r="J123" s="149"/>
      <c r="K123" s="149"/>
      <c r="L123" s="149"/>
      <c r="M123" s="586">
        <v>25</v>
      </c>
      <c r="N123" s="587">
        <f>'통장내역(환율표)'!D94</f>
        <v>6.7490999836524441</v>
      </c>
      <c r="O123" s="588">
        <f t="shared" si="7"/>
        <v>3.7041976056888442</v>
      </c>
      <c r="P123" s="589">
        <f t="shared" si="5"/>
        <v>-243620.15000000005</v>
      </c>
      <c r="Q123" s="589">
        <f t="shared" si="6"/>
        <v>-36679.815006210127</v>
      </c>
      <c r="R123" s="590"/>
      <c r="S123" s="593"/>
      <c r="T123" s="584"/>
      <c r="U123" s="476"/>
      <c r="V123" s="476"/>
      <c r="W123" s="476"/>
      <c r="X123" s="476"/>
    </row>
    <row r="124" spans="1:24" s="576" customFormat="1" ht="12" customHeight="1">
      <c r="A124" s="125"/>
      <c r="B124" s="585" t="s">
        <v>211</v>
      </c>
      <c r="C124" s="585" t="s">
        <v>251</v>
      </c>
      <c r="D124" s="585" t="s">
        <v>336</v>
      </c>
      <c r="E124" s="67" t="s">
        <v>153</v>
      </c>
      <c r="F124" s="146" t="s">
        <v>332</v>
      </c>
      <c r="G124" s="147">
        <v>100</v>
      </c>
      <c r="H124" s="148" t="s">
        <v>25</v>
      </c>
      <c r="I124" s="147" t="s">
        <v>26</v>
      </c>
      <c r="J124" s="149"/>
      <c r="K124" s="149"/>
      <c r="L124" s="149"/>
      <c r="M124" s="586">
        <v>50</v>
      </c>
      <c r="N124" s="587">
        <f>'통장내역(환율표)'!D94</f>
        <v>6.7490999836524441</v>
      </c>
      <c r="O124" s="588">
        <f t="shared" si="7"/>
        <v>7.4083952113776883</v>
      </c>
      <c r="P124" s="589">
        <f t="shared" si="5"/>
        <v>-243670.15000000005</v>
      </c>
      <c r="Q124" s="589">
        <f t="shared" si="6"/>
        <v>-36687.223401421506</v>
      </c>
      <c r="R124" s="590"/>
      <c r="S124" s="593"/>
      <c r="T124" s="584"/>
      <c r="U124" s="476"/>
      <c r="V124" s="476"/>
      <c r="W124" s="476"/>
      <c r="X124" s="476"/>
    </row>
    <row r="125" spans="1:24" s="477" customFormat="1" ht="11.25" customHeight="1">
      <c r="A125" s="125"/>
      <c r="B125" s="585" t="s">
        <v>211</v>
      </c>
      <c r="C125" s="585" t="s">
        <v>216</v>
      </c>
      <c r="D125" s="585" t="s">
        <v>337</v>
      </c>
      <c r="E125" s="67" t="s">
        <v>153</v>
      </c>
      <c r="F125" s="146" t="s">
        <v>332</v>
      </c>
      <c r="G125" s="147">
        <v>101</v>
      </c>
      <c r="H125" s="148" t="s">
        <v>32</v>
      </c>
      <c r="I125" s="147"/>
      <c r="J125" s="149"/>
      <c r="K125" s="149"/>
      <c r="L125" s="149"/>
      <c r="M125" s="586">
        <v>3.6</v>
      </c>
      <c r="N125" s="587">
        <f>'통장내역(환율표)'!D94</f>
        <v>6.7490999836524441</v>
      </c>
      <c r="O125" s="588">
        <f t="shared" si="7"/>
        <v>0.53340445521919355</v>
      </c>
      <c r="P125" s="589">
        <f t="shared" si="5"/>
        <v>-243673.75000000006</v>
      </c>
      <c r="Q125" s="589">
        <f t="shared" si="6"/>
        <v>-36687.756805876728</v>
      </c>
      <c r="R125" s="590"/>
      <c r="S125" s="592" t="s">
        <v>338</v>
      </c>
      <c r="T125" s="584"/>
      <c r="U125" s="476"/>
      <c r="V125" s="476"/>
      <c r="W125" s="476"/>
      <c r="X125" s="476"/>
    </row>
    <row r="126" spans="1:24" s="477" customFormat="1" ht="11.25" customHeight="1">
      <c r="A126" s="125"/>
      <c r="B126" s="585" t="s">
        <v>211</v>
      </c>
      <c r="C126" s="585" t="s">
        <v>216</v>
      </c>
      <c r="D126" s="585" t="s">
        <v>339</v>
      </c>
      <c r="E126" s="67" t="s">
        <v>153</v>
      </c>
      <c r="F126" s="146" t="s">
        <v>332</v>
      </c>
      <c r="G126" s="147">
        <v>102</v>
      </c>
      <c r="H126" s="148" t="s">
        <v>25</v>
      </c>
      <c r="I126" s="147" t="s">
        <v>26</v>
      </c>
      <c r="J126" s="149"/>
      <c r="K126" s="149"/>
      <c r="L126" s="149"/>
      <c r="M126" s="586">
        <v>56</v>
      </c>
      <c r="N126" s="587">
        <f>'통장내역(환율표)'!D94</f>
        <v>6.7490999836524441</v>
      </c>
      <c r="O126" s="588">
        <f t="shared" si="7"/>
        <v>8.2974026367430103</v>
      </c>
      <c r="P126" s="589">
        <f t="shared" si="5"/>
        <v>-243729.75000000006</v>
      </c>
      <c r="Q126" s="589">
        <f t="shared" si="6"/>
        <v>-36696.054208513473</v>
      </c>
      <c r="R126" s="590"/>
      <c r="S126" s="592" t="s">
        <v>255</v>
      </c>
      <c r="T126" s="584"/>
      <c r="U126" s="476"/>
      <c r="V126" s="476"/>
      <c r="W126" s="476"/>
      <c r="X126" s="476"/>
    </row>
    <row r="127" spans="1:24" s="477" customFormat="1" ht="11.25" customHeight="1">
      <c r="A127" s="125"/>
      <c r="B127" s="585" t="s">
        <v>211</v>
      </c>
      <c r="C127" s="585" t="s">
        <v>340</v>
      </c>
      <c r="D127" s="585" t="s">
        <v>341</v>
      </c>
      <c r="E127" s="67" t="s">
        <v>342</v>
      </c>
      <c r="F127" s="146" t="s">
        <v>332</v>
      </c>
      <c r="G127" s="147">
        <v>103</v>
      </c>
      <c r="H127" s="148" t="s">
        <v>32</v>
      </c>
      <c r="I127" s="147" t="s">
        <v>31</v>
      </c>
      <c r="J127" s="149"/>
      <c r="K127" s="149"/>
      <c r="L127" s="149"/>
      <c r="M127" s="586">
        <v>72.06</v>
      </c>
      <c r="N127" s="587">
        <f>'통장내역(환율표)'!D94</f>
        <v>6.7490999836524441</v>
      </c>
      <c r="O127" s="588">
        <f t="shared" si="7"/>
        <v>10.676979178637524</v>
      </c>
      <c r="P127" s="589">
        <f t="shared" si="5"/>
        <v>-243801.81000000006</v>
      </c>
      <c r="Q127" s="589">
        <f t="shared" si="6"/>
        <v>-36706.731187692109</v>
      </c>
      <c r="R127" s="590"/>
      <c r="S127" s="592" t="s">
        <v>343</v>
      </c>
      <c r="T127" s="584"/>
      <c r="U127" s="476"/>
      <c r="V127" s="476"/>
      <c r="W127" s="476"/>
      <c r="X127" s="476"/>
    </row>
    <row r="128" spans="1:24" s="477" customFormat="1" ht="11.25" customHeight="1">
      <c r="A128" s="125"/>
      <c r="B128" s="585" t="s">
        <v>211</v>
      </c>
      <c r="C128" s="585" t="s">
        <v>222</v>
      </c>
      <c r="D128" s="585" t="s">
        <v>344</v>
      </c>
      <c r="E128" s="67" t="s">
        <v>153</v>
      </c>
      <c r="F128" s="146" t="s">
        <v>332</v>
      </c>
      <c r="G128" s="147">
        <v>104</v>
      </c>
      <c r="H128" s="148" t="s">
        <v>32</v>
      </c>
      <c r="I128" s="147"/>
      <c r="J128" s="149"/>
      <c r="K128" s="149"/>
      <c r="L128" s="149"/>
      <c r="M128" s="586">
        <v>680</v>
      </c>
      <c r="N128" s="587">
        <f>'통장내역(환율표)'!D94</f>
        <v>6.7490999836524441</v>
      </c>
      <c r="O128" s="588">
        <f t="shared" si="7"/>
        <v>100.75417487473656</v>
      </c>
      <c r="P128" s="589">
        <f t="shared" si="5"/>
        <v>-244481.81000000006</v>
      </c>
      <c r="Q128" s="589">
        <f t="shared" si="6"/>
        <v>-36807.485362566847</v>
      </c>
      <c r="R128" s="590"/>
      <c r="S128" s="592" t="s">
        <v>313</v>
      </c>
      <c r="T128" s="584"/>
      <c r="U128" s="476"/>
      <c r="V128" s="476"/>
      <c r="W128" s="476"/>
      <c r="X128" s="476"/>
    </row>
    <row r="129" spans="1:24" s="477" customFormat="1" ht="11.25" customHeight="1">
      <c r="A129" s="125"/>
      <c r="B129" s="585" t="s">
        <v>211</v>
      </c>
      <c r="C129" s="585" t="s">
        <v>172</v>
      </c>
      <c r="D129" s="585" t="s">
        <v>345</v>
      </c>
      <c r="E129" s="67" t="s">
        <v>273</v>
      </c>
      <c r="F129" s="146" t="s">
        <v>332</v>
      </c>
      <c r="G129" s="147">
        <v>105</v>
      </c>
      <c r="H129" s="148" t="s">
        <v>32</v>
      </c>
      <c r="I129" s="147" t="s">
        <v>31</v>
      </c>
      <c r="J129" s="149"/>
      <c r="K129" s="149"/>
      <c r="L129" s="149"/>
      <c r="M129" s="586">
        <v>2156</v>
      </c>
      <c r="N129" s="587">
        <f>'통장내역(환율표)'!D94</f>
        <v>6.7490999836524441</v>
      </c>
      <c r="O129" s="588">
        <f t="shared" si="7"/>
        <v>319.4500015146059</v>
      </c>
      <c r="P129" s="589">
        <f t="shared" si="5"/>
        <v>-246637.81000000006</v>
      </c>
      <c r="Q129" s="589">
        <f t="shared" si="6"/>
        <v>-37126.935364081452</v>
      </c>
      <c r="R129" s="590"/>
      <c r="S129" s="592" t="s">
        <v>215</v>
      </c>
      <c r="T129" s="584"/>
      <c r="U129" s="476"/>
      <c r="V129" s="476"/>
      <c r="W129" s="476"/>
      <c r="X129" s="476"/>
    </row>
    <row r="130" spans="1:24" s="477" customFormat="1" ht="11.25" customHeight="1">
      <c r="A130" s="125"/>
      <c r="B130" s="585" t="s">
        <v>211</v>
      </c>
      <c r="C130" s="585" t="s">
        <v>172</v>
      </c>
      <c r="D130" s="585" t="s">
        <v>346</v>
      </c>
      <c r="E130" s="67" t="s">
        <v>61</v>
      </c>
      <c r="F130" s="146" t="s">
        <v>332</v>
      </c>
      <c r="G130" s="147">
        <v>106</v>
      </c>
      <c r="H130" s="148" t="s">
        <v>27</v>
      </c>
      <c r="I130" s="147" t="s">
        <v>28</v>
      </c>
      <c r="J130" s="149"/>
      <c r="K130" s="149"/>
      <c r="L130" s="149"/>
      <c r="M130" s="586">
        <v>300</v>
      </c>
      <c r="N130" s="587">
        <f>'통장내역(환율표)'!D94</f>
        <v>6.7490999836524441</v>
      </c>
      <c r="O130" s="588">
        <f t="shared" si="7"/>
        <v>44.450371268266132</v>
      </c>
      <c r="P130" s="589">
        <f t="shared" si="5"/>
        <v>-246937.81000000006</v>
      </c>
      <c r="Q130" s="589">
        <f t="shared" si="6"/>
        <v>-37171.385735349715</v>
      </c>
      <c r="R130" s="590"/>
      <c r="S130" s="592" t="s">
        <v>319</v>
      </c>
      <c r="T130" s="584"/>
      <c r="U130" s="476"/>
      <c r="V130" s="476"/>
      <c r="W130" s="476"/>
      <c r="X130" s="476"/>
    </row>
    <row r="131" spans="1:24" s="477" customFormat="1" ht="11.25" customHeight="1">
      <c r="A131" s="125"/>
      <c r="B131" s="585" t="s">
        <v>211</v>
      </c>
      <c r="C131" s="585" t="s">
        <v>172</v>
      </c>
      <c r="D131" s="585" t="s">
        <v>347</v>
      </c>
      <c r="E131" s="67" t="s">
        <v>61</v>
      </c>
      <c r="F131" s="146" t="s">
        <v>332</v>
      </c>
      <c r="G131" s="147">
        <v>107</v>
      </c>
      <c r="H131" s="148" t="s">
        <v>32</v>
      </c>
      <c r="I131" s="147"/>
      <c r="J131" s="149"/>
      <c r="K131" s="149"/>
      <c r="L131" s="149"/>
      <c r="M131" s="586">
        <v>88</v>
      </c>
      <c r="N131" s="587">
        <f>'통장내역(환율표)'!D94</f>
        <v>6.7490999836524441</v>
      </c>
      <c r="O131" s="588">
        <f t="shared" si="7"/>
        <v>13.038775572024731</v>
      </c>
      <c r="P131" s="589">
        <f t="shared" si="5"/>
        <v>-247025.81000000006</v>
      </c>
      <c r="Q131" s="589">
        <f t="shared" si="6"/>
        <v>-37184.424510921737</v>
      </c>
      <c r="R131" s="590"/>
      <c r="S131" s="593"/>
      <c r="T131" s="584"/>
      <c r="U131" s="476"/>
      <c r="V131" s="476"/>
      <c r="W131" s="476"/>
      <c r="X131" s="476"/>
    </row>
    <row r="132" spans="1:24" s="477" customFormat="1" ht="11.25" customHeight="1">
      <c r="A132" s="125"/>
      <c r="B132" s="585" t="s">
        <v>211</v>
      </c>
      <c r="C132" s="585" t="s">
        <v>172</v>
      </c>
      <c r="D132" s="585" t="s">
        <v>348</v>
      </c>
      <c r="E132" s="67" t="s">
        <v>349</v>
      </c>
      <c r="F132" s="146" t="s">
        <v>332</v>
      </c>
      <c r="G132" s="147">
        <v>108</v>
      </c>
      <c r="H132" s="148" t="s">
        <v>23</v>
      </c>
      <c r="I132" s="147"/>
      <c r="J132" s="149"/>
      <c r="K132" s="149"/>
      <c r="L132" s="149"/>
      <c r="M132" s="586">
        <v>246</v>
      </c>
      <c r="N132" s="587">
        <f>'통장내역(환율표)'!D94</f>
        <v>6.7490999836524441</v>
      </c>
      <c r="O132" s="588">
        <f t="shared" si="7"/>
        <v>36.449304439978228</v>
      </c>
      <c r="P132" s="589">
        <f t="shared" si="5"/>
        <v>-247271.81000000006</v>
      </c>
      <c r="Q132" s="589">
        <f t="shared" si="6"/>
        <v>-37220.873815361716</v>
      </c>
      <c r="R132" s="590"/>
      <c r="S132" s="591" t="s">
        <v>187</v>
      </c>
      <c r="T132" s="584"/>
      <c r="U132" s="476"/>
      <c r="V132" s="476"/>
      <c r="W132" s="476"/>
      <c r="X132" s="476"/>
    </row>
    <row r="133" spans="1:24" s="477" customFormat="1" ht="11.25" customHeight="1">
      <c r="A133" s="125"/>
      <c r="B133" s="585" t="s">
        <v>211</v>
      </c>
      <c r="C133" s="585" t="s">
        <v>172</v>
      </c>
      <c r="D133" s="585" t="s">
        <v>350</v>
      </c>
      <c r="E133" s="67" t="s">
        <v>349</v>
      </c>
      <c r="F133" s="146" t="s">
        <v>332</v>
      </c>
      <c r="G133" s="147">
        <v>109</v>
      </c>
      <c r="H133" s="148" t="s">
        <v>32</v>
      </c>
      <c r="I133" s="147" t="s">
        <v>31</v>
      </c>
      <c r="J133" s="149"/>
      <c r="K133" s="149"/>
      <c r="L133" s="149"/>
      <c r="M133" s="586">
        <v>880</v>
      </c>
      <c r="N133" s="587">
        <f>'통장내역(환율표)'!D94</f>
        <v>6.7490999836524441</v>
      </c>
      <c r="O133" s="588">
        <f t="shared" si="7"/>
        <v>130.3877557202473</v>
      </c>
      <c r="P133" s="589">
        <f t="shared" si="5"/>
        <v>-248151.81000000006</v>
      </c>
      <c r="Q133" s="589">
        <f t="shared" si="6"/>
        <v>-37351.261571081966</v>
      </c>
      <c r="R133" s="590"/>
      <c r="S133" s="592" t="s">
        <v>268</v>
      </c>
      <c r="T133" s="584"/>
      <c r="U133" s="476"/>
      <c r="V133" s="476"/>
      <c r="W133" s="476"/>
      <c r="X133" s="476"/>
    </row>
    <row r="134" spans="1:24" s="576" customFormat="1" ht="12" customHeight="1">
      <c r="A134" s="125"/>
      <c r="B134" s="585" t="s">
        <v>211</v>
      </c>
      <c r="C134" s="585" t="s">
        <v>261</v>
      </c>
      <c r="D134" s="585" t="s">
        <v>351</v>
      </c>
      <c r="E134" s="67" t="s">
        <v>30</v>
      </c>
      <c r="F134" s="146" t="s">
        <v>332</v>
      </c>
      <c r="G134" s="147">
        <v>110</v>
      </c>
      <c r="H134" s="148" t="s">
        <v>32</v>
      </c>
      <c r="I134" s="147" t="s">
        <v>31</v>
      </c>
      <c r="J134" s="149"/>
      <c r="K134" s="149"/>
      <c r="L134" s="149"/>
      <c r="M134" s="586">
        <v>880</v>
      </c>
      <c r="N134" s="587">
        <f>'통장내역(환율표)'!D94</f>
        <v>6.7490999836524441</v>
      </c>
      <c r="O134" s="588">
        <f t="shared" si="7"/>
        <v>130.3877557202473</v>
      </c>
      <c r="P134" s="589">
        <f t="shared" si="5"/>
        <v>-249031.81000000006</v>
      </c>
      <c r="Q134" s="589">
        <f t="shared" si="6"/>
        <v>-37481.649326802217</v>
      </c>
      <c r="R134" s="590"/>
      <c r="S134" s="591" t="s">
        <v>352</v>
      </c>
      <c r="T134" s="584"/>
      <c r="U134" s="476"/>
      <c r="V134" s="476"/>
      <c r="W134" s="476"/>
      <c r="X134" s="476"/>
    </row>
    <row r="135" spans="1:24" s="576" customFormat="1" ht="12" customHeight="1">
      <c r="A135" s="125"/>
      <c r="B135" s="585" t="s">
        <v>211</v>
      </c>
      <c r="C135" s="585" t="s">
        <v>228</v>
      </c>
      <c r="D135" s="585" t="s">
        <v>353</v>
      </c>
      <c r="E135" s="67" t="s">
        <v>153</v>
      </c>
      <c r="F135" s="146" t="s">
        <v>332</v>
      </c>
      <c r="G135" s="147">
        <v>111</v>
      </c>
      <c r="H135" s="148" t="s">
        <v>25</v>
      </c>
      <c r="I135" s="147" t="s">
        <v>26</v>
      </c>
      <c r="J135" s="149"/>
      <c r="K135" s="149"/>
      <c r="L135" s="149"/>
      <c r="M135" s="586">
        <v>195.4</v>
      </c>
      <c r="N135" s="587">
        <f>'통장내역(환율표)'!D94</f>
        <v>6.7490999836524441</v>
      </c>
      <c r="O135" s="588">
        <f t="shared" si="7"/>
        <v>28.952008486064006</v>
      </c>
      <c r="P135" s="589">
        <f t="shared" si="5"/>
        <v>-249227.21000000005</v>
      </c>
      <c r="Q135" s="589">
        <f t="shared" si="6"/>
        <v>-37510.60133528828</v>
      </c>
      <c r="R135" s="590"/>
      <c r="S135" s="593"/>
      <c r="T135" s="584"/>
      <c r="U135" s="476"/>
      <c r="V135" s="476"/>
      <c r="W135" s="476"/>
      <c r="X135" s="476"/>
    </row>
    <row r="136" spans="1:24" s="477" customFormat="1" ht="11.25" customHeight="1">
      <c r="A136" s="125"/>
      <c r="B136" s="585" t="s">
        <v>211</v>
      </c>
      <c r="C136" s="585" t="s">
        <v>263</v>
      </c>
      <c r="D136" s="585" t="s">
        <v>354</v>
      </c>
      <c r="E136" s="67" t="s">
        <v>23</v>
      </c>
      <c r="F136" s="146" t="s">
        <v>332</v>
      </c>
      <c r="G136" s="147">
        <v>112</v>
      </c>
      <c r="H136" s="148" t="s">
        <v>25</v>
      </c>
      <c r="I136" s="147" t="s">
        <v>26</v>
      </c>
      <c r="J136" s="149"/>
      <c r="K136" s="149"/>
      <c r="L136" s="149"/>
      <c r="M136" s="586">
        <v>13</v>
      </c>
      <c r="N136" s="587">
        <f>'통장내역(환율표)'!D94</f>
        <v>6.7490999836524441</v>
      </c>
      <c r="O136" s="588">
        <f t="shared" si="7"/>
        <v>1.9261827549581989</v>
      </c>
      <c r="P136" s="589">
        <f t="shared" si="5"/>
        <v>-249240.21000000005</v>
      </c>
      <c r="Q136" s="589">
        <f t="shared" si="6"/>
        <v>-37512.527518043236</v>
      </c>
      <c r="R136" s="590"/>
      <c r="S136" s="593"/>
      <c r="T136" s="584"/>
      <c r="U136" s="476"/>
      <c r="V136" s="476"/>
      <c r="W136" s="476"/>
      <c r="X136" s="476"/>
    </row>
    <row r="137" spans="1:24" s="477" customFormat="1" ht="11.25" customHeight="1">
      <c r="A137" s="125"/>
      <c r="B137" s="585" t="s">
        <v>211</v>
      </c>
      <c r="C137" s="585" t="s">
        <v>263</v>
      </c>
      <c r="D137" s="585" t="s">
        <v>355</v>
      </c>
      <c r="E137" s="67" t="s">
        <v>23</v>
      </c>
      <c r="F137" s="146" t="s">
        <v>332</v>
      </c>
      <c r="G137" s="147">
        <v>113</v>
      </c>
      <c r="H137" s="148" t="s">
        <v>30</v>
      </c>
      <c r="I137" s="147" t="s">
        <v>31</v>
      </c>
      <c r="J137" s="149"/>
      <c r="K137" s="149"/>
      <c r="L137" s="149"/>
      <c r="M137" s="586">
        <v>187.4</v>
      </c>
      <c r="N137" s="587">
        <f>'통장내역(환율표)'!D94</f>
        <v>6.7490999836524441</v>
      </c>
      <c r="O137" s="588">
        <f t="shared" si="7"/>
        <v>27.766665252243577</v>
      </c>
      <c r="P137" s="589">
        <f t="shared" si="5"/>
        <v>-249427.61000000004</v>
      </c>
      <c r="Q137" s="589">
        <f t="shared" si="6"/>
        <v>-37540.294183295482</v>
      </c>
      <c r="R137" s="590"/>
      <c r="S137" s="593"/>
      <c r="T137" s="584"/>
      <c r="U137" s="476"/>
      <c r="V137" s="476"/>
      <c r="W137" s="476"/>
      <c r="X137" s="476"/>
    </row>
    <row r="138" spans="1:24" s="477" customFormat="1" ht="11.25" customHeight="1">
      <c r="A138" s="125"/>
      <c r="B138" s="585" t="s">
        <v>211</v>
      </c>
      <c r="C138" s="585" t="s">
        <v>243</v>
      </c>
      <c r="D138" s="585" t="s">
        <v>356</v>
      </c>
      <c r="E138" s="67" t="s">
        <v>153</v>
      </c>
      <c r="F138" s="146" t="s">
        <v>332</v>
      </c>
      <c r="G138" s="147">
        <v>114</v>
      </c>
      <c r="H138" s="148" t="s">
        <v>30</v>
      </c>
      <c r="I138" s="147" t="s">
        <v>31</v>
      </c>
      <c r="J138" s="149"/>
      <c r="K138" s="149"/>
      <c r="L138" s="149"/>
      <c r="M138" s="586">
        <v>114.96</v>
      </c>
      <c r="N138" s="587">
        <f>'통장내역(환율표)'!D94</f>
        <v>6.7490999836524441</v>
      </c>
      <c r="O138" s="588">
        <f t="shared" si="7"/>
        <v>17.033382269999578</v>
      </c>
      <c r="P138" s="589">
        <f t="shared" si="5"/>
        <v>-249542.57000000004</v>
      </c>
      <c r="Q138" s="589">
        <f t="shared" si="6"/>
        <v>-37557.32756556548</v>
      </c>
      <c r="R138" s="590"/>
      <c r="S138" s="593"/>
      <c r="T138" s="584"/>
      <c r="U138" s="476"/>
      <c r="V138" s="476"/>
      <c r="W138" s="476"/>
      <c r="X138" s="476"/>
    </row>
    <row r="139" spans="1:24" s="477" customFormat="1" ht="11.25" customHeight="1">
      <c r="A139" s="125"/>
      <c r="B139" s="585" t="s">
        <v>211</v>
      </c>
      <c r="C139" s="585" t="s">
        <v>222</v>
      </c>
      <c r="D139" s="585"/>
      <c r="E139" s="67" t="s">
        <v>244</v>
      </c>
      <c r="F139" s="146" t="s">
        <v>332</v>
      </c>
      <c r="G139" s="147">
        <v>115</v>
      </c>
      <c r="H139" s="148" t="s">
        <v>23</v>
      </c>
      <c r="I139" s="147"/>
      <c r="J139" s="149"/>
      <c r="K139" s="149"/>
      <c r="L139" s="149"/>
      <c r="M139" s="586">
        <v>140</v>
      </c>
      <c r="N139" s="587">
        <f>'통장내역(환율표)'!D94</f>
        <v>6.7490999836524441</v>
      </c>
      <c r="O139" s="588">
        <f t="shared" si="7"/>
        <v>20.743506591857528</v>
      </c>
      <c r="P139" s="589">
        <f t="shared" si="5"/>
        <v>-249682.57000000004</v>
      </c>
      <c r="Q139" s="589">
        <f t="shared" si="6"/>
        <v>-37578.071072157334</v>
      </c>
      <c r="R139" s="590"/>
      <c r="S139" s="592" t="s">
        <v>299</v>
      </c>
      <c r="T139" s="584"/>
      <c r="U139" s="476"/>
      <c r="V139" s="476"/>
      <c r="W139" s="476"/>
      <c r="X139" s="476"/>
    </row>
    <row r="140" spans="1:24" s="477" customFormat="1" ht="11.25" customHeight="1">
      <c r="A140" s="125"/>
      <c r="B140" s="585" t="s">
        <v>211</v>
      </c>
      <c r="C140" s="585" t="s">
        <v>211</v>
      </c>
      <c r="D140" s="585"/>
      <c r="E140" s="67" t="s">
        <v>49</v>
      </c>
      <c r="F140" s="146" t="s">
        <v>332</v>
      </c>
      <c r="G140" s="147">
        <v>116</v>
      </c>
      <c r="H140" s="148" t="s">
        <v>32</v>
      </c>
      <c r="I140" s="147"/>
      <c r="J140" s="149"/>
      <c r="K140" s="149"/>
      <c r="L140" s="149"/>
      <c r="M140" s="586">
        <v>3.6</v>
      </c>
      <c r="N140" s="587">
        <f>'통장내역(환율표)'!D94</f>
        <v>6.7490999836524441</v>
      </c>
      <c r="O140" s="588">
        <f t="shared" si="7"/>
        <v>0.53340445521919355</v>
      </c>
      <c r="P140" s="589">
        <f t="shared" si="5"/>
        <v>-249686.17000000004</v>
      </c>
      <c r="Q140" s="589">
        <f t="shared" si="6"/>
        <v>-37578.604476612556</v>
      </c>
      <c r="R140" s="590"/>
      <c r="S140" s="592" t="s">
        <v>357</v>
      </c>
      <c r="T140" s="584"/>
      <c r="U140" s="476"/>
      <c r="V140" s="476"/>
      <c r="W140" s="476"/>
      <c r="X140" s="476"/>
    </row>
    <row r="141" spans="1:24" s="477" customFormat="1" ht="11.25" customHeight="1">
      <c r="A141" s="125"/>
      <c r="B141" s="585" t="s">
        <v>173</v>
      </c>
      <c r="C141" s="585" t="s">
        <v>358</v>
      </c>
      <c r="D141" s="585" t="s">
        <v>359</v>
      </c>
      <c r="E141" s="67" t="s">
        <v>23</v>
      </c>
      <c r="F141" s="146" t="s">
        <v>65</v>
      </c>
      <c r="G141" s="147">
        <v>117</v>
      </c>
      <c r="H141" s="148" t="s">
        <v>23</v>
      </c>
      <c r="I141" s="147"/>
      <c r="J141" s="149"/>
      <c r="K141" s="149"/>
      <c r="L141" s="149"/>
      <c r="M141" s="586">
        <v>135</v>
      </c>
      <c r="N141" s="587">
        <f>'통장내역(환율표)'!D94</f>
        <v>6.7490999836524441</v>
      </c>
      <c r="O141" s="588">
        <f t="shared" si="7"/>
        <v>20.00266707071976</v>
      </c>
      <c r="P141" s="589">
        <f t="shared" si="5"/>
        <v>-249821.17000000004</v>
      </c>
      <c r="Q141" s="589">
        <f t="shared" si="6"/>
        <v>-37598.607143683279</v>
      </c>
      <c r="R141" s="590"/>
      <c r="S141" s="592" t="s">
        <v>191</v>
      </c>
      <c r="T141" s="584"/>
      <c r="U141" s="476"/>
      <c r="V141" s="476"/>
      <c r="W141" s="476"/>
      <c r="X141" s="476"/>
    </row>
    <row r="142" spans="1:24" s="576" customFormat="1" ht="12" customHeight="1">
      <c r="A142" s="125"/>
      <c r="B142" s="585" t="s">
        <v>173</v>
      </c>
      <c r="C142" s="585" t="s">
        <v>360</v>
      </c>
      <c r="D142" s="585" t="s">
        <v>361</v>
      </c>
      <c r="E142" s="67" t="s">
        <v>23</v>
      </c>
      <c r="F142" s="146" t="s">
        <v>65</v>
      </c>
      <c r="G142" s="147">
        <v>118</v>
      </c>
      <c r="H142" s="148" t="s">
        <v>23</v>
      </c>
      <c r="I142" s="147"/>
      <c r="J142" s="149"/>
      <c r="K142" s="149"/>
      <c r="L142" s="149"/>
      <c r="M142" s="586">
        <v>68</v>
      </c>
      <c r="N142" s="587">
        <f>'통장내역(환율표)'!D94</f>
        <v>6.7490999836524441</v>
      </c>
      <c r="O142" s="588">
        <f t="shared" si="7"/>
        <v>10.075417487473656</v>
      </c>
      <c r="P142" s="589">
        <f t="shared" si="5"/>
        <v>-249889.17000000004</v>
      </c>
      <c r="Q142" s="589">
        <f t="shared" si="6"/>
        <v>-37608.682561170754</v>
      </c>
      <c r="R142" s="590"/>
      <c r="S142" s="592" t="s">
        <v>191</v>
      </c>
      <c r="T142" s="584"/>
      <c r="U142" s="476"/>
      <c r="V142" s="476"/>
      <c r="W142" s="476"/>
      <c r="X142" s="476"/>
    </row>
    <row r="143" spans="1:24" s="576" customFormat="1" ht="12" customHeight="1">
      <c r="A143" s="125"/>
      <c r="B143" s="585" t="s">
        <v>173</v>
      </c>
      <c r="C143" s="585" t="s">
        <v>362</v>
      </c>
      <c r="D143" s="585" t="s">
        <v>363</v>
      </c>
      <c r="E143" s="67" t="s">
        <v>273</v>
      </c>
      <c r="F143" s="146" t="s">
        <v>65</v>
      </c>
      <c r="G143" s="147">
        <v>119</v>
      </c>
      <c r="H143" s="148" t="s">
        <v>25</v>
      </c>
      <c r="I143" s="147" t="s">
        <v>26</v>
      </c>
      <c r="J143" s="149"/>
      <c r="K143" s="149"/>
      <c r="L143" s="149"/>
      <c r="M143" s="586">
        <v>114.5</v>
      </c>
      <c r="N143" s="587">
        <f>'통장내역(환율표)'!D94</f>
        <v>6.7490999836524441</v>
      </c>
      <c r="O143" s="588">
        <f t="shared" si="7"/>
        <v>16.965225034054907</v>
      </c>
      <c r="P143" s="589">
        <f t="shared" si="5"/>
        <v>-250003.67000000004</v>
      </c>
      <c r="Q143" s="589">
        <f t="shared" si="6"/>
        <v>-37625.647786204805</v>
      </c>
      <c r="R143" s="590"/>
      <c r="S143" s="592" t="s">
        <v>278</v>
      </c>
      <c r="T143" s="584"/>
      <c r="U143" s="476"/>
      <c r="V143" s="476"/>
      <c r="W143" s="476"/>
      <c r="X143" s="476"/>
    </row>
    <row r="144" spans="1:24" s="477" customFormat="1" ht="11.25" customHeight="1">
      <c r="A144" s="125"/>
      <c r="B144" s="585" t="s">
        <v>173</v>
      </c>
      <c r="C144" s="585" t="s">
        <v>364</v>
      </c>
      <c r="D144" s="585" t="s">
        <v>365</v>
      </c>
      <c r="E144" s="67" t="s">
        <v>349</v>
      </c>
      <c r="F144" s="146" t="s">
        <v>65</v>
      </c>
      <c r="G144" s="147">
        <v>120</v>
      </c>
      <c r="H144" s="148" t="s">
        <v>25</v>
      </c>
      <c r="I144" s="147" t="s">
        <v>26</v>
      </c>
      <c r="J144" s="149"/>
      <c r="K144" s="149"/>
      <c r="L144" s="149"/>
      <c r="M144" s="586">
        <v>19.12</v>
      </c>
      <c r="N144" s="587">
        <f>'통장내역(환율표)'!D94</f>
        <v>6.7490999836524441</v>
      </c>
      <c r="O144" s="588">
        <f t="shared" si="7"/>
        <v>2.8329703288308279</v>
      </c>
      <c r="P144" s="589">
        <f t="shared" si="5"/>
        <v>-250022.79000000004</v>
      </c>
      <c r="Q144" s="589">
        <f t="shared" si="6"/>
        <v>-37628.480756533638</v>
      </c>
      <c r="R144" s="590"/>
      <c r="S144" s="593"/>
      <c r="T144" s="584"/>
      <c r="U144" s="476"/>
      <c r="V144" s="476"/>
      <c r="W144" s="476"/>
      <c r="X144" s="476"/>
    </row>
    <row r="145" spans="1:24" s="477" customFormat="1" ht="11.25" customHeight="1">
      <c r="A145" s="125"/>
      <c r="B145" s="585" t="s">
        <v>173</v>
      </c>
      <c r="C145" s="585" t="s">
        <v>364</v>
      </c>
      <c r="D145" s="585" t="s">
        <v>366</v>
      </c>
      <c r="E145" s="67" t="s">
        <v>349</v>
      </c>
      <c r="F145" s="146" t="s">
        <v>65</v>
      </c>
      <c r="G145" s="147">
        <v>121</v>
      </c>
      <c r="H145" s="148" t="s">
        <v>25</v>
      </c>
      <c r="I145" s="147" t="s">
        <v>26</v>
      </c>
      <c r="J145" s="149"/>
      <c r="K145" s="149"/>
      <c r="L145" s="149"/>
      <c r="M145" s="586">
        <v>23.28</v>
      </c>
      <c r="N145" s="587">
        <f>'통장내역(환율표)'!D94</f>
        <v>6.7490999836524441</v>
      </c>
      <c r="O145" s="588">
        <f t="shared" si="7"/>
        <v>3.4493488104174519</v>
      </c>
      <c r="P145" s="589">
        <f t="shared" si="5"/>
        <v>-250046.07000000004</v>
      </c>
      <c r="Q145" s="589">
        <f t="shared" si="6"/>
        <v>-37631.930105344058</v>
      </c>
      <c r="R145" s="590"/>
      <c r="S145" s="593"/>
      <c r="T145" s="584"/>
      <c r="U145" s="476"/>
      <c r="V145" s="476"/>
      <c r="W145" s="476"/>
      <c r="X145" s="476"/>
    </row>
    <row r="146" spans="1:24" s="477" customFormat="1" ht="11.25" customHeight="1">
      <c r="A146" s="125"/>
      <c r="B146" s="585" t="s">
        <v>173</v>
      </c>
      <c r="C146" s="585" t="s">
        <v>364</v>
      </c>
      <c r="D146" s="585" t="s">
        <v>367</v>
      </c>
      <c r="E146" s="67" t="s">
        <v>368</v>
      </c>
      <c r="F146" s="146" t="s">
        <v>65</v>
      </c>
      <c r="G146" s="147">
        <v>122</v>
      </c>
      <c r="H146" s="148" t="s">
        <v>25</v>
      </c>
      <c r="I146" s="147" t="s">
        <v>26</v>
      </c>
      <c r="J146" s="149"/>
      <c r="K146" s="149"/>
      <c r="L146" s="149"/>
      <c r="M146" s="586">
        <v>37.369999999999997</v>
      </c>
      <c r="N146" s="587">
        <f>'통장내역(환율표)'!D94</f>
        <v>6.7490999836524441</v>
      </c>
      <c r="O146" s="588">
        <f t="shared" si="7"/>
        <v>5.5370345809836836</v>
      </c>
      <c r="P146" s="589">
        <f t="shared" si="5"/>
        <v>-250083.44000000003</v>
      </c>
      <c r="Q146" s="589">
        <f t="shared" si="6"/>
        <v>-37637.467139925044</v>
      </c>
      <c r="R146" s="590"/>
      <c r="S146" s="592" t="s">
        <v>338</v>
      </c>
      <c r="T146" s="584"/>
      <c r="U146" s="476"/>
      <c r="V146" s="476"/>
      <c r="W146" s="476"/>
      <c r="X146" s="476"/>
    </row>
    <row r="147" spans="1:24" s="477" customFormat="1" ht="11.25" customHeight="1">
      <c r="A147" s="125"/>
      <c r="B147" s="585" t="s">
        <v>173</v>
      </c>
      <c r="C147" s="585" t="s">
        <v>364</v>
      </c>
      <c r="D147" s="585" t="s">
        <v>369</v>
      </c>
      <c r="E147" s="67" t="s">
        <v>349</v>
      </c>
      <c r="F147" s="146" t="s">
        <v>65</v>
      </c>
      <c r="G147" s="147">
        <v>123</v>
      </c>
      <c r="H147" s="148" t="s">
        <v>25</v>
      </c>
      <c r="I147" s="147" t="s">
        <v>26</v>
      </c>
      <c r="J147" s="149"/>
      <c r="K147" s="149"/>
      <c r="L147" s="149"/>
      <c r="M147" s="586">
        <v>34.64</v>
      </c>
      <c r="N147" s="587">
        <f>'통장내역(환율표)'!D94</f>
        <v>6.7490999836524441</v>
      </c>
      <c r="O147" s="588">
        <f t="shared" si="7"/>
        <v>5.1325362024424628</v>
      </c>
      <c r="P147" s="589">
        <f t="shared" si="5"/>
        <v>-250118.08000000005</v>
      </c>
      <c r="Q147" s="589">
        <f t="shared" si="6"/>
        <v>-37642.599676127487</v>
      </c>
      <c r="R147" s="590"/>
      <c r="S147" s="592" t="s">
        <v>255</v>
      </c>
      <c r="T147" s="584"/>
      <c r="U147" s="476"/>
      <c r="V147" s="476"/>
      <c r="W147" s="476"/>
      <c r="X147" s="476"/>
    </row>
    <row r="148" spans="1:24" s="477" customFormat="1" ht="11.25" customHeight="1">
      <c r="A148" s="125"/>
      <c r="B148" s="585" t="s">
        <v>173</v>
      </c>
      <c r="C148" s="585" t="s">
        <v>364</v>
      </c>
      <c r="D148" s="585" t="s">
        <v>370</v>
      </c>
      <c r="E148" s="67" t="s">
        <v>349</v>
      </c>
      <c r="F148" s="146" t="s">
        <v>65</v>
      </c>
      <c r="G148" s="147">
        <v>124</v>
      </c>
      <c r="H148" s="148" t="s">
        <v>25</v>
      </c>
      <c r="I148" s="147" t="s">
        <v>26</v>
      </c>
      <c r="J148" s="149"/>
      <c r="K148" s="149"/>
      <c r="L148" s="149"/>
      <c r="M148" s="586">
        <v>99</v>
      </c>
      <c r="N148" s="587">
        <f>'통장내역(환율표)'!D94</f>
        <v>6.7490999836524441</v>
      </c>
      <c r="O148" s="588">
        <f t="shared" si="7"/>
        <v>14.668622518527823</v>
      </c>
      <c r="P148" s="589">
        <f t="shared" si="5"/>
        <v>-250217.08000000005</v>
      </c>
      <c r="Q148" s="589">
        <f t="shared" si="6"/>
        <v>-37657.268298646013</v>
      </c>
      <c r="R148" s="590"/>
      <c r="S148" s="592" t="s">
        <v>343</v>
      </c>
      <c r="T148" s="584"/>
      <c r="U148" s="476"/>
      <c r="V148" s="476"/>
      <c r="W148" s="476"/>
      <c r="X148" s="476"/>
    </row>
    <row r="149" spans="1:24" s="477" customFormat="1" ht="11.25" customHeight="1">
      <c r="A149" s="125"/>
      <c r="B149" s="585" t="s">
        <v>173</v>
      </c>
      <c r="C149" s="585" t="s">
        <v>364</v>
      </c>
      <c r="D149" s="585" t="s">
        <v>371</v>
      </c>
      <c r="E149" s="67" t="s">
        <v>368</v>
      </c>
      <c r="F149" s="146" t="s">
        <v>65</v>
      </c>
      <c r="G149" s="147">
        <v>125</v>
      </c>
      <c r="H149" s="148" t="s">
        <v>25</v>
      </c>
      <c r="I149" s="147" t="s">
        <v>26</v>
      </c>
      <c r="J149" s="149"/>
      <c r="K149" s="149"/>
      <c r="L149" s="149"/>
      <c r="M149" s="586">
        <v>57.29</v>
      </c>
      <c r="N149" s="587">
        <f>'통장내역(환율표)'!D94</f>
        <v>6.7490999836524441</v>
      </c>
      <c r="O149" s="588">
        <f t="shared" si="7"/>
        <v>8.4885392331965548</v>
      </c>
      <c r="P149" s="589">
        <f t="shared" si="5"/>
        <v>-250274.37000000005</v>
      </c>
      <c r="Q149" s="589">
        <f t="shared" si="6"/>
        <v>-37665.756837879213</v>
      </c>
      <c r="R149" s="590"/>
      <c r="S149" s="592" t="s">
        <v>313</v>
      </c>
      <c r="T149" s="584"/>
      <c r="U149" s="476"/>
      <c r="V149" s="476"/>
      <c r="W149" s="476"/>
      <c r="X149" s="476"/>
    </row>
    <row r="150" spans="1:24" s="576" customFormat="1" ht="12" customHeight="1">
      <c r="A150" s="125"/>
      <c r="B150" s="585" t="s">
        <v>173</v>
      </c>
      <c r="C150" s="585" t="s">
        <v>364</v>
      </c>
      <c r="D150" s="585" t="s">
        <v>372</v>
      </c>
      <c r="E150" s="67" t="s">
        <v>349</v>
      </c>
      <c r="F150" s="146" t="s">
        <v>65</v>
      </c>
      <c r="G150" s="147">
        <v>126</v>
      </c>
      <c r="H150" s="148" t="s">
        <v>25</v>
      </c>
      <c r="I150" s="147" t="s">
        <v>26</v>
      </c>
      <c r="J150" s="149"/>
      <c r="K150" s="149"/>
      <c r="L150" s="149"/>
      <c r="M150" s="586">
        <v>924</v>
      </c>
      <c r="N150" s="587">
        <f>'통장내역(환율표)'!D94</f>
        <v>6.7490999836524441</v>
      </c>
      <c r="O150" s="588">
        <f t="shared" si="7"/>
        <v>136.90714350625967</v>
      </c>
      <c r="P150" s="589">
        <f t="shared" ref="P150:P213" si="8">P149+J150-M150</f>
        <v>-251198.37000000005</v>
      </c>
      <c r="Q150" s="589">
        <f t="shared" ref="Q150:Q213" si="9">Q149+L150-O150</f>
        <v>-37802.663981385471</v>
      </c>
      <c r="R150" s="590"/>
      <c r="S150" s="592" t="s">
        <v>215</v>
      </c>
      <c r="T150" s="584"/>
      <c r="U150" s="476"/>
      <c r="V150" s="476"/>
      <c r="W150" s="476"/>
      <c r="X150" s="476"/>
    </row>
    <row r="151" spans="1:24" s="576" customFormat="1" ht="12" customHeight="1">
      <c r="A151" s="125"/>
      <c r="B151" s="585" t="s">
        <v>173</v>
      </c>
      <c r="C151" s="585" t="s">
        <v>373</v>
      </c>
      <c r="D151" s="585" t="s">
        <v>374</v>
      </c>
      <c r="E151" s="67" t="s">
        <v>273</v>
      </c>
      <c r="F151" s="146" t="s">
        <v>65</v>
      </c>
      <c r="G151" s="147">
        <v>127</v>
      </c>
      <c r="H151" s="148" t="s">
        <v>25</v>
      </c>
      <c r="I151" s="147" t="s">
        <v>26</v>
      </c>
      <c r="J151" s="149"/>
      <c r="K151" s="149"/>
      <c r="L151" s="149"/>
      <c r="M151" s="586">
        <v>66</v>
      </c>
      <c r="N151" s="587">
        <f>'통장내역(환율표)'!D94</f>
        <v>6.7490999836524441</v>
      </c>
      <c r="O151" s="588">
        <f t="shared" si="7"/>
        <v>9.7790816790185477</v>
      </c>
      <c r="P151" s="589">
        <f t="shared" si="8"/>
        <v>-251264.37000000005</v>
      </c>
      <c r="Q151" s="589">
        <f t="shared" si="9"/>
        <v>-37812.443063064493</v>
      </c>
      <c r="R151" s="590"/>
      <c r="S151" s="592" t="s">
        <v>375</v>
      </c>
      <c r="T151" s="584"/>
      <c r="U151" s="476"/>
      <c r="V151" s="476"/>
      <c r="W151" s="476"/>
      <c r="X151" s="476"/>
    </row>
    <row r="152" spans="1:24" s="477" customFormat="1" ht="11.25" customHeight="1">
      <c r="A152" s="125"/>
      <c r="B152" s="585" t="s">
        <v>173</v>
      </c>
      <c r="C152" s="585" t="s">
        <v>373</v>
      </c>
      <c r="D152" s="585" t="s">
        <v>376</v>
      </c>
      <c r="E152" s="67" t="s">
        <v>203</v>
      </c>
      <c r="F152" s="146" t="s">
        <v>65</v>
      </c>
      <c r="G152" s="147">
        <v>128</v>
      </c>
      <c r="H152" s="148" t="s">
        <v>25</v>
      </c>
      <c r="I152" s="147" t="s">
        <v>26</v>
      </c>
      <c r="J152" s="149"/>
      <c r="K152" s="149"/>
      <c r="L152" s="149"/>
      <c r="M152" s="586">
        <v>1846</v>
      </c>
      <c r="N152" s="587">
        <f>'통장내역(환율표)'!D94</f>
        <v>6.7490999836524441</v>
      </c>
      <c r="O152" s="588">
        <f t="shared" si="7"/>
        <v>273.51795120406422</v>
      </c>
      <c r="P152" s="589">
        <f t="shared" si="8"/>
        <v>-253110.37000000005</v>
      </c>
      <c r="Q152" s="589">
        <f t="shared" si="9"/>
        <v>-38085.961014268556</v>
      </c>
      <c r="R152" s="590"/>
      <c r="S152" s="593"/>
      <c r="T152" s="584"/>
      <c r="U152" s="476"/>
      <c r="V152" s="476"/>
      <c r="W152" s="476"/>
      <c r="X152" s="476"/>
    </row>
    <row r="153" spans="1:24" s="477" customFormat="1" ht="11.25" customHeight="1">
      <c r="A153" s="125"/>
      <c r="B153" s="585" t="s">
        <v>173</v>
      </c>
      <c r="C153" s="585" t="s">
        <v>373</v>
      </c>
      <c r="D153" s="585" t="s">
        <v>377</v>
      </c>
      <c r="E153" s="67" t="s">
        <v>273</v>
      </c>
      <c r="F153" s="146" t="s">
        <v>65</v>
      </c>
      <c r="G153" s="147">
        <v>129</v>
      </c>
      <c r="H153" s="148" t="s">
        <v>25</v>
      </c>
      <c r="I153" s="147" t="s">
        <v>26</v>
      </c>
      <c r="J153" s="149"/>
      <c r="K153" s="149"/>
      <c r="L153" s="149"/>
      <c r="M153" s="586">
        <v>66</v>
      </c>
      <c r="N153" s="587">
        <f>'통장내역(환율표)'!D94</f>
        <v>6.7490999836524441</v>
      </c>
      <c r="O153" s="588">
        <f t="shared" si="7"/>
        <v>9.7790816790185477</v>
      </c>
      <c r="P153" s="589">
        <f t="shared" si="8"/>
        <v>-253176.37000000005</v>
      </c>
      <c r="Q153" s="589">
        <f t="shared" si="9"/>
        <v>-38095.740095947578</v>
      </c>
      <c r="R153" s="590"/>
      <c r="S153" s="592" t="s">
        <v>378</v>
      </c>
      <c r="T153" s="584"/>
      <c r="U153" s="476"/>
      <c r="V153" s="476"/>
      <c r="W153" s="476"/>
      <c r="X153" s="476"/>
    </row>
    <row r="154" spans="1:24" s="477" customFormat="1" ht="11.25" customHeight="1">
      <c r="A154" s="125"/>
      <c r="B154" s="585" t="s">
        <v>173</v>
      </c>
      <c r="C154" s="585" t="s">
        <v>373</v>
      </c>
      <c r="D154" s="585" t="s">
        <v>379</v>
      </c>
      <c r="E154" s="67" t="s">
        <v>273</v>
      </c>
      <c r="F154" s="146" t="s">
        <v>65</v>
      </c>
      <c r="G154" s="147">
        <v>130</v>
      </c>
      <c r="H154" s="148" t="s">
        <v>25</v>
      </c>
      <c r="I154" s="147" t="s">
        <v>26</v>
      </c>
      <c r="J154" s="149"/>
      <c r="K154" s="149"/>
      <c r="L154" s="149"/>
      <c r="M154" s="586">
        <v>68</v>
      </c>
      <c r="N154" s="587">
        <f>'통장내역(환율표)'!D94</f>
        <v>6.7490999836524441</v>
      </c>
      <c r="O154" s="588">
        <f t="shared" ref="O154:O217" si="10">M154/N154</f>
        <v>10.075417487473656</v>
      </c>
      <c r="P154" s="589">
        <f t="shared" si="8"/>
        <v>-253244.37000000005</v>
      </c>
      <c r="Q154" s="589">
        <f t="shared" si="9"/>
        <v>-38105.815513435053</v>
      </c>
      <c r="R154" s="590"/>
      <c r="S154" s="593"/>
      <c r="T154" s="584"/>
      <c r="U154" s="476"/>
      <c r="V154" s="476"/>
      <c r="W154" s="476"/>
      <c r="X154" s="476"/>
    </row>
    <row r="155" spans="1:24" s="477" customFormat="1" ht="11.25" customHeight="1">
      <c r="A155" s="125"/>
      <c r="B155" s="585" t="s">
        <v>173</v>
      </c>
      <c r="C155" s="585" t="s">
        <v>380</v>
      </c>
      <c r="D155" s="585" t="s">
        <v>381</v>
      </c>
      <c r="E155" s="67" t="s">
        <v>368</v>
      </c>
      <c r="F155" s="146" t="s">
        <v>65</v>
      </c>
      <c r="G155" s="147">
        <v>131</v>
      </c>
      <c r="H155" s="148" t="s">
        <v>30</v>
      </c>
      <c r="I155" s="147" t="s">
        <v>31</v>
      </c>
      <c r="J155" s="149"/>
      <c r="K155" s="149"/>
      <c r="L155" s="149"/>
      <c r="M155" s="586">
        <v>369</v>
      </c>
      <c r="N155" s="587">
        <f>'통장내역(환율표)'!D94</f>
        <v>6.7490999836524441</v>
      </c>
      <c r="O155" s="588">
        <f t="shared" si="10"/>
        <v>54.673956659967338</v>
      </c>
      <c r="P155" s="589">
        <f t="shared" si="8"/>
        <v>-253613.37000000005</v>
      </c>
      <c r="Q155" s="589">
        <f t="shared" si="9"/>
        <v>-38160.489470095017</v>
      </c>
      <c r="R155" s="590"/>
      <c r="S155" s="592" t="s">
        <v>191</v>
      </c>
      <c r="T155" s="584"/>
      <c r="U155" s="476"/>
      <c r="V155" s="476"/>
      <c r="W155" s="476"/>
      <c r="X155" s="476"/>
    </row>
    <row r="156" spans="1:24" s="477" customFormat="1" ht="11.25" customHeight="1">
      <c r="A156" s="125"/>
      <c r="B156" s="585" t="s">
        <v>173</v>
      </c>
      <c r="C156" s="585" t="s">
        <v>380</v>
      </c>
      <c r="D156" s="585"/>
      <c r="E156" s="67" t="s">
        <v>382</v>
      </c>
      <c r="F156" s="146" t="s">
        <v>65</v>
      </c>
      <c r="G156" s="147">
        <v>132</v>
      </c>
      <c r="H156" s="148" t="s">
        <v>25</v>
      </c>
      <c r="I156" s="147" t="s">
        <v>26</v>
      </c>
      <c r="J156" s="149"/>
      <c r="K156" s="149"/>
      <c r="L156" s="149"/>
      <c r="M156" s="586">
        <v>21.61</v>
      </c>
      <c r="N156" s="587">
        <f>'통장내역(환율표)'!D94</f>
        <v>6.7490999836524441</v>
      </c>
      <c r="O156" s="588">
        <f t="shared" si="10"/>
        <v>3.2019084103574369</v>
      </c>
      <c r="P156" s="589">
        <f t="shared" si="8"/>
        <v>-253634.98000000004</v>
      </c>
      <c r="Q156" s="589">
        <f t="shared" si="9"/>
        <v>-38163.691378505377</v>
      </c>
      <c r="R156" s="590"/>
      <c r="S156" s="592" t="s">
        <v>191</v>
      </c>
      <c r="T156" s="584"/>
      <c r="U156" s="476"/>
      <c r="V156" s="476"/>
      <c r="W156" s="476"/>
      <c r="X156" s="476"/>
    </row>
    <row r="157" spans="1:24" s="477" customFormat="1" ht="11.25" customHeight="1">
      <c r="A157" s="125"/>
      <c r="B157" s="585" t="s">
        <v>173</v>
      </c>
      <c r="C157" s="585" t="s">
        <v>383</v>
      </c>
      <c r="D157" s="585"/>
      <c r="E157" s="67" t="s">
        <v>23</v>
      </c>
      <c r="F157" s="146" t="s">
        <v>65</v>
      </c>
      <c r="G157" s="147">
        <v>133</v>
      </c>
      <c r="H157" s="148" t="s">
        <v>23</v>
      </c>
      <c r="I157" s="147"/>
      <c r="J157" s="149"/>
      <c r="K157" s="149"/>
      <c r="L157" s="149"/>
      <c r="M157" s="586">
        <v>370</v>
      </c>
      <c r="N157" s="587">
        <f>'통장내역(환율표)'!D94</f>
        <v>6.7490999836524441</v>
      </c>
      <c r="O157" s="588">
        <f t="shared" si="10"/>
        <v>54.822124564194894</v>
      </c>
      <c r="P157" s="589">
        <f t="shared" si="8"/>
        <v>-254004.98000000004</v>
      </c>
      <c r="Q157" s="589">
        <f t="shared" si="9"/>
        <v>-38218.513503069575</v>
      </c>
      <c r="R157" s="590"/>
      <c r="S157" s="592" t="s">
        <v>191</v>
      </c>
      <c r="T157" s="584"/>
      <c r="U157" s="476"/>
      <c r="V157" s="476"/>
      <c r="W157" s="476"/>
      <c r="X157" s="476"/>
    </row>
    <row r="158" spans="1:24" s="477" customFormat="1" ht="11.25" customHeight="1">
      <c r="A158" s="125"/>
      <c r="B158" s="585" t="s">
        <v>173</v>
      </c>
      <c r="C158" s="585" t="s">
        <v>383</v>
      </c>
      <c r="D158" s="585" t="s">
        <v>384</v>
      </c>
      <c r="E158" s="67" t="s">
        <v>203</v>
      </c>
      <c r="F158" s="146" t="s">
        <v>65</v>
      </c>
      <c r="G158" s="147">
        <v>134</v>
      </c>
      <c r="H158" s="148" t="s">
        <v>23</v>
      </c>
      <c r="I158" s="147"/>
      <c r="J158" s="149"/>
      <c r="K158" s="149"/>
      <c r="L158" s="149"/>
      <c r="M158" s="586">
        <v>2.31</v>
      </c>
      <c r="N158" s="587">
        <f>'통장내역(환율표)'!D94</f>
        <v>6.7490999836524441</v>
      </c>
      <c r="O158" s="588">
        <f t="shared" si="10"/>
        <v>0.34226785876564919</v>
      </c>
      <c r="P158" s="589">
        <f t="shared" si="8"/>
        <v>-254007.29000000004</v>
      </c>
      <c r="Q158" s="589">
        <f t="shared" si="9"/>
        <v>-38218.855770928341</v>
      </c>
      <c r="R158" s="590"/>
      <c r="S158" s="592" t="s">
        <v>191</v>
      </c>
      <c r="T158" s="584"/>
      <c r="U158" s="476"/>
      <c r="V158" s="476"/>
      <c r="W158" s="476"/>
      <c r="X158" s="476"/>
    </row>
    <row r="159" spans="1:24" s="477" customFormat="1" ht="11.25" customHeight="1">
      <c r="A159" s="125"/>
      <c r="B159" s="585" t="s">
        <v>173</v>
      </c>
      <c r="C159" s="585" t="s">
        <v>248</v>
      </c>
      <c r="D159" s="585" t="s">
        <v>385</v>
      </c>
      <c r="E159" s="67" t="s">
        <v>368</v>
      </c>
      <c r="F159" s="146" t="s">
        <v>65</v>
      </c>
      <c r="G159" s="147">
        <v>135</v>
      </c>
      <c r="H159" s="148" t="s">
        <v>25</v>
      </c>
      <c r="I159" s="147" t="s">
        <v>26</v>
      </c>
      <c r="J159" s="149"/>
      <c r="K159" s="149"/>
      <c r="L159" s="149"/>
      <c r="M159" s="586">
        <v>33.65</v>
      </c>
      <c r="N159" s="587">
        <f>'통장내역(환율표)'!D94</f>
        <v>6.7490999836524441</v>
      </c>
      <c r="O159" s="588">
        <f t="shared" si="10"/>
        <v>4.9858499772571836</v>
      </c>
      <c r="P159" s="589">
        <f t="shared" si="8"/>
        <v>-254040.94000000003</v>
      </c>
      <c r="Q159" s="589">
        <f t="shared" si="9"/>
        <v>-38223.841620905601</v>
      </c>
      <c r="R159" s="590"/>
      <c r="S159" s="592" t="s">
        <v>191</v>
      </c>
      <c r="T159" s="584"/>
      <c r="U159" s="476"/>
      <c r="V159" s="476"/>
      <c r="W159" s="476"/>
      <c r="X159" s="476"/>
    </row>
    <row r="160" spans="1:24" s="477" customFormat="1" ht="11.25" customHeight="1">
      <c r="A160" s="125"/>
      <c r="B160" s="585" t="s">
        <v>173</v>
      </c>
      <c r="C160" s="585" t="s">
        <v>248</v>
      </c>
      <c r="D160" s="585" t="s">
        <v>386</v>
      </c>
      <c r="E160" s="67" t="s">
        <v>368</v>
      </c>
      <c r="F160" s="146" t="s">
        <v>65</v>
      </c>
      <c r="G160" s="147">
        <v>136</v>
      </c>
      <c r="H160" s="148" t="s">
        <v>32</v>
      </c>
      <c r="I160" s="147"/>
      <c r="J160" s="149"/>
      <c r="K160" s="149"/>
      <c r="L160" s="149"/>
      <c r="M160" s="586">
        <v>702.60400000000004</v>
      </c>
      <c r="N160" s="587">
        <f>'통장내역(환율표)'!D94</f>
        <v>6.7490999836524441</v>
      </c>
      <c r="O160" s="588">
        <f t="shared" si="10"/>
        <v>104.10336218189619</v>
      </c>
      <c r="P160" s="589">
        <f t="shared" si="8"/>
        <v>-254743.54400000002</v>
      </c>
      <c r="Q160" s="589">
        <f t="shared" si="9"/>
        <v>-38327.944983087495</v>
      </c>
      <c r="R160" s="590"/>
      <c r="S160" s="592" t="s">
        <v>387</v>
      </c>
      <c r="T160" s="584"/>
      <c r="U160" s="476"/>
      <c r="V160" s="476"/>
      <c r="W160" s="476"/>
      <c r="X160" s="476"/>
    </row>
    <row r="161" spans="1:24" s="576" customFormat="1" ht="12" customHeight="1">
      <c r="A161" s="125"/>
      <c r="B161" s="585" t="s">
        <v>173</v>
      </c>
      <c r="C161" s="585" t="s">
        <v>248</v>
      </c>
      <c r="D161" s="585" t="s">
        <v>388</v>
      </c>
      <c r="E161" s="67" t="s">
        <v>203</v>
      </c>
      <c r="F161" s="146" t="s">
        <v>65</v>
      </c>
      <c r="G161" s="147">
        <v>137</v>
      </c>
      <c r="H161" s="148" t="s">
        <v>32</v>
      </c>
      <c r="I161" s="147"/>
      <c r="J161" s="149"/>
      <c r="K161" s="149"/>
      <c r="L161" s="149"/>
      <c r="M161" s="586">
        <v>3.6</v>
      </c>
      <c r="N161" s="587">
        <f>'통장내역(환율표)'!D94</f>
        <v>6.7490999836524441</v>
      </c>
      <c r="O161" s="588">
        <f t="shared" si="10"/>
        <v>0.53340445521919355</v>
      </c>
      <c r="P161" s="589">
        <f t="shared" si="8"/>
        <v>-254747.14400000003</v>
      </c>
      <c r="Q161" s="589">
        <f t="shared" si="9"/>
        <v>-38328.478387542717</v>
      </c>
      <c r="R161" s="590"/>
      <c r="S161" s="592" t="s">
        <v>389</v>
      </c>
      <c r="T161" s="584"/>
      <c r="U161" s="476"/>
      <c r="V161" s="476"/>
      <c r="W161" s="476"/>
      <c r="X161" s="476"/>
    </row>
    <row r="162" spans="1:24" s="576" customFormat="1" ht="12" customHeight="1">
      <c r="A162" s="125"/>
      <c r="B162" s="585" t="s">
        <v>173</v>
      </c>
      <c r="C162" s="585" t="s">
        <v>390</v>
      </c>
      <c r="D162" s="585" t="s">
        <v>391</v>
      </c>
      <c r="E162" s="67" t="s">
        <v>273</v>
      </c>
      <c r="F162" s="146" t="s">
        <v>65</v>
      </c>
      <c r="G162" s="147">
        <v>138</v>
      </c>
      <c r="H162" s="148" t="s">
        <v>25</v>
      </c>
      <c r="I162" s="147" t="s">
        <v>26</v>
      </c>
      <c r="J162" s="149"/>
      <c r="K162" s="149"/>
      <c r="L162" s="149"/>
      <c r="M162" s="586">
        <v>0</v>
      </c>
      <c r="N162" s="587">
        <f>'통장내역(환율표)'!D94</f>
        <v>6.7490999836524441</v>
      </c>
      <c r="O162" s="588">
        <f t="shared" si="10"/>
        <v>0</v>
      </c>
      <c r="P162" s="589">
        <f t="shared" si="8"/>
        <v>-254747.14400000003</v>
      </c>
      <c r="Q162" s="589">
        <f t="shared" si="9"/>
        <v>-38328.478387542717</v>
      </c>
      <c r="R162" s="590"/>
      <c r="S162" s="593"/>
      <c r="T162" s="584"/>
      <c r="U162" s="476"/>
      <c r="V162" s="476"/>
      <c r="W162" s="476"/>
      <c r="X162" s="476"/>
    </row>
    <row r="163" spans="1:24" s="477" customFormat="1" ht="11.25" customHeight="1">
      <c r="A163" s="125"/>
      <c r="B163" s="585" t="s">
        <v>173</v>
      </c>
      <c r="C163" s="585" t="s">
        <v>390</v>
      </c>
      <c r="D163" s="585" t="s">
        <v>392</v>
      </c>
      <c r="E163" s="67" t="s">
        <v>273</v>
      </c>
      <c r="F163" s="146" t="s">
        <v>65</v>
      </c>
      <c r="G163" s="147">
        <v>139</v>
      </c>
      <c r="H163" s="148" t="s">
        <v>25</v>
      </c>
      <c r="I163" s="147" t="s">
        <v>26</v>
      </c>
      <c r="J163" s="149"/>
      <c r="K163" s="149"/>
      <c r="L163" s="149"/>
      <c r="M163" s="586">
        <v>50</v>
      </c>
      <c r="N163" s="587">
        <f>'통장내역(환율표)'!D94</f>
        <v>6.7490999836524441</v>
      </c>
      <c r="O163" s="588">
        <f t="shared" si="10"/>
        <v>7.4083952113776883</v>
      </c>
      <c r="P163" s="589">
        <f t="shared" si="8"/>
        <v>-254797.14400000003</v>
      </c>
      <c r="Q163" s="589">
        <f t="shared" si="9"/>
        <v>-38335.886782754096</v>
      </c>
      <c r="R163" s="590"/>
      <c r="S163" s="593"/>
      <c r="T163" s="584"/>
      <c r="U163" s="476"/>
      <c r="V163" s="476"/>
      <c r="W163" s="476"/>
      <c r="X163" s="476"/>
    </row>
    <row r="164" spans="1:24" s="477" customFormat="1" ht="11.25" customHeight="1">
      <c r="A164" s="125"/>
      <c r="B164" s="585" t="s">
        <v>173</v>
      </c>
      <c r="C164" s="585" t="s">
        <v>390</v>
      </c>
      <c r="D164" s="585" t="s">
        <v>393</v>
      </c>
      <c r="E164" s="67" t="s">
        <v>273</v>
      </c>
      <c r="F164" s="146" t="s">
        <v>65</v>
      </c>
      <c r="G164" s="147">
        <v>140</v>
      </c>
      <c r="H164" s="148" t="s">
        <v>25</v>
      </c>
      <c r="I164" s="147" t="s">
        <v>26</v>
      </c>
      <c r="J164" s="149"/>
      <c r="K164" s="149"/>
      <c r="L164" s="149"/>
      <c r="M164" s="586">
        <v>1368</v>
      </c>
      <c r="N164" s="587">
        <f>'통장내역(환율표)'!D94</f>
        <v>6.7490999836524441</v>
      </c>
      <c r="O164" s="588">
        <f t="shared" si="10"/>
        <v>202.69369298329354</v>
      </c>
      <c r="P164" s="589">
        <f t="shared" si="8"/>
        <v>-256165.14400000003</v>
      </c>
      <c r="Q164" s="589">
        <f t="shared" si="9"/>
        <v>-38538.580475737392</v>
      </c>
      <c r="R164" s="590"/>
      <c r="S164" s="592" t="s">
        <v>278</v>
      </c>
      <c r="T164" s="584"/>
      <c r="U164" s="476"/>
      <c r="V164" s="476"/>
      <c r="W164" s="476"/>
      <c r="X164" s="476"/>
    </row>
    <row r="165" spans="1:24" s="477" customFormat="1" ht="11.25" customHeight="1">
      <c r="A165" s="125"/>
      <c r="B165" s="585" t="s">
        <v>173</v>
      </c>
      <c r="C165" s="585" t="s">
        <v>251</v>
      </c>
      <c r="D165" s="585"/>
      <c r="E165" s="67" t="s">
        <v>349</v>
      </c>
      <c r="F165" s="146" t="s">
        <v>65</v>
      </c>
      <c r="G165" s="147">
        <v>141</v>
      </c>
      <c r="H165" s="148" t="s">
        <v>25</v>
      </c>
      <c r="I165" s="147" t="s">
        <v>26</v>
      </c>
      <c r="J165" s="149"/>
      <c r="K165" s="149"/>
      <c r="L165" s="149"/>
      <c r="M165" s="586">
        <v>890</v>
      </c>
      <c r="N165" s="587">
        <f>'통장내역(환율표)'!D94</f>
        <v>6.7490999836524441</v>
      </c>
      <c r="O165" s="588">
        <f t="shared" si="10"/>
        <v>131.86943476252284</v>
      </c>
      <c r="P165" s="589">
        <f t="shared" si="8"/>
        <v>-257055.14400000003</v>
      </c>
      <c r="Q165" s="589">
        <f t="shared" si="9"/>
        <v>-38670.449910499912</v>
      </c>
      <c r="R165" s="590"/>
      <c r="S165" s="592" t="s">
        <v>280</v>
      </c>
      <c r="T165" s="584"/>
      <c r="U165" s="476"/>
      <c r="V165" s="476"/>
      <c r="W165" s="476"/>
      <c r="X165" s="476"/>
    </row>
    <row r="166" spans="1:24" s="477" customFormat="1" ht="11.25" customHeight="1">
      <c r="A166" s="125"/>
      <c r="B166" s="585" t="s">
        <v>173</v>
      </c>
      <c r="C166" s="585" t="s">
        <v>261</v>
      </c>
      <c r="D166" s="585" t="s">
        <v>394</v>
      </c>
      <c r="E166" s="67" t="s">
        <v>395</v>
      </c>
      <c r="F166" s="146" t="s">
        <v>65</v>
      </c>
      <c r="G166" s="147">
        <v>142</v>
      </c>
      <c r="H166" s="148" t="s">
        <v>25</v>
      </c>
      <c r="I166" s="147" t="s">
        <v>26</v>
      </c>
      <c r="J166" s="149"/>
      <c r="K166" s="149"/>
      <c r="L166" s="149"/>
      <c r="M166" s="586">
        <v>983</v>
      </c>
      <c r="N166" s="587">
        <f>'통장내역(환율표)'!D94</f>
        <v>6.7490999836524441</v>
      </c>
      <c r="O166" s="588">
        <f t="shared" si="10"/>
        <v>145.64904985568535</v>
      </c>
      <c r="P166" s="589">
        <f t="shared" si="8"/>
        <v>-258038.14400000003</v>
      </c>
      <c r="Q166" s="589">
        <f t="shared" si="9"/>
        <v>-38816.098960355601</v>
      </c>
      <c r="R166" s="590"/>
      <c r="S166" s="593"/>
      <c r="T166" s="584"/>
      <c r="U166" s="476"/>
      <c r="V166" s="476"/>
      <c r="W166" s="476"/>
      <c r="X166" s="476"/>
    </row>
    <row r="167" spans="1:24" s="477" customFormat="1" ht="11.25" customHeight="1">
      <c r="A167" s="125"/>
      <c r="B167" s="585" t="s">
        <v>173</v>
      </c>
      <c r="C167" s="585" t="s">
        <v>230</v>
      </c>
      <c r="D167" s="585" t="s">
        <v>396</v>
      </c>
      <c r="E167" s="67" t="s">
        <v>203</v>
      </c>
      <c r="F167" s="146" t="s">
        <v>65</v>
      </c>
      <c r="G167" s="147">
        <v>143</v>
      </c>
      <c r="H167" s="148" t="s">
        <v>25</v>
      </c>
      <c r="I167" s="147" t="s">
        <v>26</v>
      </c>
      <c r="J167" s="149"/>
      <c r="K167" s="149"/>
      <c r="L167" s="149"/>
      <c r="M167" s="586">
        <v>30</v>
      </c>
      <c r="N167" s="587">
        <f>'통장내역(환율표)'!D94</f>
        <v>6.7490999836524441</v>
      </c>
      <c r="O167" s="588">
        <f t="shared" si="10"/>
        <v>4.4450371268266125</v>
      </c>
      <c r="P167" s="589">
        <f t="shared" si="8"/>
        <v>-258068.14400000003</v>
      </c>
      <c r="Q167" s="589">
        <f t="shared" si="9"/>
        <v>-38820.543997482426</v>
      </c>
      <c r="R167" s="590"/>
      <c r="S167" s="592" t="s">
        <v>338</v>
      </c>
      <c r="T167" s="584"/>
      <c r="U167" s="476"/>
      <c r="V167" s="476"/>
      <c r="W167" s="476"/>
      <c r="X167" s="476"/>
    </row>
    <row r="168" spans="1:24" s="477" customFormat="1" ht="11.25" customHeight="1">
      <c r="A168" s="125"/>
      <c r="B168" s="585" t="s">
        <v>173</v>
      </c>
      <c r="C168" s="585" t="s">
        <v>230</v>
      </c>
      <c r="D168" s="585" t="s">
        <v>397</v>
      </c>
      <c r="E168" s="67" t="s">
        <v>203</v>
      </c>
      <c r="F168" s="146" t="s">
        <v>65</v>
      </c>
      <c r="G168" s="147">
        <v>144</v>
      </c>
      <c r="H168" s="148" t="s">
        <v>25</v>
      </c>
      <c r="I168" s="147" t="s">
        <v>26</v>
      </c>
      <c r="J168" s="149"/>
      <c r="K168" s="149"/>
      <c r="L168" s="149"/>
      <c r="M168" s="586">
        <v>58</v>
      </c>
      <c r="N168" s="587">
        <f>'통장내역(환율표)'!D94</f>
        <v>6.7490999836524441</v>
      </c>
      <c r="O168" s="588">
        <f t="shared" si="10"/>
        <v>8.5937384451981185</v>
      </c>
      <c r="P168" s="589">
        <f t="shared" si="8"/>
        <v>-258126.14400000003</v>
      </c>
      <c r="Q168" s="589">
        <f t="shared" si="9"/>
        <v>-38829.137735927623</v>
      </c>
      <c r="R168" s="590"/>
      <c r="S168" s="592" t="s">
        <v>255</v>
      </c>
      <c r="T168" s="584"/>
      <c r="U168" s="476"/>
      <c r="V168" s="476"/>
      <c r="W168" s="476"/>
      <c r="X168" s="476"/>
    </row>
    <row r="169" spans="1:24" s="576" customFormat="1" ht="12" customHeight="1">
      <c r="A169" s="125"/>
      <c r="B169" s="585" t="s">
        <v>173</v>
      </c>
      <c r="C169" s="585" t="s">
        <v>230</v>
      </c>
      <c r="D169" s="585" t="s">
        <v>398</v>
      </c>
      <c r="E169" s="67" t="s">
        <v>203</v>
      </c>
      <c r="F169" s="146" t="s">
        <v>65</v>
      </c>
      <c r="G169" s="147">
        <v>145</v>
      </c>
      <c r="H169" s="148" t="s">
        <v>25</v>
      </c>
      <c r="I169" s="147" t="s">
        <v>26</v>
      </c>
      <c r="J169" s="149"/>
      <c r="K169" s="149"/>
      <c r="L169" s="149"/>
      <c r="M169" s="586">
        <v>951</v>
      </c>
      <c r="N169" s="587">
        <f>'통장내역(환율표)'!D94</f>
        <v>6.7490999836524441</v>
      </c>
      <c r="O169" s="588">
        <f t="shared" si="10"/>
        <v>140.90767692040362</v>
      </c>
      <c r="P169" s="589">
        <f t="shared" si="8"/>
        <v>-259077.14400000003</v>
      </c>
      <c r="Q169" s="589">
        <f t="shared" si="9"/>
        <v>-38970.045412848027</v>
      </c>
      <c r="R169" s="590"/>
      <c r="S169" s="592" t="s">
        <v>257</v>
      </c>
      <c r="T169" s="584"/>
      <c r="U169" s="476"/>
      <c r="V169" s="476"/>
      <c r="W169" s="476"/>
      <c r="X169" s="476"/>
    </row>
    <row r="170" spans="1:24" s="576" customFormat="1" ht="12" customHeight="1">
      <c r="A170" s="125"/>
      <c r="B170" s="585" t="s">
        <v>173</v>
      </c>
      <c r="C170" s="585" t="s">
        <v>230</v>
      </c>
      <c r="D170" s="585" t="s">
        <v>399</v>
      </c>
      <c r="E170" s="67" t="s">
        <v>203</v>
      </c>
      <c r="F170" s="146" t="s">
        <v>65</v>
      </c>
      <c r="G170" s="147">
        <v>146</v>
      </c>
      <c r="H170" s="148" t="s">
        <v>25</v>
      </c>
      <c r="I170" s="147" t="s">
        <v>26</v>
      </c>
      <c r="J170" s="149"/>
      <c r="K170" s="149"/>
      <c r="L170" s="149"/>
      <c r="M170" s="586">
        <v>30</v>
      </c>
      <c r="N170" s="587">
        <f>'통장내역(환율표)'!D94</f>
        <v>6.7490999836524441</v>
      </c>
      <c r="O170" s="588">
        <f t="shared" si="10"/>
        <v>4.4450371268266125</v>
      </c>
      <c r="P170" s="589">
        <f t="shared" si="8"/>
        <v>-259107.14400000003</v>
      </c>
      <c r="Q170" s="589">
        <f t="shared" si="9"/>
        <v>-38974.490449974852</v>
      </c>
      <c r="R170" s="590"/>
      <c r="S170" s="592" t="s">
        <v>313</v>
      </c>
      <c r="T170" s="584"/>
      <c r="U170" s="476"/>
      <c r="V170" s="476"/>
      <c r="W170" s="476"/>
      <c r="X170" s="476"/>
    </row>
    <row r="171" spans="1:24" s="477" customFormat="1" ht="11.25" customHeight="1">
      <c r="A171" s="125"/>
      <c r="B171" s="585" t="s">
        <v>173</v>
      </c>
      <c r="C171" s="585" t="s">
        <v>230</v>
      </c>
      <c r="D171" s="585" t="s">
        <v>400</v>
      </c>
      <c r="E171" s="67" t="s">
        <v>203</v>
      </c>
      <c r="F171" s="146" t="s">
        <v>65</v>
      </c>
      <c r="G171" s="147">
        <v>147</v>
      </c>
      <c r="H171" s="148" t="s">
        <v>25</v>
      </c>
      <c r="I171" s="147" t="s">
        <v>26</v>
      </c>
      <c r="J171" s="149"/>
      <c r="K171" s="149"/>
      <c r="L171" s="149"/>
      <c r="M171" s="586">
        <v>58</v>
      </c>
      <c r="N171" s="587">
        <f>'통장내역(환율표)'!D94</f>
        <v>6.7490999836524441</v>
      </c>
      <c r="O171" s="588">
        <f t="shared" si="10"/>
        <v>8.5937384451981185</v>
      </c>
      <c r="P171" s="589">
        <f t="shared" si="8"/>
        <v>-259165.14400000003</v>
      </c>
      <c r="Q171" s="589">
        <f t="shared" si="9"/>
        <v>-38983.084188420049</v>
      </c>
      <c r="R171" s="590"/>
      <c r="S171" s="592" t="s">
        <v>401</v>
      </c>
      <c r="T171" s="584"/>
      <c r="U171" s="476"/>
      <c r="V171" s="476"/>
      <c r="W171" s="476"/>
      <c r="X171" s="476"/>
    </row>
    <row r="172" spans="1:24" s="477" customFormat="1" ht="11.25" customHeight="1">
      <c r="A172" s="125"/>
      <c r="B172" s="585" t="s">
        <v>173</v>
      </c>
      <c r="C172" s="585" t="s">
        <v>209</v>
      </c>
      <c r="D172" s="585" t="s">
        <v>402</v>
      </c>
      <c r="E172" s="67" t="s">
        <v>30</v>
      </c>
      <c r="F172" s="146" t="s">
        <v>65</v>
      </c>
      <c r="G172" s="147">
        <v>148</v>
      </c>
      <c r="H172" s="148" t="s">
        <v>25</v>
      </c>
      <c r="I172" s="147" t="s">
        <v>26</v>
      </c>
      <c r="J172" s="149"/>
      <c r="K172" s="149"/>
      <c r="L172" s="149"/>
      <c r="M172" s="586">
        <v>1908</v>
      </c>
      <c r="N172" s="587">
        <f>'통장내역(환율표)'!D94</f>
        <v>6.7490999836524441</v>
      </c>
      <c r="O172" s="588">
        <f t="shared" si="10"/>
        <v>282.70436126617255</v>
      </c>
      <c r="P172" s="589">
        <f t="shared" si="8"/>
        <v>-261073.14400000003</v>
      </c>
      <c r="Q172" s="589">
        <f t="shared" si="9"/>
        <v>-39265.788549686222</v>
      </c>
      <c r="R172" s="590"/>
      <c r="S172" s="592" t="s">
        <v>319</v>
      </c>
      <c r="T172" s="584"/>
      <c r="U172" s="476"/>
      <c r="V172" s="476"/>
      <c r="W172" s="476"/>
      <c r="X172" s="476"/>
    </row>
    <row r="173" spans="1:24" s="477" customFormat="1" ht="11.25" customHeight="1">
      <c r="A173" s="125"/>
      <c r="B173" s="585" t="s">
        <v>173</v>
      </c>
      <c r="C173" s="585" t="s">
        <v>209</v>
      </c>
      <c r="D173" s="585" t="s">
        <v>403</v>
      </c>
      <c r="E173" s="67" t="s">
        <v>64</v>
      </c>
      <c r="F173" s="146" t="s">
        <v>65</v>
      </c>
      <c r="G173" s="147">
        <v>149</v>
      </c>
      <c r="H173" s="148" t="s">
        <v>25</v>
      </c>
      <c r="I173" s="147" t="s">
        <v>26</v>
      </c>
      <c r="J173" s="149"/>
      <c r="K173" s="149"/>
      <c r="L173" s="149"/>
      <c r="M173" s="586">
        <v>266.81</v>
      </c>
      <c r="N173" s="587">
        <f>'통장내역(환율표)'!D94</f>
        <v>6.7490999836524441</v>
      </c>
      <c r="O173" s="588">
        <f t="shared" si="10"/>
        <v>39.532678526953617</v>
      </c>
      <c r="P173" s="589">
        <f t="shared" si="8"/>
        <v>-261339.95400000003</v>
      </c>
      <c r="Q173" s="589">
        <f t="shared" si="9"/>
        <v>-39305.321228213179</v>
      </c>
      <c r="R173" s="590"/>
      <c r="S173" s="593"/>
      <c r="T173" s="584"/>
      <c r="U173" s="476"/>
      <c r="V173" s="476"/>
      <c r="W173" s="476"/>
      <c r="X173" s="476"/>
    </row>
    <row r="174" spans="1:24" s="477" customFormat="1" ht="11.25" customHeight="1">
      <c r="A174" s="125"/>
      <c r="B174" s="585" t="s">
        <v>173</v>
      </c>
      <c r="C174" s="585" t="s">
        <v>286</v>
      </c>
      <c r="D174" s="585"/>
      <c r="E174" s="67" t="s">
        <v>279</v>
      </c>
      <c r="F174" s="146" t="s">
        <v>65</v>
      </c>
      <c r="G174" s="147">
        <v>150</v>
      </c>
      <c r="H174" s="148" t="s">
        <v>25</v>
      </c>
      <c r="I174" s="147" t="s">
        <v>26</v>
      </c>
      <c r="J174" s="149"/>
      <c r="K174" s="149"/>
      <c r="L174" s="149"/>
      <c r="M174" s="586">
        <v>1912</v>
      </c>
      <c r="N174" s="587">
        <f>'통장내역(환율표)'!D94</f>
        <v>6.7490999836524441</v>
      </c>
      <c r="O174" s="588">
        <f t="shared" si="10"/>
        <v>283.29703288308281</v>
      </c>
      <c r="P174" s="589">
        <f t="shared" si="8"/>
        <v>-263251.95400000003</v>
      </c>
      <c r="Q174" s="589">
        <f t="shared" si="9"/>
        <v>-39588.618261096264</v>
      </c>
      <c r="R174" s="590"/>
      <c r="S174" s="591" t="s">
        <v>404</v>
      </c>
      <c r="T174" s="584"/>
      <c r="U174" s="476"/>
      <c r="V174" s="476"/>
      <c r="W174" s="476"/>
      <c r="X174" s="476"/>
    </row>
    <row r="175" spans="1:24" s="477" customFormat="1" ht="11.25" customHeight="1">
      <c r="A175" s="125"/>
      <c r="B175" s="585" t="s">
        <v>173</v>
      </c>
      <c r="C175" s="585"/>
      <c r="D175" s="585" t="s">
        <v>405</v>
      </c>
      <c r="E175" s="67" t="s">
        <v>273</v>
      </c>
      <c r="F175" s="146" t="s">
        <v>65</v>
      </c>
      <c r="G175" s="147">
        <v>151</v>
      </c>
      <c r="H175" s="148" t="s">
        <v>25</v>
      </c>
      <c r="I175" s="147" t="s">
        <v>26</v>
      </c>
      <c r="J175" s="149"/>
      <c r="K175" s="149"/>
      <c r="L175" s="149"/>
      <c r="M175" s="586">
        <v>2856</v>
      </c>
      <c r="N175" s="587">
        <f>'통장내역(환율표)'!D94</f>
        <v>6.7490999836524441</v>
      </c>
      <c r="O175" s="588">
        <f t="shared" si="10"/>
        <v>423.16753447389357</v>
      </c>
      <c r="P175" s="589">
        <f t="shared" si="8"/>
        <v>-266107.95400000003</v>
      </c>
      <c r="Q175" s="589">
        <f t="shared" si="9"/>
        <v>-40011.785795570155</v>
      </c>
      <c r="R175" s="590"/>
      <c r="S175" s="592" t="s">
        <v>191</v>
      </c>
      <c r="T175" s="584"/>
      <c r="U175" s="476"/>
      <c r="V175" s="476"/>
      <c r="W175" s="476"/>
      <c r="X175" s="476"/>
    </row>
    <row r="176" spans="1:24" s="477" customFormat="1" ht="11.25" customHeight="1">
      <c r="A176" s="125"/>
      <c r="B176" s="585" t="s">
        <v>173</v>
      </c>
      <c r="C176" s="585"/>
      <c r="D176" s="585"/>
      <c r="E176" s="67" t="s">
        <v>368</v>
      </c>
      <c r="F176" s="146" t="s">
        <v>65</v>
      </c>
      <c r="G176" s="147">
        <v>152</v>
      </c>
      <c r="H176" s="148" t="s">
        <v>25</v>
      </c>
      <c r="I176" s="147" t="s">
        <v>26</v>
      </c>
      <c r="J176" s="149"/>
      <c r="K176" s="149"/>
      <c r="L176" s="149"/>
      <c r="M176" s="586">
        <v>8.5</v>
      </c>
      <c r="N176" s="587">
        <f>'통장내역(환율표)'!D94</f>
        <v>6.7490999836524441</v>
      </c>
      <c r="O176" s="588">
        <f t="shared" si="10"/>
        <v>1.259427185934207</v>
      </c>
      <c r="P176" s="589">
        <f t="shared" si="8"/>
        <v>-266116.45400000003</v>
      </c>
      <c r="Q176" s="589">
        <f t="shared" si="9"/>
        <v>-40013.045222756089</v>
      </c>
      <c r="R176" s="590"/>
      <c r="S176" s="592" t="s">
        <v>191</v>
      </c>
      <c r="T176" s="584"/>
      <c r="U176" s="476"/>
      <c r="V176" s="476"/>
      <c r="W176" s="476"/>
      <c r="X176" s="476"/>
    </row>
    <row r="177" spans="1:24" s="576" customFormat="1" ht="12" customHeight="1">
      <c r="A177" s="125"/>
      <c r="B177" s="585" t="s">
        <v>173</v>
      </c>
      <c r="C177" s="585"/>
      <c r="D177" s="585" t="s">
        <v>406</v>
      </c>
      <c r="E177" s="594" t="s">
        <v>382</v>
      </c>
      <c r="F177" s="146" t="s">
        <v>65</v>
      </c>
      <c r="G177" s="147">
        <v>153</v>
      </c>
      <c r="H177" s="595"/>
      <c r="I177" s="596"/>
      <c r="J177" s="149"/>
      <c r="K177" s="149"/>
      <c r="L177" s="149"/>
      <c r="M177" s="586">
        <v>42.1</v>
      </c>
      <c r="N177" s="587">
        <f>'통장내역(환율표)'!D94</f>
        <v>6.7490999836524441</v>
      </c>
      <c r="O177" s="588">
        <f t="shared" si="10"/>
        <v>6.2378687679800136</v>
      </c>
      <c r="P177" s="589">
        <f t="shared" si="8"/>
        <v>-266158.554</v>
      </c>
      <c r="Q177" s="589">
        <f t="shared" si="9"/>
        <v>-40019.28309152407</v>
      </c>
      <c r="R177" s="590"/>
      <c r="S177" s="592" t="s">
        <v>191</v>
      </c>
      <c r="T177" s="584"/>
      <c r="U177" s="476"/>
      <c r="V177" s="476"/>
      <c r="W177" s="476"/>
      <c r="X177" s="476"/>
    </row>
    <row r="178" spans="1:24" s="576" customFormat="1" ht="12" customHeight="1">
      <c r="A178" s="125"/>
      <c r="B178" s="585" t="s">
        <v>173</v>
      </c>
      <c r="C178" s="585"/>
      <c r="D178" s="585" t="s">
        <v>407</v>
      </c>
      <c r="E178" s="594"/>
      <c r="F178" s="146" t="s">
        <v>65</v>
      </c>
      <c r="G178" s="147">
        <v>154</v>
      </c>
      <c r="H178" s="595"/>
      <c r="I178" s="596"/>
      <c r="J178" s="149"/>
      <c r="K178" s="149"/>
      <c r="L178" s="149"/>
      <c r="M178" s="586">
        <v>238.5</v>
      </c>
      <c r="N178" s="587">
        <f>'통장내역(환율표)'!D94</f>
        <v>6.7490999836524441</v>
      </c>
      <c r="O178" s="588">
        <f t="shared" si="10"/>
        <v>35.338045158271569</v>
      </c>
      <c r="P178" s="589">
        <f t="shared" si="8"/>
        <v>-266397.054</v>
      </c>
      <c r="Q178" s="589">
        <f t="shared" si="9"/>
        <v>-40054.621136682341</v>
      </c>
      <c r="R178" s="590"/>
      <c r="S178" s="592" t="s">
        <v>191</v>
      </c>
      <c r="T178" s="584"/>
      <c r="U178" s="476"/>
      <c r="V178" s="476"/>
      <c r="W178" s="476"/>
      <c r="X178" s="476"/>
    </row>
    <row r="179" spans="1:24" s="477" customFormat="1" ht="11.25" customHeight="1">
      <c r="A179" s="125"/>
      <c r="B179" s="585" t="s">
        <v>173</v>
      </c>
      <c r="C179" s="585"/>
      <c r="D179" s="585" t="s">
        <v>408</v>
      </c>
      <c r="E179" s="67" t="s">
        <v>203</v>
      </c>
      <c r="F179" s="146" t="s">
        <v>65</v>
      </c>
      <c r="G179" s="147">
        <v>155</v>
      </c>
      <c r="H179" s="148" t="s">
        <v>25</v>
      </c>
      <c r="I179" s="147" t="s">
        <v>203</v>
      </c>
      <c r="J179" s="149"/>
      <c r="K179" s="149"/>
      <c r="L179" s="149"/>
      <c r="M179" s="586">
        <v>12</v>
      </c>
      <c r="N179" s="587">
        <f>'통장내역(환율표)'!D94</f>
        <v>6.7490999836524441</v>
      </c>
      <c r="O179" s="588">
        <f t="shared" si="10"/>
        <v>1.7780148507306452</v>
      </c>
      <c r="P179" s="589">
        <f t="shared" si="8"/>
        <v>-266409.054</v>
      </c>
      <c r="Q179" s="589">
        <f t="shared" si="9"/>
        <v>-40056.399151533071</v>
      </c>
      <c r="R179" s="590"/>
      <c r="S179" s="592" t="s">
        <v>191</v>
      </c>
      <c r="T179" s="584"/>
      <c r="U179" s="476"/>
      <c r="V179" s="476"/>
      <c r="W179" s="476"/>
      <c r="X179" s="476"/>
    </row>
    <row r="180" spans="1:24" s="477" customFormat="1" ht="11.25" customHeight="1">
      <c r="A180" s="125"/>
      <c r="B180" s="585" t="s">
        <v>173</v>
      </c>
      <c r="C180" s="585"/>
      <c r="D180" s="585"/>
      <c r="E180" s="67" t="s">
        <v>368</v>
      </c>
      <c r="F180" s="146" t="s">
        <v>65</v>
      </c>
      <c r="G180" s="147">
        <v>156</v>
      </c>
      <c r="H180" s="148" t="s">
        <v>25</v>
      </c>
      <c r="I180" s="147" t="s">
        <v>26</v>
      </c>
      <c r="J180" s="149"/>
      <c r="K180" s="149"/>
      <c r="L180" s="149"/>
      <c r="M180" s="586">
        <v>24</v>
      </c>
      <c r="N180" s="587">
        <f>'통장내역(환율표)'!D94</f>
        <v>6.7490999836524441</v>
      </c>
      <c r="O180" s="588">
        <f t="shared" si="10"/>
        <v>3.5560297014612905</v>
      </c>
      <c r="P180" s="589">
        <f t="shared" si="8"/>
        <v>-266433.054</v>
      </c>
      <c r="Q180" s="589">
        <f t="shared" si="9"/>
        <v>-40059.955181234531</v>
      </c>
      <c r="R180" s="590"/>
      <c r="S180" s="592" t="s">
        <v>191</v>
      </c>
      <c r="T180" s="584"/>
      <c r="U180" s="476"/>
      <c r="V180" s="476"/>
      <c r="W180" s="476"/>
      <c r="X180" s="476"/>
    </row>
    <row r="181" spans="1:24" s="477" customFormat="1" ht="11.25" customHeight="1">
      <c r="A181" s="125"/>
      <c r="B181" s="585" t="s">
        <v>173</v>
      </c>
      <c r="C181" s="585" t="s">
        <v>173</v>
      </c>
      <c r="D181" s="585"/>
      <c r="E181" s="67" t="s">
        <v>49</v>
      </c>
      <c r="F181" s="146" t="s">
        <v>65</v>
      </c>
      <c r="G181" s="147">
        <v>157</v>
      </c>
      <c r="H181" s="148" t="s">
        <v>32</v>
      </c>
      <c r="I181" s="147"/>
      <c r="J181" s="149"/>
      <c r="K181" s="149"/>
      <c r="L181" s="149"/>
      <c r="M181" s="586">
        <v>7.2</v>
      </c>
      <c r="N181" s="587">
        <f>'통장내역(환율표)'!D94</f>
        <v>6.7490999836524441</v>
      </c>
      <c r="O181" s="588">
        <f t="shared" si="10"/>
        <v>1.0668089104383871</v>
      </c>
      <c r="P181" s="589">
        <f t="shared" si="8"/>
        <v>-266440.25400000002</v>
      </c>
      <c r="Q181" s="589">
        <f t="shared" si="9"/>
        <v>-40061.021990144967</v>
      </c>
      <c r="R181" s="590"/>
      <c r="S181" s="592" t="s">
        <v>409</v>
      </c>
      <c r="T181" s="584"/>
      <c r="U181" s="476"/>
      <c r="V181" s="476"/>
      <c r="W181" s="476"/>
      <c r="X181" s="476"/>
    </row>
    <row r="182" spans="1:24" s="477" customFormat="1" ht="11.25" customHeight="1">
      <c r="A182" s="125"/>
      <c r="B182" s="585" t="s">
        <v>211</v>
      </c>
      <c r="C182" s="585" t="s">
        <v>286</v>
      </c>
      <c r="D182" s="585"/>
      <c r="E182" s="67" t="s">
        <v>244</v>
      </c>
      <c r="F182" s="146" t="s">
        <v>65</v>
      </c>
      <c r="G182" s="147">
        <v>158</v>
      </c>
      <c r="H182" s="148" t="s">
        <v>25</v>
      </c>
      <c r="I182" s="147" t="s">
        <v>26</v>
      </c>
      <c r="J182" s="149"/>
      <c r="K182" s="149"/>
      <c r="L182" s="149"/>
      <c r="M182" s="586">
        <v>1380.6</v>
      </c>
      <c r="N182" s="587">
        <f>'통장내역(환율표)'!D94</f>
        <v>6.7490999836524441</v>
      </c>
      <c r="O182" s="588">
        <f t="shared" si="10"/>
        <v>204.5606085765607</v>
      </c>
      <c r="P182" s="589">
        <f t="shared" si="8"/>
        <v>-267820.85399999999</v>
      </c>
      <c r="Q182" s="589">
        <f t="shared" si="9"/>
        <v>-40265.582598721528</v>
      </c>
      <c r="R182" s="590"/>
      <c r="S182" s="592" t="s">
        <v>389</v>
      </c>
      <c r="T182" s="584"/>
      <c r="U182" s="476"/>
      <c r="V182" s="476"/>
      <c r="W182" s="476"/>
      <c r="X182" s="476"/>
    </row>
    <row r="183" spans="1:24" s="477" customFormat="1" ht="11.25" customHeight="1">
      <c r="A183" s="125"/>
      <c r="B183" s="585" t="s">
        <v>211</v>
      </c>
      <c r="C183" s="585" t="s">
        <v>286</v>
      </c>
      <c r="D183" s="585"/>
      <c r="E183" s="67" t="s">
        <v>244</v>
      </c>
      <c r="F183" s="146" t="s">
        <v>65</v>
      </c>
      <c r="G183" s="147">
        <v>159</v>
      </c>
      <c r="H183" s="148" t="s">
        <v>25</v>
      </c>
      <c r="I183" s="147" t="s">
        <v>26</v>
      </c>
      <c r="J183" s="149"/>
      <c r="K183" s="149"/>
      <c r="L183" s="149"/>
      <c r="M183" s="586">
        <v>1377</v>
      </c>
      <c r="N183" s="587">
        <f>'통장내역(환율표)'!D94</f>
        <v>6.7490999836524441</v>
      </c>
      <c r="O183" s="588">
        <f t="shared" si="10"/>
        <v>204.02720412134153</v>
      </c>
      <c r="P183" s="589">
        <f t="shared" si="8"/>
        <v>-269197.85399999999</v>
      </c>
      <c r="Q183" s="589">
        <f t="shared" si="9"/>
        <v>-40469.609802842868</v>
      </c>
      <c r="R183" s="590"/>
      <c r="S183" s="593"/>
      <c r="T183" s="584"/>
      <c r="U183" s="476"/>
      <c r="V183" s="476"/>
      <c r="W183" s="476"/>
      <c r="X183" s="476"/>
    </row>
    <row r="184" spans="1:24" s="477" customFormat="1" ht="11.25" customHeight="1">
      <c r="A184" s="125"/>
      <c r="B184" s="585" t="s">
        <v>211</v>
      </c>
      <c r="C184" s="585" t="s">
        <v>211</v>
      </c>
      <c r="D184" s="585"/>
      <c r="E184" s="67" t="s">
        <v>49</v>
      </c>
      <c r="F184" s="146" t="s">
        <v>65</v>
      </c>
      <c r="G184" s="147">
        <v>160</v>
      </c>
      <c r="H184" s="148" t="s">
        <v>32</v>
      </c>
      <c r="I184" s="147"/>
      <c r="J184" s="149"/>
      <c r="K184" s="149"/>
      <c r="L184" s="149"/>
      <c r="M184" s="586">
        <v>3.6</v>
      </c>
      <c r="N184" s="587">
        <f>'통장내역(환율표)'!D94</f>
        <v>6.7490999836524441</v>
      </c>
      <c r="O184" s="588">
        <f t="shared" si="10"/>
        <v>0.53340445521919355</v>
      </c>
      <c r="P184" s="589">
        <f t="shared" si="8"/>
        <v>-269201.45399999997</v>
      </c>
      <c r="Q184" s="589">
        <f t="shared" si="9"/>
        <v>-40470.14320729809</v>
      </c>
      <c r="R184" s="590"/>
      <c r="S184" s="592" t="s">
        <v>323</v>
      </c>
      <c r="T184" s="584"/>
      <c r="U184" s="476"/>
      <c r="V184" s="476"/>
      <c r="W184" s="476"/>
      <c r="X184" s="476"/>
    </row>
    <row r="185" spans="1:24" s="477" customFormat="1" ht="11.25" customHeight="1">
      <c r="A185" s="125"/>
      <c r="B185" s="585" t="s">
        <v>211</v>
      </c>
      <c r="C185" s="585" t="s">
        <v>410</v>
      </c>
      <c r="D185" s="585"/>
      <c r="E185" s="67" t="s">
        <v>244</v>
      </c>
      <c r="F185" s="146" t="s">
        <v>65</v>
      </c>
      <c r="G185" s="147">
        <v>161</v>
      </c>
      <c r="H185" s="148" t="s">
        <v>25</v>
      </c>
      <c r="I185" s="147" t="s">
        <v>26</v>
      </c>
      <c r="J185" s="149"/>
      <c r="K185" s="149"/>
      <c r="L185" s="149"/>
      <c r="M185" s="586">
        <v>2808</v>
      </c>
      <c r="N185" s="587">
        <f>'통장내역(환율표)'!D94</f>
        <v>6.7490999836524441</v>
      </c>
      <c r="O185" s="588">
        <f t="shared" si="10"/>
        <v>416.05547507097094</v>
      </c>
      <c r="P185" s="589">
        <f t="shared" si="8"/>
        <v>-272009.45399999997</v>
      </c>
      <c r="Q185" s="589">
        <f t="shared" si="9"/>
        <v>-40886.19868236906</v>
      </c>
      <c r="R185" s="590"/>
      <c r="S185" s="592" t="s">
        <v>278</v>
      </c>
      <c r="T185" s="584"/>
      <c r="U185" s="476"/>
      <c r="V185" s="476"/>
      <c r="W185" s="476"/>
      <c r="X185" s="476"/>
    </row>
    <row r="186" spans="1:24" s="477" customFormat="1" ht="11.25" customHeight="1">
      <c r="A186" s="125"/>
      <c r="B186" s="585" t="s">
        <v>411</v>
      </c>
      <c r="C186" s="585" t="s">
        <v>411</v>
      </c>
      <c r="D186" s="585" t="s">
        <v>412</v>
      </c>
      <c r="E186" s="67" t="s">
        <v>23</v>
      </c>
      <c r="F186" s="146" t="s">
        <v>413</v>
      </c>
      <c r="G186" s="147">
        <v>162</v>
      </c>
      <c r="H186" s="148" t="s">
        <v>23</v>
      </c>
      <c r="I186" s="147"/>
      <c r="J186" s="149"/>
      <c r="K186" s="149"/>
      <c r="L186" s="149"/>
      <c r="M186" s="586">
        <v>410.81</v>
      </c>
      <c r="N186" s="587">
        <f>'통장내역(환율표)'!D94</f>
        <v>6.7490999836524441</v>
      </c>
      <c r="O186" s="588">
        <f t="shared" si="10"/>
        <v>60.868856735721359</v>
      </c>
      <c r="P186" s="589">
        <f t="shared" si="8"/>
        <v>-272420.26399999997</v>
      </c>
      <c r="Q186" s="589">
        <f t="shared" si="9"/>
        <v>-40947.067539104784</v>
      </c>
      <c r="R186" s="590"/>
      <c r="S186" s="593"/>
      <c r="T186" s="584"/>
      <c r="U186" s="476"/>
      <c r="V186" s="476"/>
      <c r="W186" s="476"/>
      <c r="X186" s="476"/>
    </row>
    <row r="187" spans="1:24" s="477" customFormat="1" ht="11.25" customHeight="1">
      <c r="A187" s="125"/>
      <c r="B187" s="585" t="s">
        <v>411</v>
      </c>
      <c r="C187" s="585" t="s">
        <v>411</v>
      </c>
      <c r="D187" s="585" t="s">
        <v>414</v>
      </c>
      <c r="E187" s="67" t="s">
        <v>23</v>
      </c>
      <c r="F187" s="146" t="s">
        <v>413</v>
      </c>
      <c r="G187" s="147">
        <v>163</v>
      </c>
      <c r="H187" s="148" t="s">
        <v>32</v>
      </c>
      <c r="I187" s="147"/>
      <c r="J187" s="149"/>
      <c r="K187" s="149"/>
      <c r="L187" s="149"/>
      <c r="M187" s="586">
        <v>700</v>
      </c>
      <c r="N187" s="587">
        <f>'통장내역(환율표)'!D94</f>
        <v>6.7490999836524441</v>
      </c>
      <c r="O187" s="588">
        <f t="shared" si="10"/>
        <v>103.71753295928764</v>
      </c>
      <c r="P187" s="589">
        <f t="shared" si="8"/>
        <v>-273120.26399999997</v>
      </c>
      <c r="Q187" s="589">
        <f t="shared" si="9"/>
        <v>-41050.785072064071</v>
      </c>
      <c r="R187" s="590"/>
      <c r="S187" s="593"/>
      <c r="T187" s="584"/>
      <c r="U187" s="476"/>
      <c r="V187" s="476"/>
      <c r="W187" s="476"/>
      <c r="X187" s="476"/>
    </row>
    <row r="188" spans="1:24" s="576" customFormat="1" ht="12" customHeight="1">
      <c r="A188" s="125"/>
      <c r="B188" s="585" t="s">
        <v>415</v>
      </c>
      <c r="C188" s="585" t="s">
        <v>415</v>
      </c>
      <c r="D188" s="585" t="s">
        <v>416</v>
      </c>
      <c r="E188" s="67" t="s">
        <v>23</v>
      </c>
      <c r="F188" s="146" t="s">
        <v>413</v>
      </c>
      <c r="G188" s="147">
        <v>164</v>
      </c>
      <c r="H188" s="148" t="s">
        <v>25</v>
      </c>
      <c r="I188" s="147" t="s">
        <v>26</v>
      </c>
      <c r="J188" s="149"/>
      <c r="K188" s="149"/>
      <c r="L188" s="149"/>
      <c r="M188" s="586">
        <v>268.49</v>
      </c>
      <c r="N188" s="587">
        <f>'통장내역(환율표)'!D94</f>
        <v>6.7490999836524441</v>
      </c>
      <c r="O188" s="588">
        <f t="shared" si="10"/>
        <v>39.78160060605591</v>
      </c>
      <c r="P188" s="589">
        <f t="shared" si="8"/>
        <v>-273388.75399999996</v>
      </c>
      <c r="Q188" s="589">
        <f t="shared" si="9"/>
        <v>-41090.566672670124</v>
      </c>
      <c r="R188" s="590"/>
      <c r="S188" s="592" t="s">
        <v>338</v>
      </c>
      <c r="T188" s="584"/>
      <c r="U188" s="476"/>
      <c r="V188" s="476"/>
      <c r="W188" s="476"/>
      <c r="X188" s="476"/>
    </row>
    <row r="189" spans="1:24" s="576" customFormat="1" ht="12" customHeight="1">
      <c r="A189" s="125"/>
      <c r="B189" s="585" t="s">
        <v>417</v>
      </c>
      <c r="C189" s="585" t="s">
        <v>417</v>
      </c>
      <c r="D189" s="585" t="s">
        <v>418</v>
      </c>
      <c r="E189" s="67" t="s">
        <v>273</v>
      </c>
      <c r="F189" s="146" t="s">
        <v>413</v>
      </c>
      <c r="G189" s="147">
        <v>165</v>
      </c>
      <c r="H189" s="148" t="s">
        <v>25</v>
      </c>
      <c r="I189" s="147" t="s">
        <v>26</v>
      </c>
      <c r="J189" s="149"/>
      <c r="K189" s="149"/>
      <c r="L189" s="149"/>
      <c r="M189" s="586">
        <v>77.099999999999994</v>
      </c>
      <c r="N189" s="587">
        <f>'통장내역(환율표)'!D94</f>
        <v>6.7490999836524441</v>
      </c>
      <c r="O189" s="588">
        <f t="shared" si="10"/>
        <v>11.423745415944394</v>
      </c>
      <c r="P189" s="589">
        <f t="shared" si="8"/>
        <v>-273465.85399999993</v>
      </c>
      <c r="Q189" s="589">
        <f t="shared" si="9"/>
        <v>-41101.990418086069</v>
      </c>
      <c r="R189" s="590"/>
      <c r="S189" s="592" t="s">
        <v>210</v>
      </c>
      <c r="T189" s="584"/>
      <c r="U189" s="476"/>
      <c r="V189" s="476"/>
      <c r="W189" s="476"/>
      <c r="X189" s="476"/>
    </row>
    <row r="190" spans="1:24" s="477" customFormat="1" ht="11.25" customHeight="1">
      <c r="A190" s="125"/>
      <c r="B190" s="585" t="s">
        <v>364</v>
      </c>
      <c r="C190" s="585" t="s">
        <v>364</v>
      </c>
      <c r="D190" s="585" t="s">
        <v>419</v>
      </c>
      <c r="E190" s="67" t="s">
        <v>349</v>
      </c>
      <c r="F190" s="146" t="s">
        <v>413</v>
      </c>
      <c r="G190" s="147">
        <v>166</v>
      </c>
      <c r="H190" s="148" t="s">
        <v>25</v>
      </c>
      <c r="I190" s="147" t="s">
        <v>26</v>
      </c>
      <c r="J190" s="149"/>
      <c r="K190" s="149"/>
      <c r="L190" s="149"/>
      <c r="M190" s="586">
        <v>198.43</v>
      </c>
      <c r="N190" s="587">
        <f>'통장내역(환율표)'!D94</f>
        <v>6.7490999836524441</v>
      </c>
      <c r="O190" s="588">
        <f t="shared" si="10"/>
        <v>29.400957235873495</v>
      </c>
      <c r="P190" s="589">
        <f t="shared" si="8"/>
        <v>-273664.28399999993</v>
      </c>
      <c r="Q190" s="589">
        <f t="shared" si="9"/>
        <v>-41131.391375321939</v>
      </c>
      <c r="R190" s="590"/>
      <c r="S190" s="592" t="s">
        <v>212</v>
      </c>
      <c r="T190" s="584"/>
      <c r="U190" s="476"/>
      <c r="V190" s="476"/>
      <c r="W190" s="476"/>
      <c r="X190" s="476"/>
    </row>
    <row r="191" spans="1:24" s="477" customFormat="1" ht="11.25" customHeight="1">
      <c r="A191" s="125"/>
      <c r="B191" s="585" t="s">
        <v>364</v>
      </c>
      <c r="C191" s="585" t="s">
        <v>364</v>
      </c>
      <c r="D191" s="585" t="s">
        <v>420</v>
      </c>
      <c r="E191" s="67" t="s">
        <v>61</v>
      </c>
      <c r="F191" s="146" t="s">
        <v>413</v>
      </c>
      <c r="G191" s="147">
        <v>167</v>
      </c>
      <c r="H191" s="148" t="s">
        <v>25</v>
      </c>
      <c r="I191" s="147" t="s">
        <v>26</v>
      </c>
      <c r="J191" s="149"/>
      <c r="K191" s="149"/>
      <c r="L191" s="149"/>
      <c r="M191" s="586">
        <v>28.8</v>
      </c>
      <c r="N191" s="587">
        <f>'통장내역(환율표)'!D94</f>
        <v>6.7490999836524441</v>
      </c>
      <c r="O191" s="588">
        <f t="shared" si="10"/>
        <v>4.2672356417535484</v>
      </c>
      <c r="P191" s="589">
        <f t="shared" si="8"/>
        <v>-273693.08399999992</v>
      </c>
      <c r="Q191" s="589">
        <f t="shared" si="9"/>
        <v>-41135.658610963692</v>
      </c>
      <c r="R191" s="590"/>
      <c r="S191" s="592" t="s">
        <v>213</v>
      </c>
      <c r="T191" s="584"/>
      <c r="U191" s="476"/>
      <c r="V191" s="476"/>
      <c r="W191" s="476"/>
      <c r="X191" s="476"/>
    </row>
    <row r="192" spans="1:24" s="477" customFormat="1" ht="11.25" customHeight="1">
      <c r="A192" s="125"/>
      <c r="B192" s="585" t="s">
        <v>364</v>
      </c>
      <c r="C192" s="585" t="s">
        <v>364</v>
      </c>
      <c r="D192" s="585" t="s">
        <v>421</v>
      </c>
      <c r="E192" s="67" t="s">
        <v>61</v>
      </c>
      <c r="F192" s="146" t="s">
        <v>413</v>
      </c>
      <c r="G192" s="147">
        <v>168</v>
      </c>
      <c r="H192" s="148" t="s">
        <v>25</v>
      </c>
      <c r="I192" s="147" t="s">
        <v>26</v>
      </c>
      <c r="J192" s="149"/>
      <c r="K192" s="149"/>
      <c r="L192" s="149"/>
      <c r="M192" s="586">
        <v>116.6</v>
      </c>
      <c r="N192" s="587">
        <f>'통장내역(환율표)'!D94</f>
        <v>6.7490999836524441</v>
      </c>
      <c r="O192" s="588">
        <f t="shared" si="10"/>
        <v>17.276377632932768</v>
      </c>
      <c r="P192" s="589">
        <f t="shared" si="8"/>
        <v>-273809.68399999989</v>
      </c>
      <c r="Q192" s="589">
        <f t="shared" si="9"/>
        <v>-41152.934988596622</v>
      </c>
      <c r="R192" s="590"/>
      <c r="S192" s="592" t="s">
        <v>215</v>
      </c>
      <c r="T192" s="584"/>
      <c r="U192" s="476"/>
      <c r="V192" s="476"/>
      <c r="W192" s="476"/>
      <c r="X192" s="476"/>
    </row>
    <row r="193" spans="1:24" s="477" customFormat="1" ht="11.25" customHeight="1">
      <c r="A193" s="125"/>
      <c r="B193" s="585" t="s">
        <v>364</v>
      </c>
      <c r="C193" s="585" t="s">
        <v>364</v>
      </c>
      <c r="D193" s="585" t="s">
        <v>422</v>
      </c>
      <c r="E193" s="67" t="s">
        <v>61</v>
      </c>
      <c r="F193" s="146" t="s">
        <v>413</v>
      </c>
      <c r="G193" s="147">
        <v>169</v>
      </c>
      <c r="H193" s="148" t="s">
        <v>30</v>
      </c>
      <c r="I193" s="147" t="s">
        <v>31</v>
      </c>
      <c r="J193" s="149"/>
      <c r="K193" s="149"/>
      <c r="L193" s="149"/>
      <c r="M193" s="586">
        <v>236.8</v>
      </c>
      <c r="N193" s="587">
        <f>'통장내역(환율표)'!D94</f>
        <v>6.7490999836524441</v>
      </c>
      <c r="O193" s="588">
        <f t="shared" si="10"/>
        <v>35.086159721084734</v>
      </c>
      <c r="P193" s="589">
        <f t="shared" si="8"/>
        <v>-274046.48399999988</v>
      </c>
      <c r="Q193" s="589">
        <f t="shared" si="9"/>
        <v>-41188.021148317705</v>
      </c>
      <c r="R193" s="590"/>
      <c r="S193" s="592" t="s">
        <v>319</v>
      </c>
      <c r="T193" s="584"/>
      <c r="U193" s="476"/>
      <c r="V193" s="476"/>
      <c r="W193" s="476"/>
      <c r="X193" s="476"/>
    </row>
    <row r="194" spans="1:24" s="477" customFormat="1" ht="11.25" customHeight="1">
      <c r="A194" s="125"/>
      <c r="B194" s="585" t="s">
        <v>330</v>
      </c>
      <c r="C194" s="585" t="s">
        <v>330</v>
      </c>
      <c r="D194" s="585" t="s">
        <v>423</v>
      </c>
      <c r="E194" s="67" t="s">
        <v>23</v>
      </c>
      <c r="F194" s="146" t="s">
        <v>413</v>
      </c>
      <c r="G194" s="147">
        <v>170</v>
      </c>
      <c r="H194" s="148" t="s">
        <v>32</v>
      </c>
      <c r="I194" s="147" t="s">
        <v>31</v>
      </c>
      <c r="J194" s="149"/>
      <c r="K194" s="149"/>
      <c r="L194" s="149"/>
      <c r="M194" s="586">
        <v>18</v>
      </c>
      <c r="N194" s="587">
        <f>'통장내역(환율표)'!D94</f>
        <v>6.7490999836524441</v>
      </c>
      <c r="O194" s="588">
        <f t="shared" si="10"/>
        <v>2.6670222760959676</v>
      </c>
      <c r="P194" s="589">
        <f t="shared" si="8"/>
        <v>-274064.48399999988</v>
      </c>
      <c r="Q194" s="589">
        <f t="shared" si="9"/>
        <v>-41190.688170593799</v>
      </c>
      <c r="R194" s="590"/>
      <c r="S194" s="593"/>
      <c r="T194" s="584"/>
      <c r="U194" s="476"/>
      <c r="V194" s="476"/>
      <c r="W194" s="476"/>
      <c r="X194" s="476"/>
    </row>
    <row r="195" spans="1:24" s="477" customFormat="1" ht="11.25" customHeight="1">
      <c r="A195" s="125"/>
      <c r="B195" s="585" t="s">
        <v>330</v>
      </c>
      <c r="C195" s="585" t="s">
        <v>330</v>
      </c>
      <c r="D195" s="585" t="s">
        <v>424</v>
      </c>
      <c r="E195" s="67" t="s">
        <v>23</v>
      </c>
      <c r="F195" s="146" t="s">
        <v>413</v>
      </c>
      <c r="G195" s="147">
        <v>171</v>
      </c>
      <c r="H195" s="148" t="s">
        <v>25</v>
      </c>
      <c r="I195" s="147" t="s">
        <v>26</v>
      </c>
      <c r="J195" s="149"/>
      <c r="K195" s="149"/>
      <c r="L195" s="149"/>
      <c r="M195" s="586">
        <v>54.2</v>
      </c>
      <c r="N195" s="587">
        <f>'통장내역(환율표)'!D94</f>
        <v>6.7490999836524441</v>
      </c>
      <c r="O195" s="588">
        <f t="shared" si="10"/>
        <v>8.0307004091334147</v>
      </c>
      <c r="P195" s="589">
        <f t="shared" si="8"/>
        <v>-274118.68399999989</v>
      </c>
      <c r="Q195" s="589">
        <f t="shared" si="9"/>
        <v>-41198.71887100293</v>
      </c>
      <c r="R195" s="590"/>
      <c r="S195" s="593"/>
      <c r="T195" s="584"/>
      <c r="U195" s="476"/>
      <c r="V195" s="476"/>
      <c r="W195" s="476"/>
      <c r="X195" s="476"/>
    </row>
    <row r="196" spans="1:24" s="576" customFormat="1" ht="12" customHeight="1">
      <c r="A196" s="125"/>
      <c r="B196" s="585" t="s">
        <v>251</v>
      </c>
      <c r="C196" s="585" t="s">
        <v>251</v>
      </c>
      <c r="D196" s="585" t="s">
        <v>425</v>
      </c>
      <c r="E196" s="67" t="s">
        <v>61</v>
      </c>
      <c r="F196" s="146" t="s">
        <v>413</v>
      </c>
      <c r="G196" s="147">
        <v>172</v>
      </c>
      <c r="H196" s="148" t="s">
        <v>25</v>
      </c>
      <c r="I196" s="147" t="s">
        <v>26</v>
      </c>
      <c r="J196" s="149"/>
      <c r="K196" s="149"/>
      <c r="L196" s="149"/>
      <c r="M196" s="586">
        <v>0</v>
      </c>
      <c r="N196" s="587">
        <f>'통장내역(환율표)'!D94</f>
        <v>6.7490999836524441</v>
      </c>
      <c r="O196" s="588">
        <f t="shared" si="10"/>
        <v>0</v>
      </c>
      <c r="P196" s="589">
        <f t="shared" si="8"/>
        <v>-274118.68399999989</v>
      </c>
      <c r="Q196" s="589">
        <f t="shared" si="9"/>
        <v>-41198.71887100293</v>
      </c>
      <c r="R196" s="590"/>
      <c r="S196" s="593"/>
      <c r="T196" s="584"/>
      <c r="U196" s="476"/>
      <c r="V196" s="476"/>
      <c r="W196" s="476"/>
      <c r="X196" s="476"/>
    </row>
    <row r="197" spans="1:24" s="576" customFormat="1" ht="12" customHeight="1">
      <c r="A197" s="125"/>
      <c r="B197" s="585" t="s">
        <v>251</v>
      </c>
      <c r="C197" s="585" t="s">
        <v>251</v>
      </c>
      <c r="D197" s="585" t="s">
        <v>426</v>
      </c>
      <c r="E197" s="67" t="s">
        <v>23</v>
      </c>
      <c r="F197" s="146" t="s">
        <v>413</v>
      </c>
      <c r="G197" s="147">
        <v>173</v>
      </c>
      <c r="H197" s="148" t="s">
        <v>23</v>
      </c>
      <c r="I197" s="147"/>
      <c r="J197" s="149"/>
      <c r="K197" s="149"/>
      <c r="L197" s="149"/>
      <c r="M197" s="586">
        <v>0</v>
      </c>
      <c r="N197" s="587">
        <f>'통장내역(환율표)'!D94</f>
        <v>6.7490999836524441</v>
      </c>
      <c r="O197" s="588">
        <f t="shared" si="10"/>
        <v>0</v>
      </c>
      <c r="P197" s="589">
        <f t="shared" si="8"/>
        <v>-274118.68399999989</v>
      </c>
      <c r="Q197" s="589">
        <f t="shared" si="9"/>
        <v>-41198.71887100293</v>
      </c>
      <c r="R197" s="590"/>
      <c r="S197" s="593"/>
      <c r="T197" s="584"/>
      <c r="U197" s="476"/>
      <c r="V197" s="476"/>
      <c r="W197" s="476"/>
      <c r="X197" s="476"/>
    </row>
    <row r="198" spans="1:24" s="477" customFormat="1" ht="11.25" customHeight="1">
      <c r="A198" s="125"/>
      <c r="B198" s="585" t="s">
        <v>216</v>
      </c>
      <c r="C198" s="585" t="s">
        <v>216</v>
      </c>
      <c r="D198" s="585" t="s">
        <v>427</v>
      </c>
      <c r="E198" s="67" t="s">
        <v>349</v>
      </c>
      <c r="F198" s="146" t="s">
        <v>413</v>
      </c>
      <c r="G198" s="147">
        <v>174</v>
      </c>
      <c r="H198" s="148" t="s">
        <v>25</v>
      </c>
      <c r="I198" s="147" t="s">
        <v>26</v>
      </c>
      <c r="J198" s="149"/>
      <c r="K198" s="149"/>
      <c r="L198" s="149"/>
      <c r="M198" s="586">
        <v>0</v>
      </c>
      <c r="N198" s="587">
        <f>'통장내역(환율표)'!D94</f>
        <v>6.7490999836524441</v>
      </c>
      <c r="O198" s="588">
        <f t="shared" si="10"/>
        <v>0</v>
      </c>
      <c r="P198" s="589">
        <f t="shared" si="8"/>
        <v>-274118.68399999989</v>
      </c>
      <c r="Q198" s="589">
        <f t="shared" si="9"/>
        <v>-41198.71887100293</v>
      </c>
      <c r="R198" s="590"/>
      <c r="S198" s="593"/>
      <c r="T198" s="584"/>
      <c r="U198" s="476"/>
      <c r="V198" s="476"/>
      <c r="W198" s="476"/>
      <c r="X198" s="476"/>
    </row>
    <row r="199" spans="1:24" s="477" customFormat="1" ht="11.25" customHeight="1">
      <c r="A199" s="125"/>
      <c r="B199" s="585" t="s">
        <v>216</v>
      </c>
      <c r="C199" s="585" t="s">
        <v>216</v>
      </c>
      <c r="D199" s="585" t="s">
        <v>428</v>
      </c>
      <c r="E199" s="67" t="s">
        <v>349</v>
      </c>
      <c r="F199" s="146" t="s">
        <v>413</v>
      </c>
      <c r="G199" s="147">
        <v>175</v>
      </c>
      <c r="H199" s="148" t="s">
        <v>25</v>
      </c>
      <c r="I199" s="147" t="s">
        <v>26</v>
      </c>
      <c r="J199" s="149"/>
      <c r="K199" s="149"/>
      <c r="L199" s="149"/>
      <c r="M199" s="586">
        <v>0</v>
      </c>
      <c r="N199" s="587">
        <f>'통장내역(환율표)'!D94</f>
        <v>6.7490999836524441</v>
      </c>
      <c r="O199" s="588">
        <f t="shared" si="10"/>
        <v>0</v>
      </c>
      <c r="P199" s="589">
        <f t="shared" si="8"/>
        <v>-274118.68399999989</v>
      </c>
      <c r="Q199" s="589">
        <f t="shared" si="9"/>
        <v>-41198.71887100293</v>
      </c>
      <c r="R199" s="590"/>
      <c r="S199" s="592" t="s">
        <v>191</v>
      </c>
      <c r="T199" s="584"/>
      <c r="U199" s="476"/>
      <c r="V199" s="476"/>
      <c r="W199" s="476"/>
      <c r="X199" s="476"/>
    </row>
    <row r="200" spans="1:24" s="477" customFormat="1" ht="11.25" customHeight="1">
      <c r="A200" s="125"/>
      <c r="B200" s="585" t="s">
        <v>216</v>
      </c>
      <c r="C200" s="585" t="s">
        <v>216</v>
      </c>
      <c r="D200" s="585" t="s">
        <v>429</v>
      </c>
      <c r="E200" s="67" t="s">
        <v>61</v>
      </c>
      <c r="F200" s="146" t="s">
        <v>413</v>
      </c>
      <c r="G200" s="147">
        <v>176</v>
      </c>
      <c r="H200" s="148" t="s">
        <v>25</v>
      </c>
      <c r="I200" s="147" t="s">
        <v>26</v>
      </c>
      <c r="J200" s="149"/>
      <c r="K200" s="149"/>
      <c r="L200" s="149"/>
      <c r="M200" s="586">
        <v>0</v>
      </c>
      <c r="N200" s="587">
        <f>'통장내역(환율표)'!D94</f>
        <v>6.7490999836524441</v>
      </c>
      <c r="O200" s="588">
        <f t="shared" si="10"/>
        <v>0</v>
      </c>
      <c r="P200" s="589">
        <f t="shared" si="8"/>
        <v>-274118.68399999989</v>
      </c>
      <c r="Q200" s="589">
        <f t="shared" si="9"/>
        <v>-41198.71887100293</v>
      </c>
      <c r="R200" s="590"/>
      <c r="S200" s="593"/>
      <c r="T200" s="584"/>
      <c r="U200" s="476"/>
      <c r="V200" s="476"/>
      <c r="W200" s="476"/>
      <c r="X200" s="476"/>
    </row>
    <row r="201" spans="1:24" s="477" customFormat="1" ht="11.25" customHeight="1">
      <c r="A201" s="125"/>
      <c r="B201" s="585" t="s">
        <v>216</v>
      </c>
      <c r="C201" s="585" t="s">
        <v>216</v>
      </c>
      <c r="D201" s="585" t="s">
        <v>430</v>
      </c>
      <c r="E201" s="67" t="s">
        <v>61</v>
      </c>
      <c r="F201" s="146" t="s">
        <v>413</v>
      </c>
      <c r="G201" s="147">
        <v>177</v>
      </c>
      <c r="H201" s="148" t="s">
        <v>25</v>
      </c>
      <c r="I201" s="147" t="s">
        <v>26</v>
      </c>
      <c r="J201" s="149"/>
      <c r="K201" s="149"/>
      <c r="L201" s="149"/>
      <c r="M201" s="586">
        <v>0</v>
      </c>
      <c r="N201" s="587">
        <f>'통장내역(환율표)'!D94</f>
        <v>6.7490999836524441</v>
      </c>
      <c r="O201" s="588">
        <f t="shared" si="10"/>
        <v>0</v>
      </c>
      <c r="P201" s="589">
        <f t="shared" si="8"/>
        <v>-274118.68399999989</v>
      </c>
      <c r="Q201" s="589">
        <f t="shared" si="9"/>
        <v>-41198.71887100293</v>
      </c>
      <c r="R201" s="590"/>
      <c r="S201" s="593"/>
      <c r="T201" s="584"/>
      <c r="U201" s="476"/>
      <c r="V201" s="476"/>
      <c r="W201" s="476"/>
      <c r="X201" s="476"/>
    </row>
    <row r="202" spans="1:24" s="477" customFormat="1" ht="11.25" customHeight="1">
      <c r="A202" s="125"/>
      <c r="B202" s="585" t="s">
        <v>431</v>
      </c>
      <c r="C202" s="585" t="s">
        <v>431</v>
      </c>
      <c r="D202" s="585" t="s">
        <v>432</v>
      </c>
      <c r="E202" s="67" t="s">
        <v>30</v>
      </c>
      <c r="F202" s="146" t="s">
        <v>413</v>
      </c>
      <c r="G202" s="147">
        <v>178</v>
      </c>
      <c r="H202" s="148" t="s">
        <v>32</v>
      </c>
      <c r="I202" s="147"/>
      <c r="J202" s="149"/>
      <c r="K202" s="149"/>
      <c r="L202" s="149"/>
      <c r="M202" s="586">
        <v>7.2</v>
      </c>
      <c r="N202" s="587">
        <f>'통장내역(환율표)'!D94</f>
        <v>6.7490999836524441</v>
      </c>
      <c r="O202" s="588">
        <f t="shared" si="10"/>
        <v>1.0668089104383871</v>
      </c>
      <c r="P202" s="589">
        <f t="shared" si="8"/>
        <v>-274125.8839999999</v>
      </c>
      <c r="Q202" s="589">
        <f t="shared" si="9"/>
        <v>-41199.785679913366</v>
      </c>
      <c r="R202" s="590"/>
      <c r="S202" s="591" t="s">
        <v>433</v>
      </c>
      <c r="T202" s="584"/>
      <c r="U202" s="476"/>
      <c r="V202" s="476"/>
      <c r="W202" s="476"/>
      <c r="X202" s="476"/>
    </row>
    <row r="203" spans="1:24" s="477" customFormat="1" ht="11.25" customHeight="1">
      <c r="A203" s="125"/>
      <c r="B203" s="585" t="s">
        <v>434</v>
      </c>
      <c r="C203" s="585" t="s">
        <v>434</v>
      </c>
      <c r="D203" s="585"/>
      <c r="E203" s="67" t="s">
        <v>244</v>
      </c>
      <c r="F203" s="146" t="s">
        <v>413</v>
      </c>
      <c r="G203" s="147">
        <v>179</v>
      </c>
      <c r="H203" s="148" t="s">
        <v>32</v>
      </c>
      <c r="I203" s="147"/>
      <c r="J203" s="149"/>
      <c r="K203" s="149"/>
      <c r="L203" s="149"/>
      <c r="M203" s="586">
        <v>25974.34</v>
      </c>
      <c r="N203" s="587">
        <f>'통장내역(환율표)'!D94</f>
        <v>6.7490999836524441</v>
      </c>
      <c r="O203" s="588">
        <f t="shared" si="10"/>
        <v>3848.5635214939189</v>
      </c>
      <c r="P203" s="589">
        <f t="shared" si="8"/>
        <v>-300100.22399999993</v>
      </c>
      <c r="Q203" s="589">
        <f t="shared" si="9"/>
        <v>-45048.349201407284</v>
      </c>
      <c r="R203" s="590"/>
      <c r="S203" s="592" t="s">
        <v>389</v>
      </c>
      <c r="T203" s="584"/>
      <c r="U203" s="476"/>
      <c r="V203" s="476"/>
      <c r="W203" s="476"/>
      <c r="X203" s="476"/>
    </row>
    <row r="204" spans="1:24" s="576" customFormat="1" ht="12" customHeight="1">
      <c r="A204" s="125"/>
      <c r="B204" s="585" t="s">
        <v>435</v>
      </c>
      <c r="C204" s="585" t="s">
        <v>435</v>
      </c>
      <c r="D204" s="585"/>
      <c r="E204" s="67" t="s">
        <v>244</v>
      </c>
      <c r="F204" s="146" t="s">
        <v>413</v>
      </c>
      <c r="G204" s="147">
        <v>180</v>
      </c>
      <c r="H204" s="148" t="s">
        <v>32</v>
      </c>
      <c r="I204" s="147"/>
      <c r="J204" s="149"/>
      <c r="K204" s="149"/>
      <c r="L204" s="149"/>
      <c r="M204" s="586">
        <v>68</v>
      </c>
      <c r="N204" s="587">
        <f>'통장내역(환율표)'!D94</f>
        <v>6.7490999836524441</v>
      </c>
      <c r="O204" s="588">
        <f t="shared" si="10"/>
        <v>10.075417487473656</v>
      </c>
      <c r="P204" s="589">
        <f t="shared" si="8"/>
        <v>-300168.22399999993</v>
      </c>
      <c r="Q204" s="589">
        <f t="shared" si="9"/>
        <v>-45058.424618894758</v>
      </c>
      <c r="R204" s="590"/>
      <c r="S204" s="593"/>
      <c r="T204" s="584"/>
      <c r="U204" s="476"/>
      <c r="V204" s="476"/>
      <c r="W204" s="476"/>
      <c r="X204" s="476"/>
    </row>
    <row r="205" spans="1:24" s="576" customFormat="1" ht="12" customHeight="1">
      <c r="A205" s="125"/>
      <c r="B205" s="585" t="s">
        <v>436</v>
      </c>
      <c r="C205" s="585" t="s">
        <v>436</v>
      </c>
      <c r="D205" s="585"/>
      <c r="E205" s="67" t="s">
        <v>244</v>
      </c>
      <c r="F205" s="146" t="s">
        <v>413</v>
      </c>
      <c r="G205" s="147">
        <v>181</v>
      </c>
      <c r="H205" s="148" t="s">
        <v>32</v>
      </c>
      <c r="I205" s="147"/>
      <c r="J205" s="149"/>
      <c r="K205" s="149"/>
      <c r="L205" s="149"/>
      <c r="M205" s="586">
        <v>3.6</v>
      </c>
      <c r="N205" s="587">
        <f>'통장내역(환율표)'!D94</f>
        <v>6.7490999836524441</v>
      </c>
      <c r="O205" s="588">
        <f t="shared" si="10"/>
        <v>0.53340445521919355</v>
      </c>
      <c r="P205" s="589">
        <f t="shared" si="8"/>
        <v>-300171.82399999991</v>
      </c>
      <c r="Q205" s="589">
        <f t="shared" si="9"/>
        <v>-45058.95802334998</v>
      </c>
      <c r="R205" s="590"/>
      <c r="S205" s="592" t="s">
        <v>268</v>
      </c>
      <c r="T205" s="584"/>
      <c r="U205" s="476"/>
      <c r="V205" s="476"/>
      <c r="W205" s="476"/>
      <c r="X205" s="476"/>
    </row>
    <row r="206" spans="1:24" s="477" customFormat="1" ht="11.25" customHeight="1">
      <c r="A206" s="125"/>
      <c r="B206" s="585" t="s">
        <v>211</v>
      </c>
      <c r="C206" s="585" t="s">
        <v>437</v>
      </c>
      <c r="D206" s="585" t="s">
        <v>438</v>
      </c>
      <c r="E206" s="67" t="s">
        <v>349</v>
      </c>
      <c r="F206" s="146" t="s">
        <v>76</v>
      </c>
      <c r="G206" s="147">
        <v>182</v>
      </c>
      <c r="H206" s="148" t="s">
        <v>32</v>
      </c>
      <c r="I206" s="147"/>
      <c r="J206" s="149"/>
      <c r="K206" s="149"/>
      <c r="L206" s="149"/>
      <c r="M206" s="586">
        <v>30.44</v>
      </c>
      <c r="N206" s="587">
        <f>'통장내역(환율표)'!D94</f>
        <v>6.7490999836524441</v>
      </c>
      <c r="O206" s="588">
        <f t="shared" si="10"/>
        <v>4.5102310046867364</v>
      </c>
      <c r="P206" s="589">
        <f t="shared" si="8"/>
        <v>-300202.26399999991</v>
      </c>
      <c r="Q206" s="589">
        <f t="shared" si="9"/>
        <v>-45063.468254354666</v>
      </c>
      <c r="R206" s="590"/>
      <c r="S206" s="592" t="s">
        <v>439</v>
      </c>
      <c r="T206" s="584"/>
      <c r="U206" s="476"/>
      <c r="V206" s="476"/>
      <c r="W206" s="476"/>
      <c r="X206" s="476"/>
    </row>
    <row r="207" spans="1:24" s="477" customFormat="1" ht="11.25" customHeight="1">
      <c r="A207" s="125"/>
      <c r="B207" s="585" t="s">
        <v>211</v>
      </c>
      <c r="C207" s="585" t="s">
        <v>437</v>
      </c>
      <c r="D207" s="585" t="s">
        <v>440</v>
      </c>
      <c r="E207" s="67" t="s">
        <v>349</v>
      </c>
      <c r="F207" s="146" t="s">
        <v>76</v>
      </c>
      <c r="G207" s="147">
        <v>183</v>
      </c>
      <c r="H207" s="148" t="s">
        <v>23</v>
      </c>
      <c r="I207" s="147"/>
      <c r="J207" s="149"/>
      <c r="K207" s="149"/>
      <c r="L207" s="149"/>
      <c r="M207" s="586">
        <v>60</v>
      </c>
      <c r="N207" s="587">
        <f>'통장내역(환율표)'!D94</f>
        <v>6.7490999836524441</v>
      </c>
      <c r="O207" s="588">
        <f t="shared" si="10"/>
        <v>8.8900742536532249</v>
      </c>
      <c r="P207" s="589">
        <f t="shared" si="8"/>
        <v>-300262.26399999991</v>
      </c>
      <c r="Q207" s="589">
        <f t="shared" si="9"/>
        <v>-45072.358328608316</v>
      </c>
      <c r="R207" s="590"/>
      <c r="S207" s="593"/>
      <c r="T207" s="584"/>
      <c r="U207" s="476"/>
      <c r="V207" s="476"/>
      <c r="W207" s="476"/>
      <c r="X207" s="476"/>
    </row>
    <row r="208" spans="1:24" s="477" customFormat="1" ht="11.25" customHeight="1">
      <c r="A208" s="125"/>
      <c r="B208" s="585" t="s">
        <v>211</v>
      </c>
      <c r="C208" s="585" t="s">
        <v>437</v>
      </c>
      <c r="D208" s="585" t="s">
        <v>441</v>
      </c>
      <c r="E208" s="67" t="s">
        <v>61</v>
      </c>
      <c r="F208" s="146" t="s">
        <v>76</v>
      </c>
      <c r="G208" s="147">
        <v>184</v>
      </c>
      <c r="H208" s="148" t="s">
        <v>23</v>
      </c>
      <c r="I208" s="147"/>
      <c r="J208" s="149"/>
      <c r="K208" s="149"/>
      <c r="L208" s="149"/>
      <c r="M208" s="586">
        <v>281</v>
      </c>
      <c r="N208" s="587">
        <f>'통장내역(환율표)'!D94</f>
        <v>6.7490999836524441</v>
      </c>
      <c r="O208" s="588">
        <f t="shared" si="10"/>
        <v>41.635181087942605</v>
      </c>
      <c r="P208" s="589">
        <f t="shared" si="8"/>
        <v>-300543.26399999991</v>
      </c>
      <c r="Q208" s="589">
        <f t="shared" si="9"/>
        <v>-45113.993509696258</v>
      </c>
      <c r="R208" s="590"/>
      <c r="S208" s="593"/>
      <c r="T208" s="584"/>
      <c r="U208" s="476"/>
      <c r="V208" s="476"/>
      <c r="W208" s="476"/>
      <c r="X208" s="476"/>
    </row>
    <row r="209" spans="1:24" s="477" customFormat="1" ht="11.25" customHeight="1">
      <c r="A209" s="125"/>
      <c r="B209" s="585" t="s">
        <v>211</v>
      </c>
      <c r="C209" s="585" t="s">
        <v>442</v>
      </c>
      <c r="D209" s="585" t="s">
        <v>443</v>
      </c>
      <c r="E209" s="67" t="s">
        <v>349</v>
      </c>
      <c r="F209" s="146" t="s">
        <v>76</v>
      </c>
      <c r="G209" s="147">
        <v>185</v>
      </c>
      <c r="H209" s="148" t="s">
        <v>23</v>
      </c>
      <c r="I209" s="147" t="s">
        <v>24</v>
      </c>
      <c r="J209" s="149"/>
      <c r="K209" s="149"/>
      <c r="L209" s="149"/>
      <c r="M209" s="586">
        <v>100.7</v>
      </c>
      <c r="N209" s="587">
        <f>'통장내역(환율표)'!D94</f>
        <v>6.7490999836524441</v>
      </c>
      <c r="O209" s="588">
        <f t="shared" si="10"/>
        <v>14.920507955714664</v>
      </c>
      <c r="P209" s="589">
        <f t="shared" si="8"/>
        <v>-300643.96399999992</v>
      </c>
      <c r="Q209" s="589">
        <f t="shared" si="9"/>
        <v>-45128.914017651972</v>
      </c>
      <c r="R209" s="590"/>
      <c r="S209" s="592" t="s">
        <v>338</v>
      </c>
      <c r="T209" s="584"/>
      <c r="U209" s="476"/>
      <c r="V209" s="476"/>
      <c r="W209" s="476"/>
      <c r="X209" s="476"/>
    </row>
    <row r="210" spans="1:24" s="477" customFormat="1" ht="11.25" customHeight="1">
      <c r="A210" s="125"/>
      <c r="B210" s="585" t="s">
        <v>211</v>
      </c>
      <c r="C210" s="585" t="s">
        <v>442</v>
      </c>
      <c r="D210" s="585" t="s">
        <v>444</v>
      </c>
      <c r="E210" s="67" t="s">
        <v>61</v>
      </c>
      <c r="F210" s="146" t="s">
        <v>76</v>
      </c>
      <c r="G210" s="147">
        <v>186</v>
      </c>
      <c r="H210" s="148" t="s">
        <v>25</v>
      </c>
      <c r="I210" s="147" t="s">
        <v>26</v>
      </c>
      <c r="J210" s="149"/>
      <c r="K210" s="149"/>
      <c r="L210" s="149"/>
      <c r="M210" s="586">
        <v>558</v>
      </c>
      <c r="N210" s="587">
        <f>'통장내역(환율표)'!D94</f>
        <v>6.7490999836524441</v>
      </c>
      <c r="O210" s="588">
        <f t="shared" si="10"/>
        <v>82.677690558975002</v>
      </c>
      <c r="P210" s="589">
        <f t="shared" si="8"/>
        <v>-301201.96399999992</v>
      </c>
      <c r="Q210" s="589">
        <f t="shared" si="9"/>
        <v>-45211.591708210944</v>
      </c>
      <c r="R210" s="590"/>
      <c r="S210" s="592" t="s">
        <v>255</v>
      </c>
      <c r="T210" s="584"/>
      <c r="U210" s="476"/>
      <c r="V210" s="476"/>
      <c r="W210" s="476"/>
      <c r="X210" s="476"/>
    </row>
    <row r="211" spans="1:24" s="477" customFormat="1" ht="11.25" customHeight="1">
      <c r="A211" s="125"/>
      <c r="B211" s="585" t="s">
        <v>211</v>
      </c>
      <c r="C211" s="585" t="s">
        <v>442</v>
      </c>
      <c r="D211" s="585" t="s">
        <v>445</v>
      </c>
      <c r="E211" s="67" t="s">
        <v>349</v>
      </c>
      <c r="F211" s="146" t="s">
        <v>76</v>
      </c>
      <c r="G211" s="147">
        <v>187</v>
      </c>
      <c r="H211" s="148" t="s">
        <v>25</v>
      </c>
      <c r="I211" s="147" t="s">
        <v>26</v>
      </c>
      <c r="J211" s="149"/>
      <c r="K211" s="149"/>
      <c r="L211" s="149"/>
      <c r="M211" s="586">
        <v>770</v>
      </c>
      <c r="N211" s="587">
        <f>'통장내역(환율표)'!D94</f>
        <v>6.7490999836524441</v>
      </c>
      <c r="O211" s="588">
        <f t="shared" si="10"/>
        <v>114.08928625521639</v>
      </c>
      <c r="P211" s="589">
        <f t="shared" si="8"/>
        <v>-301971.96399999992</v>
      </c>
      <c r="Q211" s="589">
        <f t="shared" si="9"/>
        <v>-45325.680994466158</v>
      </c>
      <c r="R211" s="590"/>
      <c r="S211" s="592" t="s">
        <v>257</v>
      </c>
      <c r="T211" s="584"/>
      <c r="U211" s="476"/>
      <c r="V211" s="476"/>
      <c r="W211" s="476"/>
      <c r="X211" s="476"/>
    </row>
    <row r="212" spans="1:24" s="477" customFormat="1" ht="11.25" customHeight="1">
      <c r="A212" s="125"/>
      <c r="B212" s="585" t="s">
        <v>211</v>
      </c>
      <c r="C212" s="585" t="s">
        <v>442</v>
      </c>
      <c r="D212" s="585" t="s">
        <v>446</v>
      </c>
      <c r="E212" s="67" t="s">
        <v>273</v>
      </c>
      <c r="F212" s="146" t="s">
        <v>76</v>
      </c>
      <c r="G212" s="147">
        <v>188</v>
      </c>
      <c r="H212" s="148" t="s">
        <v>25</v>
      </c>
      <c r="I212" s="147" t="s">
        <v>26</v>
      </c>
      <c r="J212" s="149"/>
      <c r="K212" s="149"/>
      <c r="L212" s="149"/>
      <c r="M212" s="586">
        <v>40</v>
      </c>
      <c r="N212" s="587">
        <f>'통장내역(환율표)'!D94</f>
        <v>6.7490999836524441</v>
      </c>
      <c r="O212" s="588">
        <f t="shared" si="10"/>
        <v>5.9267161691021508</v>
      </c>
      <c r="P212" s="589">
        <f t="shared" si="8"/>
        <v>-302011.96399999992</v>
      </c>
      <c r="Q212" s="589">
        <f t="shared" si="9"/>
        <v>-45331.60771063526</v>
      </c>
      <c r="R212" s="590"/>
      <c r="S212" s="592" t="s">
        <v>313</v>
      </c>
      <c r="T212" s="584"/>
      <c r="U212" s="476"/>
      <c r="V212" s="476"/>
      <c r="W212" s="476"/>
      <c r="X212" s="476"/>
    </row>
    <row r="213" spans="1:24" s="477" customFormat="1" ht="11.25" customHeight="1">
      <c r="A213" s="125"/>
      <c r="B213" s="585" t="s">
        <v>211</v>
      </c>
      <c r="C213" s="585" t="s">
        <v>447</v>
      </c>
      <c r="D213" s="585" t="s">
        <v>448</v>
      </c>
      <c r="E213" s="67" t="s">
        <v>349</v>
      </c>
      <c r="F213" s="146" t="s">
        <v>76</v>
      </c>
      <c r="G213" s="147">
        <v>189</v>
      </c>
      <c r="H213" s="148" t="s">
        <v>25</v>
      </c>
      <c r="I213" s="147" t="s">
        <v>26</v>
      </c>
      <c r="J213" s="149"/>
      <c r="K213" s="149"/>
      <c r="L213" s="149"/>
      <c r="M213" s="586">
        <v>627.5</v>
      </c>
      <c r="N213" s="587">
        <f>'통장내역(환율표)'!D94</f>
        <v>6.7490999836524441</v>
      </c>
      <c r="O213" s="588">
        <f t="shared" si="10"/>
        <v>92.97535990278999</v>
      </c>
      <c r="P213" s="589">
        <f t="shared" si="8"/>
        <v>-302639.46399999992</v>
      </c>
      <c r="Q213" s="589">
        <f t="shared" si="9"/>
        <v>-45424.58307053805</v>
      </c>
      <c r="R213" s="590"/>
      <c r="S213" s="591" t="s">
        <v>449</v>
      </c>
      <c r="T213" s="584"/>
      <c r="U213" s="476"/>
      <c r="V213" s="476"/>
      <c r="W213" s="476"/>
      <c r="X213" s="476"/>
    </row>
    <row r="214" spans="1:24" s="477" customFormat="1" ht="11.25" customHeight="1">
      <c r="A214" s="125"/>
      <c r="B214" s="585" t="s">
        <v>211</v>
      </c>
      <c r="C214" s="585" t="s">
        <v>447</v>
      </c>
      <c r="D214" s="585" t="s">
        <v>450</v>
      </c>
      <c r="E214" s="67" t="s">
        <v>61</v>
      </c>
      <c r="F214" s="146" t="s">
        <v>76</v>
      </c>
      <c r="G214" s="147">
        <v>190</v>
      </c>
      <c r="H214" s="148" t="s">
        <v>25</v>
      </c>
      <c r="I214" s="147" t="s">
        <v>26</v>
      </c>
      <c r="J214" s="149"/>
      <c r="K214" s="149"/>
      <c r="L214" s="149"/>
      <c r="M214" s="586">
        <v>18</v>
      </c>
      <c r="N214" s="587">
        <f>'통장내역(환율표)'!D94</f>
        <v>6.7490999836524441</v>
      </c>
      <c r="O214" s="588">
        <f t="shared" si="10"/>
        <v>2.6670222760959676</v>
      </c>
      <c r="P214" s="589">
        <f t="shared" ref="P214:P243" si="11">P213+J214-M214</f>
        <v>-302657.46399999992</v>
      </c>
      <c r="Q214" s="589">
        <f t="shared" ref="Q214:Q243" si="12">Q213+L214-O214</f>
        <v>-45427.250092814145</v>
      </c>
      <c r="R214" s="590"/>
      <c r="S214" s="592" t="s">
        <v>375</v>
      </c>
      <c r="T214" s="584"/>
      <c r="U214" s="476"/>
      <c r="V214" s="476"/>
      <c r="W214" s="476"/>
      <c r="X214" s="476"/>
    </row>
    <row r="215" spans="1:24" s="576" customFormat="1" ht="12" customHeight="1">
      <c r="A215" s="125"/>
      <c r="B215" s="585" t="s">
        <v>211</v>
      </c>
      <c r="C215" s="585" t="s">
        <v>447</v>
      </c>
      <c r="D215" s="585" t="s">
        <v>451</v>
      </c>
      <c r="E215" s="67" t="s">
        <v>349</v>
      </c>
      <c r="F215" s="146" t="s">
        <v>76</v>
      </c>
      <c r="G215" s="147">
        <v>191</v>
      </c>
      <c r="H215" s="148" t="s">
        <v>23</v>
      </c>
      <c r="I215" s="147"/>
      <c r="J215" s="149"/>
      <c r="K215" s="149"/>
      <c r="L215" s="149"/>
      <c r="M215" s="586">
        <v>260</v>
      </c>
      <c r="N215" s="587">
        <f>'통장내역(환율표)'!D94</f>
        <v>6.7490999836524441</v>
      </c>
      <c r="O215" s="588">
        <f t="shared" si="10"/>
        <v>38.523655099163975</v>
      </c>
      <c r="P215" s="589">
        <f t="shared" si="11"/>
        <v>-302917.46399999992</v>
      </c>
      <c r="Q215" s="589">
        <f t="shared" si="12"/>
        <v>-45465.773747913307</v>
      </c>
      <c r="R215" s="590"/>
      <c r="S215" s="593"/>
      <c r="T215" s="584"/>
      <c r="U215" s="476"/>
      <c r="V215" s="476"/>
      <c r="W215" s="476"/>
      <c r="X215" s="476"/>
    </row>
    <row r="216" spans="1:24" s="576" customFormat="1" ht="12" customHeight="1">
      <c r="A216" s="125"/>
      <c r="B216" s="585" t="s">
        <v>211</v>
      </c>
      <c r="C216" s="585" t="s">
        <v>417</v>
      </c>
      <c r="D216" s="585" t="s">
        <v>452</v>
      </c>
      <c r="E216" s="67" t="s">
        <v>273</v>
      </c>
      <c r="F216" s="146" t="s">
        <v>76</v>
      </c>
      <c r="G216" s="147">
        <v>192</v>
      </c>
      <c r="H216" s="148" t="s">
        <v>23</v>
      </c>
      <c r="I216" s="147"/>
      <c r="J216" s="149"/>
      <c r="K216" s="149"/>
      <c r="L216" s="149"/>
      <c r="M216" s="586">
        <v>674</v>
      </c>
      <c r="N216" s="587">
        <f>'통장내역(환율표)'!D94</f>
        <v>6.7490999836524441</v>
      </c>
      <c r="O216" s="588">
        <f t="shared" si="10"/>
        <v>99.865167449371242</v>
      </c>
      <c r="P216" s="589">
        <f t="shared" si="11"/>
        <v>-303591.46399999992</v>
      </c>
      <c r="Q216" s="589">
        <f t="shared" si="12"/>
        <v>-45565.638915362681</v>
      </c>
      <c r="R216" s="590"/>
      <c r="S216" s="593"/>
      <c r="T216" s="584"/>
      <c r="U216" s="476"/>
      <c r="V216" s="476"/>
      <c r="W216" s="476"/>
      <c r="X216" s="476"/>
    </row>
    <row r="217" spans="1:24" s="477" customFormat="1" ht="11.25" customHeight="1">
      <c r="A217" s="125"/>
      <c r="B217" s="585" t="s">
        <v>211</v>
      </c>
      <c r="C217" s="585" t="s">
        <v>364</v>
      </c>
      <c r="D217" s="585" t="s">
        <v>453</v>
      </c>
      <c r="E217" s="67" t="s">
        <v>61</v>
      </c>
      <c r="F217" s="146" t="s">
        <v>76</v>
      </c>
      <c r="G217" s="147">
        <v>193</v>
      </c>
      <c r="H217" s="148" t="s">
        <v>25</v>
      </c>
      <c r="I217" s="147" t="s">
        <v>26</v>
      </c>
      <c r="J217" s="149"/>
      <c r="K217" s="149"/>
      <c r="L217" s="149"/>
      <c r="M217" s="586">
        <v>1725.68</v>
      </c>
      <c r="N217" s="587">
        <f>'통장내역(환율표)'!D94</f>
        <v>6.7490999836524441</v>
      </c>
      <c r="O217" s="588">
        <f t="shared" si="10"/>
        <v>255.690388967405</v>
      </c>
      <c r="P217" s="589">
        <f t="shared" si="11"/>
        <v>-305317.14399999991</v>
      </c>
      <c r="Q217" s="589">
        <f t="shared" si="12"/>
        <v>-45821.329304330087</v>
      </c>
      <c r="R217" s="590"/>
      <c r="S217" s="593"/>
      <c r="T217" s="584"/>
      <c r="U217" s="476"/>
      <c r="V217" s="476"/>
      <c r="W217" s="476"/>
      <c r="X217" s="476"/>
    </row>
    <row r="218" spans="1:24" s="477" customFormat="1" ht="11.25" customHeight="1">
      <c r="A218" s="125"/>
      <c r="B218" s="585" t="s">
        <v>211</v>
      </c>
      <c r="C218" s="585" t="s">
        <v>454</v>
      </c>
      <c r="D218" s="585" t="s">
        <v>455</v>
      </c>
      <c r="E218" s="67" t="s">
        <v>349</v>
      </c>
      <c r="F218" s="146" t="s">
        <v>76</v>
      </c>
      <c r="G218" s="147">
        <v>194</v>
      </c>
      <c r="H218" s="148" t="s">
        <v>23</v>
      </c>
      <c r="I218" s="147"/>
      <c r="J218" s="149"/>
      <c r="K218" s="149"/>
      <c r="L218" s="149"/>
      <c r="M218" s="586">
        <v>103</v>
      </c>
      <c r="N218" s="587">
        <f>'통장내역(환율표)'!D94</f>
        <v>6.7490999836524441</v>
      </c>
      <c r="O218" s="588">
        <f t="shared" ref="O218:O281" si="13">M218/N218</f>
        <v>15.261294135438037</v>
      </c>
      <c r="P218" s="589">
        <f t="shared" si="11"/>
        <v>-305420.14399999991</v>
      </c>
      <c r="Q218" s="589">
        <f t="shared" si="12"/>
        <v>-45836.590598465526</v>
      </c>
      <c r="R218" s="590"/>
      <c r="S218" s="593"/>
      <c r="T218" s="584"/>
      <c r="U218" s="476"/>
      <c r="V218" s="476"/>
      <c r="W218" s="476"/>
      <c r="X218" s="476"/>
    </row>
    <row r="219" spans="1:24" s="477" customFormat="1" ht="11.25" customHeight="1">
      <c r="A219" s="125"/>
      <c r="B219" s="585" t="s">
        <v>211</v>
      </c>
      <c r="C219" s="585" t="s">
        <v>454</v>
      </c>
      <c r="D219" s="585" t="s">
        <v>456</v>
      </c>
      <c r="E219" s="67" t="s">
        <v>349</v>
      </c>
      <c r="F219" s="146" t="s">
        <v>76</v>
      </c>
      <c r="G219" s="147">
        <v>195</v>
      </c>
      <c r="H219" s="148" t="s">
        <v>25</v>
      </c>
      <c r="I219" s="147" t="s">
        <v>26</v>
      </c>
      <c r="J219" s="149"/>
      <c r="K219" s="149"/>
      <c r="L219" s="149"/>
      <c r="M219" s="586">
        <v>1260</v>
      </c>
      <c r="N219" s="587">
        <f>'통장내역(환율표)'!D94</f>
        <v>6.7490999836524441</v>
      </c>
      <c r="O219" s="588">
        <f t="shared" si="13"/>
        <v>186.69155932671774</v>
      </c>
      <c r="P219" s="589">
        <f t="shared" si="11"/>
        <v>-306680.14399999991</v>
      </c>
      <c r="Q219" s="589">
        <f t="shared" si="12"/>
        <v>-46023.282157792244</v>
      </c>
      <c r="R219" s="590"/>
      <c r="S219" s="593"/>
      <c r="T219" s="584"/>
      <c r="U219" s="476"/>
      <c r="V219" s="476"/>
      <c r="W219" s="476"/>
      <c r="X219" s="476"/>
    </row>
    <row r="220" spans="1:24" s="477" customFormat="1" ht="11.25" customHeight="1">
      <c r="A220" s="125"/>
      <c r="B220" s="585" t="s">
        <v>211</v>
      </c>
      <c r="C220" s="585" t="s">
        <v>454</v>
      </c>
      <c r="D220" s="585" t="s">
        <v>457</v>
      </c>
      <c r="E220" s="67" t="s">
        <v>61</v>
      </c>
      <c r="F220" s="146" t="s">
        <v>76</v>
      </c>
      <c r="G220" s="147">
        <v>196</v>
      </c>
      <c r="H220" s="148" t="s">
        <v>25</v>
      </c>
      <c r="I220" s="147" t="s">
        <v>26</v>
      </c>
      <c r="J220" s="149"/>
      <c r="K220" s="149"/>
      <c r="L220" s="149"/>
      <c r="M220" s="586">
        <v>830</v>
      </c>
      <c r="N220" s="587">
        <f>'통장내역(환율표)'!D94</f>
        <v>6.7490999836524441</v>
      </c>
      <c r="O220" s="588">
        <f t="shared" si="13"/>
        <v>122.97936050886962</v>
      </c>
      <c r="P220" s="589">
        <f t="shared" si="11"/>
        <v>-307510.14399999991</v>
      </c>
      <c r="Q220" s="589">
        <f t="shared" si="12"/>
        <v>-46146.261518301115</v>
      </c>
      <c r="R220" s="590"/>
      <c r="S220" s="593"/>
      <c r="T220" s="584"/>
      <c r="U220" s="476"/>
      <c r="V220" s="476"/>
      <c r="W220" s="476"/>
      <c r="X220" s="476"/>
    </row>
    <row r="221" spans="1:24" s="477" customFormat="1" ht="11.25" customHeight="1">
      <c r="A221" s="125"/>
      <c r="B221" s="585" t="s">
        <v>211</v>
      </c>
      <c r="C221" s="585" t="s">
        <v>458</v>
      </c>
      <c r="D221" s="585" t="s">
        <v>459</v>
      </c>
      <c r="E221" s="67" t="s">
        <v>349</v>
      </c>
      <c r="F221" s="146" t="s">
        <v>76</v>
      </c>
      <c r="G221" s="147">
        <v>197</v>
      </c>
      <c r="H221" s="148" t="s">
        <v>25</v>
      </c>
      <c r="I221" s="147" t="s">
        <v>26</v>
      </c>
      <c r="J221" s="149"/>
      <c r="K221" s="149"/>
      <c r="L221" s="149"/>
      <c r="M221" s="586">
        <v>40</v>
      </c>
      <c r="N221" s="587">
        <f>'통장내역(환율표)'!D94</f>
        <v>6.7490999836524441</v>
      </c>
      <c r="O221" s="588">
        <f t="shared" si="13"/>
        <v>5.9267161691021508</v>
      </c>
      <c r="P221" s="589">
        <f t="shared" si="11"/>
        <v>-307550.14399999991</v>
      </c>
      <c r="Q221" s="589">
        <f t="shared" si="12"/>
        <v>-46152.188234470217</v>
      </c>
      <c r="R221" s="590"/>
      <c r="S221" s="593"/>
      <c r="T221" s="584"/>
      <c r="U221" s="476"/>
      <c r="V221" s="476"/>
      <c r="W221" s="476"/>
      <c r="X221" s="476"/>
    </row>
    <row r="222" spans="1:24" s="477" customFormat="1" ht="11.25" customHeight="1">
      <c r="A222" s="125"/>
      <c r="B222" s="585" t="s">
        <v>211</v>
      </c>
      <c r="C222" s="585" t="s">
        <v>458</v>
      </c>
      <c r="D222" s="585" t="s">
        <v>460</v>
      </c>
      <c r="E222" s="67" t="s">
        <v>61</v>
      </c>
      <c r="F222" s="146" t="s">
        <v>76</v>
      </c>
      <c r="G222" s="147">
        <v>198</v>
      </c>
      <c r="H222" s="148" t="s">
        <v>25</v>
      </c>
      <c r="I222" s="147" t="s">
        <v>26</v>
      </c>
      <c r="J222" s="149"/>
      <c r="K222" s="149"/>
      <c r="L222" s="149"/>
      <c r="M222" s="586">
        <v>40</v>
      </c>
      <c r="N222" s="587">
        <f>'통장내역(환율표)'!D94</f>
        <v>6.7490999836524441</v>
      </c>
      <c r="O222" s="588">
        <f t="shared" si="13"/>
        <v>5.9267161691021508</v>
      </c>
      <c r="P222" s="589">
        <f t="shared" si="11"/>
        <v>-307590.14399999991</v>
      </c>
      <c r="Q222" s="589">
        <f t="shared" si="12"/>
        <v>-46158.114950639319</v>
      </c>
      <c r="R222" s="590"/>
      <c r="S222" s="592" t="s">
        <v>191</v>
      </c>
      <c r="T222" s="584"/>
      <c r="U222" s="476"/>
      <c r="V222" s="476"/>
      <c r="W222" s="476"/>
      <c r="X222" s="476"/>
    </row>
    <row r="223" spans="1:24" s="576" customFormat="1" ht="12" customHeight="1">
      <c r="A223" s="125"/>
      <c r="B223" s="585" t="s">
        <v>211</v>
      </c>
      <c r="C223" s="585" t="s">
        <v>461</v>
      </c>
      <c r="D223" s="585" t="s">
        <v>462</v>
      </c>
      <c r="E223" s="67" t="s">
        <v>30</v>
      </c>
      <c r="F223" s="146" t="s">
        <v>76</v>
      </c>
      <c r="G223" s="147">
        <v>199</v>
      </c>
      <c r="H223" s="148" t="s">
        <v>30</v>
      </c>
      <c r="I223" s="147" t="s">
        <v>31</v>
      </c>
      <c r="J223" s="149"/>
      <c r="K223" s="149"/>
      <c r="L223" s="149"/>
      <c r="M223" s="586">
        <v>124.49</v>
      </c>
      <c r="N223" s="587">
        <f>'통장내역(환율표)'!D94</f>
        <v>6.7490999836524441</v>
      </c>
      <c r="O223" s="588">
        <f t="shared" si="13"/>
        <v>18.445422397288166</v>
      </c>
      <c r="P223" s="589">
        <f t="shared" si="11"/>
        <v>-307714.6339999999</v>
      </c>
      <c r="Q223" s="589">
        <f t="shared" si="12"/>
        <v>-46176.560373036606</v>
      </c>
      <c r="R223" s="590"/>
      <c r="S223" s="592" t="s">
        <v>463</v>
      </c>
      <c r="T223" s="584"/>
      <c r="U223" s="476"/>
      <c r="V223" s="476"/>
      <c r="W223" s="476"/>
      <c r="X223" s="476"/>
    </row>
    <row r="224" spans="1:24" s="576" customFormat="1" ht="12" customHeight="1">
      <c r="A224" s="125"/>
      <c r="B224" s="585" t="s">
        <v>211</v>
      </c>
      <c r="C224" s="585" t="s">
        <v>458</v>
      </c>
      <c r="D224" s="585"/>
      <c r="E224" s="67" t="s">
        <v>244</v>
      </c>
      <c r="F224" s="146" t="s">
        <v>76</v>
      </c>
      <c r="G224" s="147">
        <v>200</v>
      </c>
      <c r="H224" s="148" t="s">
        <v>23</v>
      </c>
      <c r="I224" s="147"/>
      <c r="J224" s="149"/>
      <c r="K224" s="149"/>
      <c r="L224" s="149"/>
      <c r="M224" s="586">
        <v>311.88</v>
      </c>
      <c r="N224" s="587">
        <f>'통장내역(환율표)'!D94</f>
        <v>6.7490999836524441</v>
      </c>
      <c r="O224" s="588">
        <f t="shared" si="13"/>
        <v>46.210605970489468</v>
      </c>
      <c r="P224" s="589">
        <f t="shared" si="11"/>
        <v>-308026.51399999991</v>
      </c>
      <c r="Q224" s="589">
        <f t="shared" si="12"/>
        <v>-46222.770979007095</v>
      </c>
      <c r="R224" s="590"/>
      <c r="S224" s="592" t="s">
        <v>389</v>
      </c>
      <c r="T224" s="584"/>
      <c r="U224" s="476"/>
      <c r="V224" s="476"/>
      <c r="W224" s="476"/>
      <c r="X224" s="476"/>
    </row>
    <row r="225" spans="1:24" s="477" customFormat="1" ht="11.25" customHeight="1">
      <c r="A225" s="125"/>
      <c r="B225" s="585" t="s">
        <v>211</v>
      </c>
      <c r="C225" s="585" t="s">
        <v>211</v>
      </c>
      <c r="D225" s="585"/>
      <c r="E225" s="67" t="s">
        <v>49</v>
      </c>
      <c r="F225" s="146" t="s">
        <v>76</v>
      </c>
      <c r="G225" s="147">
        <v>201</v>
      </c>
      <c r="H225" s="148" t="s">
        <v>32</v>
      </c>
      <c r="I225" s="147"/>
      <c r="J225" s="149"/>
      <c r="K225" s="149"/>
      <c r="L225" s="149"/>
      <c r="M225" s="586">
        <v>3.6</v>
      </c>
      <c r="N225" s="587">
        <f>'통장내역(환율표)'!D94</f>
        <v>6.7490999836524441</v>
      </c>
      <c r="O225" s="588">
        <f t="shared" si="13"/>
        <v>0.53340445521919355</v>
      </c>
      <c r="P225" s="589">
        <f t="shared" si="11"/>
        <v>-308030.11399999988</v>
      </c>
      <c r="Q225" s="589">
        <f t="shared" si="12"/>
        <v>-46223.304383462317</v>
      </c>
      <c r="R225" s="590"/>
      <c r="S225" s="592" t="s">
        <v>378</v>
      </c>
      <c r="T225" s="584"/>
      <c r="U225" s="476"/>
      <c r="V225" s="476"/>
      <c r="W225" s="476"/>
      <c r="X225" s="476"/>
    </row>
    <row r="226" spans="1:24" s="477" customFormat="1" ht="11.25" customHeight="1">
      <c r="A226" s="125"/>
      <c r="B226" s="585" t="s">
        <v>211</v>
      </c>
      <c r="C226" s="585" t="s">
        <v>464</v>
      </c>
      <c r="D226" s="585" t="s">
        <v>465</v>
      </c>
      <c r="E226" s="67" t="s">
        <v>23</v>
      </c>
      <c r="F226" s="146" t="s">
        <v>60</v>
      </c>
      <c r="G226" s="147">
        <v>202</v>
      </c>
      <c r="H226" s="148" t="s">
        <v>23</v>
      </c>
      <c r="I226" s="147"/>
      <c r="J226" s="149"/>
      <c r="K226" s="149"/>
      <c r="L226" s="149"/>
      <c r="M226" s="586">
        <v>307.8</v>
      </c>
      <c r="N226" s="587">
        <f>'통장내역(환율표)'!D94</f>
        <v>6.7490999836524441</v>
      </c>
      <c r="O226" s="588">
        <f t="shared" si="13"/>
        <v>45.606080921241052</v>
      </c>
      <c r="P226" s="589">
        <f t="shared" si="11"/>
        <v>-308337.91399999987</v>
      </c>
      <c r="Q226" s="589">
        <f t="shared" si="12"/>
        <v>-46268.91046438356</v>
      </c>
      <c r="R226" s="590"/>
      <c r="S226" s="592" t="s">
        <v>268</v>
      </c>
      <c r="T226" s="584"/>
      <c r="U226" s="476"/>
      <c r="V226" s="476"/>
      <c r="W226" s="476"/>
      <c r="X226" s="476"/>
    </row>
    <row r="227" spans="1:24" s="477" customFormat="1" ht="11.25" customHeight="1">
      <c r="A227" s="125"/>
      <c r="B227" s="585" t="s">
        <v>211</v>
      </c>
      <c r="C227" s="585" t="s">
        <v>447</v>
      </c>
      <c r="D227" s="585" t="s">
        <v>466</v>
      </c>
      <c r="E227" s="67" t="s">
        <v>23</v>
      </c>
      <c r="F227" s="146" t="s">
        <v>60</v>
      </c>
      <c r="G227" s="147">
        <v>203</v>
      </c>
      <c r="H227" s="148" t="s">
        <v>25</v>
      </c>
      <c r="I227" s="147" t="s">
        <v>26</v>
      </c>
      <c r="J227" s="149"/>
      <c r="K227" s="149"/>
      <c r="L227" s="149"/>
      <c r="M227" s="586">
        <v>42</v>
      </c>
      <c r="N227" s="587">
        <f>'통장내역(환율표)'!D94</f>
        <v>6.7490999836524441</v>
      </c>
      <c r="O227" s="588">
        <f t="shared" si="13"/>
        <v>6.2230519775572581</v>
      </c>
      <c r="P227" s="589">
        <f t="shared" si="11"/>
        <v>-308379.91399999987</v>
      </c>
      <c r="Q227" s="589">
        <f t="shared" si="12"/>
        <v>-46275.133516361115</v>
      </c>
      <c r="R227" s="590"/>
      <c r="S227" s="592" t="s">
        <v>278</v>
      </c>
      <c r="T227" s="584"/>
      <c r="U227" s="476"/>
      <c r="V227" s="476"/>
      <c r="W227" s="476"/>
      <c r="X227" s="476"/>
    </row>
    <row r="228" spans="1:24" s="477" customFormat="1" ht="11.25" customHeight="1">
      <c r="A228" s="125"/>
      <c r="B228" s="585" t="s">
        <v>211</v>
      </c>
      <c r="C228" s="585" t="s">
        <v>417</v>
      </c>
      <c r="D228" s="585" t="s">
        <v>467</v>
      </c>
      <c r="E228" s="67" t="s">
        <v>23</v>
      </c>
      <c r="F228" s="146" t="s">
        <v>60</v>
      </c>
      <c r="G228" s="147">
        <v>204</v>
      </c>
      <c r="H228" s="148" t="s">
        <v>25</v>
      </c>
      <c r="I228" s="147" t="s">
        <v>26</v>
      </c>
      <c r="J228" s="149"/>
      <c r="K228" s="149"/>
      <c r="L228" s="149"/>
      <c r="M228" s="586">
        <v>569</v>
      </c>
      <c r="N228" s="587">
        <f>'통장내역(환율표)'!D94</f>
        <v>6.7490999836524441</v>
      </c>
      <c r="O228" s="588">
        <f t="shared" si="13"/>
        <v>84.307537505478095</v>
      </c>
      <c r="P228" s="589">
        <f t="shared" si="11"/>
        <v>-308948.91399999987</v>
      </c>
      <c r="Q228" s="589">
        <f t="shared" si="12"/>
        <v>-46359.441053866591</v>
      </c>
      <c r="R228" s="590"/>
      <c r="S228" s="592" t="s">
        <v>191</v>
      </c>
      <c r="T228" s="584"/>
      <c r="U228" s="476"/>
      <c r="V228" s="476"/>
      <c r="W228" s="476"/>
      <c r="X228" s="476"/>
    </row>
    <row r="229" spans="1:24" s="477" customFormat="1" ht="11.25" customHeight="1">
      <c r="A229" s="125"/>
      <c r="B229" s="585" t="s">
        <v>211</v>
      </c>
      <c r="C229" s="585" t="s">
        <v>468</v>
      </c>
      <c r="D229" s="585" t="s">
        <v>469</v>
      </c>
      <c r="E229" s="67" t="s">
        <v>23</v>
      </c>
      <c r="F229" s="146" t="s">
        <v>60</v>
      </c>
      <c r="G229" s="147">
        <v>205</v>
      </c>
      <c r="H229" s="148" t="s">
        <v>25</v>
      </c>
      <c r="I229" s="147" t="s">
        <v>26</v>
      </c>
      <c r="J229" s="149"/>
      <c r="K229" s="149"/>
      <c r="L229" s="149"/>
      <c r="M229" s="586">
        <v>40</v>
      </c>
      <c r="N229" s="587">
        <f>'통장내역(환율표)'!D94</f>
        <v>6.7490999836524441</v>
      </c>
      <c r="O229" s="588">
        <f t="shared" si="13"/>
        <v>5.9267161691021508</v>
      </c>
      <c r="P229" s="589">
        <f t="shared" si="11"/>
        <v>-308988.91399999987</v>
      </c>
      <c r="Q229" s="589">
        <f t="shared" si="12"/>
        <v>-46365.367770035693</v>
      </c>
      <c r="R229" s="590"/>
      <c r="S229" s="592" t="s">
        <v>191</v>
      </c>
      <c r="T229" s="584"/>
      <c r="U229" s="476"/>
      <c r="V229" s="476"/>
      <c r="W229" s="476"/>
      <c r="X229" s="476"/>
    </row>
    <row r="230" spans="1:24" s="477" customFormat="1" ht="11.25" customHeight="1">
      <c r="A230" s="125"/>
      <c r="B230" s="585" t="s">
        <v>211</v>
      </c>
      <c r="C230" s="585" t="s">
        <v>470</v>
      </c>
      <c r="D230" s="585" t="s">
        <v>471</v>
      </c>
      <c r="E230" s="67" t="s">
        <v>23</v>
      </c>
      <c r="F230" s="146" t="s">
        <v>60</v>
      </c>
      <c r="G230" s="147">
        <v>206</v>
      </c>
      <c r="H230" s="148" t="s">
        <v>25</v>
      </c>
      <c r="I230" s="147" t="s">
        <v>26</v>
      </c>
      <c r="J230" s="149"/>
      <c r="K230" s="149"/>
      <c r="L230" s="149"/>
      <c r="M230" s="586">
        <v>42</v>
      </c>
      <c r="N230" s="587">
        <f>'통장내역(환율표)'!D94</f>
        <v>6.7490999836524441</v>
      </c>
      <c r="O230" s="588">
        <f t="shared" si="13"/>
        <v>6.2230519775572581</v>
      </c>
      <c r="P230" s="589">
        <f t="shared" si="11"/>
        <v>-309030.91399999987</v>
      </c>
      <c r="Q230" s="589">
        <f t="shared" si="12"/>
        <v>-46371.590822013248</v>
      </c>
      <c r="R230" s="590"/>
      <c r="S230" s="592" t="s">
        <v>235</v>
      </c>
      <c r="T230" s="584"/>
      <c r="U230" s="476"/>
      <c r="V230" s="476"/>
      <c r="W230" s="476"/>
      <c r="X230" s="476"/>
    </row>
    <row r="231" spans="1:24" s="576" customFormat="1" ht="12" customHeight="1">
      <c r="A231" s="125"/>
      <c r="B231" s="585" t="s">
        <v>211</v>
      </c>
      <c r="C231" s="585" t="s">
        <v>330</v>
      </c>
      <c r="D231" s="585" t="s">
        <v>472</v>
      </c>
      <c r="E231" s="67" t="s">
        <v>131</v>
      </c>
      <c r="F231" s="146" t="s">
        <v>60</v>
      </c>
      <c r="G231" s="147">
        <v>207</v>
      </c>
      <c r="H231" s="148" t="s">
        <v>25</v>
      </c>
      <c r="I231" s="147" t="s">
        <v>26</v>
      </c>
      <c r="J231" s="149"/>
      <c r="K231" s="149"/>
      <c r="L231" s="149"/>
      <c r="M231" s="586">
        <v>40</v>
      </c>
      <c r="N231" s="587">
        <f>'통장내역(환율표)'!D94</f>
        <v>6.7490999836524441</v>
      </c>
      <c r="O231" s="588">
        <f t="shared" si="13"/>
        <v>5.9267161691021508</v>
      </c>
      <c r="P231" s="589">
        <f t="shared" si="11"/>
        <v>-309070.91399999987</v>
      </c>
      <c r="Q231" s="589">
        <f t="shared" si="12"/>
        <v>-46377.51753818235</v>
      </c>
      <c r="R231" s="590"/>
      <c r="S231" s="592" t="s">
        <v>191</v>
      </c>
      <c r="T231" s="584"/>
      <c r="U231" s="476"/>
      <c r="V231" s="476"/>
      <c r="W231" s="476"/>
      <c r="X231" s="476"/>
    </row>
    <row r="232" spans="1:24" s="576" customFormat="1" ht="12" customHeight="1">
      <c r="A232" s="125"/>
      <c r="B232" s="585" t="s">
        <v>211</v>
      </c>
      <c r="C232" s="585" t="s">
        <v>251</v>
      </c>
      <c r="D232" s="585" t="s">
        <v>473</v>
      </c>
      <c r="E232" s="67" t="s">
        <v>203</v>
      </c>
      <c r="F232" s="146" t="s">
        <v>60</v>
      </c>
      <c r="G232" s="147">
        <v>208</v>
      </c>
      <c r="H232" s="148" t="s">
        <v>25</v>
      </c>
      <c r="I232" s="147" t="s">
        <v>26</v>
      </c>
      <c r="J232" s="149"/>
      <c r="K232" s="149"/>
      <c r="L232" s="149"/>
      <c r="M232" s="586">
        <v>590</v>
      </c>
      <c r="N232" s="587">
        <f>'통장내역(환율표)'!D94</f>
        <v>6.7490999836524441</v>
      </c>
      <c r="O232" s="588">
        <f t="shared" si="13"/>
        <v>87.419063494256719</v>
      </c>
      <c r="P232" s="589">
        <f t="shared" si="11"/>
        <v>-309660.91399999987</v>
      </c>
      <c r="Q232" s="589">
        <f t="shared" si="12"/>
        <v>-46464.936601676607</v>
      </c>
      <c r="R232" s="590"/>
      <c r="S232" s="593"/>
      <c r="T232" s="584"/>
      <c r="U232" s="476"/>
      <c r="V232" s="476"/>
      <c r="W232" s="476"/>
      <c r="X232" s="476"/>
    </row>
    <row r="233" spans="1:24" s="477" customFormat="1" ht="11.25" customHeight="1">
      <c r="A233" s="125"/>
      <c r="B233" s="585" t="s">
        <v>211</v>
      </c>
      <c r="C233" s="585" t="s">
        <v>173</v>
      </c>
      <c r="D233" s="585" t="s">
        <v>474</v>
      </c>
      <c r="E233" s="67" t="s">
        <v>203</v>
      </c>
      <c r="F233" s="146" t="s">
        <v>60</v>
      </c>
      <c r="G233" s="147">
        <v>209</v>
      </c>
      <c r="H233" s="148" t="s">
        <v>25</v>
      </c>
      <c r="I233" s="147" t="s">
        <v>26</v>
      </c>
      <c r="J233" s="149"/>
      <c r="K233" s="149"/>
      <c r="L233" s="149"/>
      <c r="M233" s="586">
        <v>1626.57</v>
      </c>
      <c r="N233" s="587">
        <f>'통장내역(환율표)'!D94</f>
        <v>6.7490999836524441</v>
      </c>
      <c r="O233" s="588">
        <f t="shared" si="13"/>
        <v>241.00546797941212</v>
      </c>
      <c r="P233" s="589">
        <f t="shared" si="11"/>
        <v>-311287.48399999988</v>
      </c>
      <c r="Q233" s="589">
        <f t="shared" si="12"/>
        <v>-46705.942069656019</v>
      </c>
      <c r="R233" s="590"/>
      <c r="S233" s="593"/>
      <c r="T233" s="584"/>
      <c r="U233" s="476"/>
      <c r="V233" s="476"/>
      <c r="W233" s="476"/>
      <c r="X233" s="476"/>
    </row>
    <row r="234" spans="1:24" s="477" customFormat="1" ht="11.25" customHeight="1">
      <c r="A234" s="125"/>
      <c r="B234" s="585" t="s">
        <v>211</v>
      </c>
      <c r="C234" s="585" t="s">
        <v>173</v>
      </c>
      <c r="D234" s="585" t="s">
        <v>475</v>
      </c>
      <c r="E234" s="67" t="s">
        <v>203</v>
      </c>
      <c r="F234" s="146" t="s">
        <v>60</v>
      </c>
      <c r="G234" s="147">
        <v>210</v>
      </c>
      <c r="H234" s="148" t="s">
        <v>25</v>
      </c>
      <c r="I234" s="147" t="s">
        <v>26</v>
      </c>
      <c r="J234" s="149"/>
      <c r="K234" s="149"/>
      <c r="L234" s="149"/>
      <c r="M234" s="586">
        <v>44</v>
      </c>
      <c r="N234" s="587">
        <f>'통장내역(환율표)'!D94</f>
        <v>6.7490999836524441</v>
      </c>
      <c r="O234" s="588">
        <f t="shared" si="13"/>
        <v>6.5193877860123655</v>
      </c>
      <c r="P234" s="589">
        <f t="shared" si="11"/>
        <v>-311331.48399999988</v>
      </c>
      <c r="Q234" s="589">
        <f t="shared" si="12"/>
        <v>-46712.461457442034</v>
      </c>
      <c r="R234" s="590"/>
      <c r="S234" s="593"/>
      <c r="T234" s="584"/>
      <c r="U234" s="476"/>
      <c r="V234" s="476"/>
      <c r="W234" s="476"/>
      <c r="X234" s="476"/>
    </row>
    <row r="235" spans="1:24" s="477" customFormat="1" ht="11.25" customHeight="1">
      <c r="A235" s="125"/>
      <c r="B235" s="585" t="s">
        <v>211</v>
      </c>
      <c r="C235" s="585" t="s">
        <v>173</v>
      </c>
      <c r="D235" s="585" t="s">
        <v>476</v>
      </c>
      <c r="E235" s="67" t="s">
        <v>203</v>
      </c>
      <c r="F235" s="146" t="s">
        <v>60</v>
      </c>
      <c r="G235" s="147">
        <v>211</v>
      </c>
      <c r="H235" s="148" t="s">
        <v>25</v>
      </c>
      <c r="I235" s="147" t="s">
        <v>26</v>
      </c>
      <c r="J235" s="149"/>
      <c r="K235" s="149"/>
      <c r="L235" s="149"/>
      <c r="M235" s="586">
        <v>40</v>
      </c>
      <c r="N235" s="587">
        <f>'통장내역(환율표)'!D94</f>
        <v>6.7490999836524441</v>
      </c>
      <c r="O235" s="588">
        <f t="shared" si="13"/>
        <v>5.9267161691021508</v>
      </c>
      <c r="P235" s="589">
        <f t="shared" si="11"/>
        <v>-311371.48399999988</v>
      </c>
      <c r="Q235" s="589">
        <f t="shared" si="12"/>
        <v>-46718.388173611136</v>
      </c>
      <c r="R235" s="590"/>
      <c r="S235" s="592" t="s">
        <v>289</v>
      </c>
      <c r="T235" s="584"/>
      <c r="U235" s="476"/>
      <c r="V235" s="476"/>
      <c r="W235" s="476"/>
      <c r="X235" s="476"/>
    </row>
    <row r="236" spans="1:24" s="477" customFormat="1" ht="11.25" customHeight="1">
      <c r="A236" s="125"/>
      <c r="B236" s="585" t="s">
        <v>211</v>
      </c>
      <c r="C236" s="585" t="s">
        <v>180</v>
      </c>
      <c r="D236" s="585" t="s">
        <v>477</v>
      </c>
      <c r="E236" s="67" t="s">
        <v>59</v>
      </c>
      <c r="F236" s="146" t="s">
        <v>60</v>
      </c>
      <c r="G236" s="147">
        <v>212</v>
      </c>
      <c r="H236" s="148" t="s">
        <v>25</v>
      </c>
      <c r="I236" s="147" t="s">
        <v>26</v>
      </c>
      <c r="J236" s="149"/>
      <c r="K236" s="149"/>
      <c r="L236" s="149"/>
      <c r="M236" s="586">
        <v>756</v>
      </c>
      <c r="N236" s="587">
        <f>'통장내역(환율표)'!D94</f>
        <v>6.7490999836524441</v>
      </c>
      <c r="O236" s="588">
        <f t="shared" si="13"/>
        <v>112.01493559603064</v>
      </c>
      <c r="P236" s="589">
        <f t="shared" si="11"/>
        <v>-312127.48399999988</v>
      </c>
      <c r="Q236" s="589">
        <f t="shared" si="12"/>
        <v>-46830.403109207167</v>
      </c>
      <c r="R236" s="590"/>
      <c r="S236" s="592" t="s">
        <v>191</v>
      </c>
      <c r="T236" s="584"/>
      <c r="U236" s="476"/>
      <c r="V236" s="476"/>
      <c r="W236" s="476"/>
      <c r="X236" s="476"/>
    </row>
    <row r="237" spans="1:24" s="477" customFormat="1" ht="11.25" customHeight="1">
      <c r="A237" s="125"/>
      <c r="B237" s="585" t="s">
        <v>211</v>
      </c>
      <c r="C237" s="585" t="s">
        <v>180</v>
      </c>
      <c r="D237" s="585" t="s">
        <v>478</v>
      </c>
      <c r="E237" s="67" t="s">
        <v>59</v>
      </c>
      <c r="F237" s="146" t="s">
        <v>60</v>
      </c>
      <c r="G237" s="147">
        <v>213</v>
      </c>
      <c r="H237" s="148" t="s">
        <v>25</v>
      </c>
      <c r="I237" s="147" t="s">
        <v>26</v>
      </c>
      <c r="J237" s="149"/>
      <c r="K237" s="149"/>
      <c r="L237" s="149"/>
      <c r="M237" s="586">
        <v>558</v>
      </c>
      <c r="N237" s="587">
        <f>'통장내역(환율표)'!D94</f>
        <v>6.7490999836524441</v>
      </c>
      <c r="O237" s="588">
        <f t="shared" si="13"/>
        <v>82.677690558975002</v>
      </c>
      <c r="P237" s="589">
        <f t="shared" si="11"/>
        <v>-312685.48399999988</v>
      </c>
      <c r="Q237" s="589">
        <f t="shared" si="12"/>
        <v>-46913.08079976614</v>
      </c>
      <c r="R237" s="590"/>
      <c r="S237" s="593"/>
      <c r="T237" s="584"/>
      <c r="U237" s="476"/>
      <c r="V237" s="476"/>
      <c r="W237" s="476"/>
      <c r="X237" s="476"/>
    </row>
    <row r="238" spans="1:24" s="477" customFormat="1" ht="11.25" customHeight="1">
      <c r="A238" s="125"/>
      <c r="B238" s="585" t="s">
        <v>211</v>
      </c>
      <c r="C238" s="585" t="s">
        <v>180</v>
      </c>
      <c r="D238" s="585" t="s">
        <v>479</v>
      </c>
      <c r="E238" s="67" t="s">
        <v>23</v>
      </c>
      <c r="F238" s="146" t="s">
        <v>60</v>
      </c>
      <c r="G238" s="147">
        <v>214</v>
      </c>
      <c r="H238" s="148" t="s">
        <v>25</v>
      </c>
      <c r="I238" s="147" t="s">
        <v>26</v>
      </c>
      <c r="J238" s="149"/>
      <c r="K238" s="149"/>
      <c r="L238" s="149"/>
      <c r="M238" s="586">
        <v>627.5</v>
      </c>
      <c r="N238" s="587">
        <f>'통장내역(환율표)'!D94</f>
        <v>6.7490999836524441</v>
      </c>
      <c r="O238" s="588">
        <f t="shared" si="13"/>
        <v>92.97535990278999</v>
      </c>
      <c r="P238" s="589">
        <f t="shared" si="11"/>
        <v>-313312.98399999988</v>
      </c>
      <c r="Q238" s="589">
        <f t="shared" si="12"/>
        <v>-47006.056159668929</v>
      </c>
      <c r="R238" s="590"/>
      <c r="S238" s="593"/>
      <c r="T238" s="584"/>
      <c r="U238" s="476"/>
      <c r="V238" s="476"/>
      <c r="W238" s="476"/>
      <c r="X238" s="476"/>
    </row>
    <row r="239" spans="1:24" s="477" customFormat="1" ht="11.25" customHeight="1">
      <c r="A239" s="125"/>
      <c r="B239" s="585" t="s">
        <v>211</v>
      </c>
      <c r="C239" s="585" t="s">
        <v>180</v>
      </c>
      <c r="D239" s="585" t="s">
        <v>480</v>
      </c>
      <c r="E239" s="67" t="s">
        <v>203</v>
      </c>
      <c r="F239" s="146" t="s">
        <v>60</v>
      </c>
      <c r="G239" s="147">
        <v>215</v>
      </c>
      <c r="H239" s="148" t="s">
        <v>25</v>
      </c>
      <c r="I239" s="147" t="s">
        <v>26</v>
      </c>
      <c r="J239" s="149"/>
      <c r="K239" s="149"/>
      <c r="L239" s="149"/>
      <c r="M239" s="586">
        <v>926</v>
      </c>
      <c r="N239" s="587">
        <f>'통장내역(환율표)'!D94</f>
        <v>6.7490999836524441</v>
      </c>
      <c r="O239" s="588">
        <f t="shared" si="13"/>
        <v>137.20347931471477</v>
      </c>
      <c r="P239" s="589">
        <f t="shared" si="11"/>
        <v>-314238.98399999988</v>
      </c>
      <c r="Q239" s="589">
        <f t="shared" si="12"/>
        <v>-47143.259638983647</v>
      </c>
      <c r="R239" s="590"/>
      <c r="S239" s="593"/>
      <c r="T239" s="584"/>
      <c r="U239" s="476"/>
      <c r="V239" s="476"/>
      <c r="W239" s="476"/>
      <c r="X239" s="476"/>
    </row>
    <row r="240" spans="1:24" s="477" customFormat="1" ht="11.25" customHeight="1">
      <c r="A240" s="125"/>
      <c r="B240" s="585" t="s">
        <v>211</v>
      </c>
      <c r="C240" s="585" t="s">
        <v>180</v>
      </c>
      <c r="D240" s="585" t="s">
        <v>481</v>
      </c>
      <c r="E240" s="67" t="s">
        <v>64</v>
      </c>
      <c r="F240" s="146" t="s">
        <v>60</v>
      </c>
      <c r="G240" s="147">
        <v>216</v>
      </c>
      <c r="H240" s="148" t="s">
        <v>25</v>
      </c>
      <c r="I240" s="147" t="s">
        <v>26</v>
      </c>
      <c r="J240" s="149"/>
      <c r="K240" s="149"/>
      <c r="L240" s="149"/>
      <c r="M240" s="586">
        <v>42</v>
      </c>
      <c r="N240" s="587">
        <f>'통장내역(환율표)'!D94</f>
        <v>6.7490999836524441</v>
      </c>
      <c r="O240" s="588">
        <f t="shared" si="13"/>
        <v>6.2230519775572581</v>
      </c>
      <c r="P240" s="589">
        <f t="shared" si="11"/>
        <v>-314280.98399999988</v>
      </c>
      <c r="Q240" s="589">
        <f t="shared" si="12"/>
        <v>-47149.482690961202</v>
      </c>
      <c r="R240" s="590"/>
      <c r="S240" s="593"/>
      <c r="T240" s="584"/>
      <c r="U240" s="476"/>
      <c r="V240" s="476"/>
      <c r="W240" s="476"/>
      <c r="X240" s="476"/>
    </row>
    <row r="241" spans="1:24" s="477" customFormat="1" ht="11.25" customHeight="1">
      <c r="A241" s="125"/>
      <c r="B241" s="585" t="s">
        <v>211</v>
      </c>
      <c r="C241" s="585"/>
      <c r="D241" s="585" t="s">
        <v>482</v>
      </c>
      <c r="E241" s="67" t="s">
        <v>203</v>
      </c>
      <c r="F241" s="146" t="s">
        <v>60</v>
      </c>
      <c r="G241" s="147">
        <v>217</v>
      </c>
      <c r="H241" s="148" t="s">
        <v>25</v>
      </c>
      <c r="I241" s="147" t="s">
        <v>26</v>
      </c>
      <c r="J241" s="149"/>
      <c r="K241" s="149"/>
      <c r="L241" s="149"/>
      <c r="M241" s="586">
        <v>40</v>
      </c>
      <c r="N241" s="587">
        <f>'통장내역(환율표)'!D94</f>
        <v>6.7490999836524441</v>
      </c>
      <c r="O241" s="588">
        <f t="shared" si="13"/>
        <v>5.9267161691021508</v>
      </c>
      <c r="P241" s="589">
        <f t="shared" si="11"/>
        <v>-314320.98399999988</v>
      </c>
      <c r="Q241" s="589">
        <f t="shared" si="12"/>
        <v>-47155.409407130304</v>
      </c>
      <c r="R241" s="590"/>
      <c r="S241" s="592" t="s">
        <v>191</v>
      </c>
      <c r="T241" s="584"/>
      <c r="U241" s="476"/>
      <c r="V241" s="476"/>
      <c r="W241" s="476"/>
      <c r="X241" s="476"/>
    </row>
    <row r="242" spans="1:24" s="576" customFormat="1" ht="12" customHeight="1">
      <c r="A242" s="125"/>
      <c r="B242" s="585" t="s">
        <v>211</v>
      </c>
      <c r="C242" s="585" t="s">
        <v>483</v>
      </c>
      <c r="D242" s="585"/>
      <c r="E242" s="67" t="s">
        <v>244</v>
      </c>
      <c r="F242" s="146" t="s">
        <v>60</v>
      </c>
      <c r="G242" s="147">
        <v>218</v>
      </c>
      <c r="H242" s="148" t="s">
        <v>25</v>
      </c>
      <c r="I242" s="147" t="s">
        <v>26</v>
      </c>
      <c r="J242" s="149"/>
      <c r="K242" s="149"/>
      <c r="L242" s="149"/>
      <c r="M242" s="586">
        <v>843</v>
      </c>
      <c r="N242" s="587">
        <f>'통장내역(환율표)'!D94</f>
        <v>6.7490999836524441</v>
      </c>
      <c r="O242" s="588">
        <f t="shared" si="13"/>
        <v>124.90554326382782</v>
      </c>
      <c r="P242" s="589">
        <f t="shared" si="11"/>
        <v>-315163.98399999988</v>
      </c>
      <c r="Q242" s="589">
        <f t="shared" si="12"/>
        <v>-47280.314950394131</v>
      </c>
      <c r="R242" s="590"/>
      <c r="S242" s="593"/>
      <c r="T242" s="584"/>
      <c r="U242" s="476"/>
      <c r="V242" s="476"/>
      <c r="W242" s="476"/>
      <c r="X242" s="476"/>
    </row>
    <row r="243" spans="1:24" s="576" customFormat="1" ht="12" customHeight="1">
      <c r="A243" s="125"/>
      <c r="B243" s="585" t="s">
        <v>211</v>
      </c>
      <c r="C243" s="585" t="s">
        <v>211</v>
      </c>
      <c r="D243" s="585"/>
      <c r="E243" s="67" t="s">
        <v>49</v>
      </c>
      <c r="F243" s="146" t="s">
        <v>60</v>
      </c>
      <c r="G243" s="147">
        <v>219</v>
      </c>
      <c r="H243" s="148" t="s">
        <v>32</v>
      </c>
      <c r="I243" s="147"/>
      <c r="J243" s="149"/>
      <c r="K243" s="149"/>
      <c r="L243" s="149"/>
      <c r="M243" s="586">
        <v>3.6</v>
      </c>
      <c r="N243" s="587">
        <f>'통장내역(환율표)'!D94</f>
        <v>6.7490999836524441</v>
      </c>
      <c r="O243" s="588">
        <f t="shared" si="13"/>
        <v>0.53340445521919355</v>
      </c>
      <c r="P243" s="589">
        <f t="shared" si="11"/>
        <v>-315167.58399999986</v>
      </c>
      <c r="Q243" s="589">
        <f t="shared" si="12"/>
        <v>-47280.848354849353</v>
      </c>
      <c r="R243" s="590"/>
      <c r="S243" s="592" t="s">
        <v>401</v>
      </c>
      <c r="T243" s="584"/>
      <c r="U243" s="476"/>
      <c r="V243" s="476"/>
      <c r="W243" s="476"/>
      <c r="X243" s="476"/>
    </row>
    <row r="244" spans="1:24" s="477" customFormat="1" ht="11.25" customHeight="1">
      <c r="A244" s="125"/>
      <c r="B244" s="585"/>
      <c r="C244" s="585"/>
      <c r="D244" s="585"/>
      <c r="E244" s="67"/>
      <c r="F244" s="146"/>
      <c r="G244" s="147"/>
      <c r="H244" s="148"/>
      <c r="I244" s="147"/>
      <c r="J244" s="149"/>
      <c r="K244" s="149"/>
      <c r="L244" s="149"/>
      <c r="M244" s="586"/>
      <c r="N244" s="587"/>
      <c r="O244" s="588"/>
      <c r="P244" s="589"/>
      <c r="Q244" s="589"/>
      <c r="R244" s="590"/>
      <c r="S244" s="593"/>
      <c r="T244" s="584"/>
      <c r="U244" s="476"/>
      <c r="V244" s="476"/>
      <c r="W244" s="476"/>
      <c r="X244" s="476"/>
    </row>
    <row r="245" spans="1:24" s="477" customFormat="1" ht="11.25" customHeight="1">
      <c r="A245" s="125"/>
      <c r="B245" s="585"/>
      <c r="C245" s="585"/>
      <c r="D245" s="585"/>
      <c r="E245" s="67"/>
      <c r="F245" s="146"/>
      <c r="G245" s="147"/>
      <c r="H245" s="148"/>
      <c r="I245" s="147"/>
      <c r="J245" s="149"/>
      <c r="K245" s="149"/>
      <c r="L245" s="149"/>
      <c r="M245" s="586"/>
      <c r="N245" s="587"/>
      <c r="O245" s="588"/>
      <c r="P245" s="589"/>
      <c r="Q245" s="589"/>
      <c r="R245" s="590"/>
      <c r="S245" s="593"/>
      <c r="T245" s="584"/>
      <c r="U245" s="476"/>
      <c r="V245" s="476"/>
      <c r="W245" s="476"/>
      <c r="X245" s="476"/>
    </row>
    <row r="246" spans="1:24" s="477" customFormat="1" ht="11.25" customHeight="1">
      <c r="A246" s="125"/>
      <c r="B246" s="585"/>
      <c r="C246" s="585"/>
      <c r="D246" s="585"/>
      <c r="E246" s="67"/>
      <c r="F246" s="146"/>
      <c r="G246" s="147"/>
      <c r="H246" s="148"/>
      <c r="I246" s="147"/>
      <c r="J246" s="149"/>
      <c r="K246" s="149"/>
      <c r="L246" s="149"/>
      <c r="M246" s="586"/>
      <c r="N246" s="587"/>
      <c r="O246" s="588"/>
      <c r="P246" s="589"/>
      <c r="Q246" s="589"/>
      <c r="R246" s="590"/>
      <c r="S246" s="593"/>
      <c r="T246" s="584"/>
      <c r="U246" s="476"/>
      <c r="V246" s="476"/>
      <c r="W246" s="476"/>
      <c r="X246" s="476"/>
    </row>
    <row r="247" spans="1:24" s="477" customFormat="1" ht="11.25" customHeight="1">
      <c r="A247" s="125"/>
      <c r="B247" s="585"/>
      <c r="C247" s="585"/>
      <c r="D247" s="585"/>
      <c r="E247" s="67"/>
      <c r="F247" s="146"/>
      <c r="G247" s="147"/>
      <c r="H247" s="148"/>
      <c r="I247" s="147"/>
      <c r="J247" s="149"/>
      <c r="K247" s="149"/>
      <c r="L247" s="149"/>
      <c r="M247" s="586"/>
      <c r="N247" s="587"/>
      <c r="O247" s="588"/>
      <c r="P247" s="589"/>
      <c r="Q247" s="589"/>
      <c r="R247" s="590"/>
      <c r="S247" s="593"/>
      <c r="T247" s="584"/>
      <c r="U247" s="476"/>
      <c r="V247" s="476"/>
      <c r="W247" s="476"/>
      <c r="X247" s="476"/>
    </row>
    <row r="248" spans="1:24" s="477" customFormat="1" ht="11.25" customHeight="1">
      <c r="A248" s="125"/>
      <c r="B248" s="585"/>
      <c r="C248" s="585"/>
      <c r="D248" s="585"/>
      <c r="E248" s="67"/>
      <c r="F248" s="146"/>
      <c r="G248" s="147"/>
      <c r="H248" s="148"/>
      <c r="I248" s="147"/>
      <c r="J248" s="149"/>
      <c r="K248" s="149"/>
      <c r="L248" s="149"/>
      <c r="M248" s="586"/>
      <c r="N248" s="587"/>
      <c r="O248" s="588"/>
      <c r="P248" s="589"/>
      <c r="Q248" s="589"/>
      <c r="R248" s="590"/>
      <c r="S248" s="593"/>
      <c r="T248" s="584"/>
      <c r="U248" s="476"/>
      <c r="V248" s="476"/>
      <c r="W248" s="476"/>
      <c r="X248" s="476"/>
    </row>
    <row r="249" spans="1:24" s="477" customFormat="1" ht="11.25" customHeight="1">
      <c r="A249" s="125"/>
      <c r="B249" s="585"/>
      <c r="C249" s="585"/>
      <c r="D249" s="585"/>
      <c r="E249" s="67"/>
      <c r="F249" s="146"/>
      <c r="G249" s="147"/>
      <c r="H249" s="148"/>
      <c r="I249" s="147"/>
      <c r="J249" s="149"/>
      <c r="K249" s="149"/>
      <c r="L249" s="149"/>
      <c r="M249" s="586"/>
      <c r="N249" s="587"/>
      <c r="O249" s="588"/>
      <c r="P249" s="589"/>
      <c r="Q249" s="589"/>
      <c r="R249" s="590"/>
      <c r="S249" s="593"/>
      <c r="T249" s="584"/>
      <c r="U249" s="476"/>
      <c r="V249" s="476"/>
      <c r="W249" s="476"/>
      <c r="X249" s="476"/>
    </row>
    <row r="250" spans="1:24" s="576" customFormat="1" ht="12" customHeight="1">
      <c r="A250" s="125"/>
      <c r="B250" s="585"/>
      <c r="C250" s="585"/>
      <c r="D250" s="585"/>
      <c r="E250" s="67"/>
      <c r="F250" s="146"/>
      <c r="G250" s="147"/>
      <c r="H250" s="148"/>
      <c r="I250" s="147"/>
      <c r="J250" s="149"/>
      <c r="K250" s="149"/>
      <c r="L250" s="149"/>
      <c r="M250" s="586"/>
      <c r="N250" s="587"/>
      <c r="O250" s="588"/>
      <c r="P250" s="589"/>
      <c r="Q250" s="589"/>
      <c r="R250" s="590"/>
      <c r="S250" s="593"/>
      <c r="T250" s="584"/>
      <c r="U250" s="476"/>
      <c r="V250" s="476"/>
      <c r="W250" s="476"/>
      <c r="X250" s="476"/>
    </row>
    <row r="251" spans="1:24" s="576" customFormat="1" ht="12" customHeight="1">
      <c r="A251" s="125"/>
      <c r="B251" s="585"/>
      <c r="C251" s="585"/>
      <c r="D251" s="585"/>
      <c r="E251" s="67"/>
      <c r="F251" s="146"/>
      <c r="G251" s="147"/>
      <c r="H251" s="148"/>
      <c r="I251" s="147"/>
      <c r="J251" s="149"/>
      <c r="K251" s="149"/>
      <c r="L251" s="149"/>
      <c r="M251" s="586"/>
      <c r="N251" s="587"/>
      <c r="O251" s="588"/>
      <c r="P251" s="589"/>
      <c r="Q251" s="589"/>
      <c r="R251" s="590"/>
      <c r="S251" s="593"/>
      <c r="T251" s="584"/>
      <c r="U251" s="476"/>
      <c r="V251" s="476"/>
      <c r="W251" s="476"/>
      <c r="X251" s="476"/>
    </row>
    <row r="252" spans="1:24" s="477" customFormat="1" ht="11.25" customHeight="1">
      <c r="A252" s="125"/>
      <c r="B252" s="585"/>
      <c r="C252" s="585"/>
      <c r="D252" s="585"/>
      <c r="E252" s="67"/>
      <c r="F252" s="146"/>
      <c r="G252" s="147"/>
      <c r="H252" s="148"/>
      <c r="I252" s="147"/>
      <c r="J252" s="149"/>
      <c r="K252" s="149"/>
      <c r="L252" s="149"/>
      <c r="M252" s="586"/>
      <c r="N252" s="587"/>
      <c r="O252" s="588"/>
      <c r="P252" s="589"/>
      <c r="Q252" s="589"/>
      <c r="R252" s="590"/>
      <c r="S252" s="593"/>
      <c r="T252" s="584"/>
      <c r="U252" s="476"/>
      <c r="V252" s="476"/>
      <c r="W252" s="476"/>
      <c r="X252" s="476"/>
    </row>
    <row r="253" spans="1:24" s="477" customFormat="1" ht="11.25" customHeight="1">
      <c r="A253" s="125"/>
      <c r="B253" s="585"/>
      <c r="C253" s="585"/>
      <c r="D253" s="585"/>
      <c r="E253" s="67"/>
      <c r="F253" s="146"/>
      <c r="G253" s="147"/>
      <c r="H253" s="148"/>
      <c r="I253" s="147"/>
      <c r="J253" s="149"/>
      <c r="K253" s="149"/>
      <c r="L253" s="149"/>
      <c r="M253" s="586"/>
      <c r="N253" s="587"/>
      <c r="O253" s="588"/>
      <c r="P253" s="589"/>
      <c r="Q253" s="589"/>
      <c r="R253" s="590"/>
      <c r="S253" s="593"/>
      <c r="T253" s="584"/>
      <c r="U253" s="476"/>
      <c r="V253" s="476"/>
      <c r="W253" s="476"/>
      <c r="X253" s="476"/>
    </row>
    <row r="254" spans="1:24" s="477" customFormat="1" ht="11.25" customHeight="1">
      <c r="A254" s="125"/>
      <c r="B254" s="585"/>
      <c r="C254" s="585"/>
      <c r="D254" s="585"/>
      <c r="E254" s="67"/>
      <c r="F254" s="146"/>
      <c r="G254" s="147"/>
      <c r="H254" s="148"/>
      <c r="I254" s="147"/>
      <c r="J254" s="149"/>
      <c r="K254" s="149"/>
      <c r="L254" s="149"/>
      <c r="M254" s="586"/>
      <c r="N254" s="587"/>
      <c r="O254" s="588"/>
      <c r="P254" s="589"/>
      <c r="Q254" s="589"/>
      <c r="R254" s="590"/>
      <c r="S254" s="593"/>
      <c r="T254" s="584"/>
      <c r="U254" s="476"/>
      <c r="V254" s="476"/>
      <c r="W254" s="476"/>
      <c r="X254" s="476"/>
    </row>
    <row r="255" spans="1:24" s="477" customFormat="1" ht="11.25" customHeight="1">
      <c r="A255" s="125"/>
      <c r="B255" s="585"/>
      <c r="C255" s="585"/>
      <c r="D255" s="585"/>
      <c r="E255" s="67"/>
      <c r="F255" s="146"/>
      <c r="G255" s="147"/>
      <c r="H255" s="148"/>
      <c r="I255" s="147"/>
      <c r="J255" s="149"/>
      <c r="K255" s="149"/>
      <c r="L255" s="149"/>
      <c r="M255" s="586"/>
      <c r="N255" s="587"/>
      <c r="O255" s="588"/>
      <c r="P255" s="589"/>
      <c r="Q255" s="589"/>
      <c r="R255" s="590"/>
      <c r="S255" s="593"/>
      <c r="T255" s="584"/>
      <c r="U255" s="476"/>
      <c r="V255" s="476"/>
      <c r="W255" s="476"/>
      <c r="X255" s="476"/>
    </row>
    <row r="256" spans="1:24" s="477" customFormat="1" ht="11.25" customHeight="1">
      <c r="A256" s="125"/>
      <c r="B256" s="585"/>
      <c r="C256" s="585"/>
      <c r="D256" s="585"/>
      <c r="E256" s="67"/>
      <c r="F256" s="146"/>
      <c r="G256" s="147"/>
      <c r="H256" s="148"/>
      <c r="I256" s="147"/>
      <c r="J256" s="149"/>
      <c r="K256" s="149"/>
      <c r="L256" s="149"/>
      <c r="M256" s="586"/>
      <c r="N256" s="587"/>
      <c r="O256" s="588"/>
      <c r="P256" s="589"/>
      <c r="Q256" s="589"/>
      <c r="R256" s="590"/>
      <c r="S256" s="593"/>
      <c r="T256" s="584"/>
      <c r="U256" s="476"/>
      <c r="V256" s="476"/>
      <c r="W256" s="476"/>
      <c r="X256" s="476"/>
    </row>
    <row r="257" spans="1:24" s="477" customFormat="1" ht="11.25" customHeight="1">
      <c r="A257" s="125"/>
      <c r="B257" s="585"/>
      <c r="C257" s="585"/>
      <c r="D257" s="585"/>
      <c r="E257" s="67"/>
      <c r="F257" s="146"/>
      <c r="G257" s="147"/>
      <c r="H257" s="148"/>
      <c r="I257" s="147"/>
      <c r="J257" s="149"/>
      <c r="K257" s="149"/>
      <c r="L257" s="149"/>
      <c r="M257" s="586"/>
      <c r="N257" s="587"/>
      <c r="O257" s="588"/>
      <c r="P257" s="589"/>
      <c r="Q257" s="589"/>
      <c r="R257" s="590"/>
      <c r="S257" s="593"/>
      <c r="T257" s="584"/>
      <c r="U257" s="476"/>
      <c r="V257" s="476"/>
      <c r="W257" s="476"/>
      <c r="X257" s="476"/>
    </row>
    <row r="258" spans="1:24" s="576" customFormat="1" ht="12" customHeight="1">
      <c r="A258" s="125"/>
      <c r="B258" s="585"/>
      <c r="C258" s="585"/>
      <c r="D258" s="585"/>
      <c r="E258" s="67"/>
      <c r="F258" s="146"/>
      <c r="G258" s="147"/>
      <c r="H258" s="148"/>
      <c r="I258" s="147"/>
      <c r="J258" s="149"/>
      <c r="K258" s="149"/>
      <c r="L258" s="149"/>
      <c r="M258" s="586"/>
      <c r="N258" s="587"/>
      <c r="O258" s="588"/>
      <c r="P258" s="589"/>
      <c r="Q258" s="589"/>
      <c r="R258" s="590"/>
      <c r="S258" s="593"/>
      <c r="T258" s="584"/>
      <c r="U258" s="476"/>
      <c r="V258" s="476"/>
      <c r="W258" s="476"/>
      <c r="X258" s="476"/>
    </row>
    <row r="259" spans="1:24" s="576" customFormat="1" ht="12" customHeight="1">
      <c r="A259" s="125"/>
      <c r="B259" s="585"/>
      <c r="C259" s="585"/>
      <c r="D259" s="585"/>
      <c r="E259" s="67"/>
      <c r="F259" s="146"/>
      <c r="G259" s="147"/>
      <c r="H259" s="148"/>
      <c r="I259" s="147"/>
      <c r="J259" s="149"/>
      <c r="K259" s="149"/>
      <c r="L259" s="149"/>
      <c r="M259" s="586"/>
      <c r="N259" s="587"/>
      <c r="O259" s="588"/>
      <c r="P259" s="589"/>
      <c r="Q259" s="589"/>
      <c r="R259" s="590"/>
      <c r="S259" s="593"/>
      <c r="T259" s="584"/>
      <c r="U259" s="476"/>
      <c r="V259" s="476"/>
      <c r="W259" s="476"/>
      <c r="X259" s="476"/>
    </row>
    <row r="260" spans="1:24" ht="12"/>
    <row r="261" spans="1:24" ht="12"/>
    <row r="262" spans="1:24" ht="12"/>
    <row r="263" spans="1:24" ht="12"/>
    <row r="264" spans="1:24" ht="12"/>
    <row r="265" spans="1:24" ht="12"/>
    <row r="266" spans="1:24" ht="12"/>
    <row r="267" spans="1:24" ht="12"/>
    <row r="268" spans="1:24" ht="12"/>
    <row r="269" spans="1:24" ht="12"/>
    <row r="270" spans="1:24" ht="12"/>
    <row r="271" spans="1:24" ht="12"/>
    <row r="272" spans="1:24" ht="12"/>
    <row r="273" ht="12"/>
    <row r="274" ht="12"/>
    <row r="275" ht="12"/>
    <row r="276" ht="12"/>
    <row r="277" ht="12"/>
    <row r="278" ht="12"/>
    <row r="279" ht="12"/>
    <row r="280" ht="12"/>
    <row r="281" ht="12"/>
    <row r="282" ht="12"/>
    <row r="283" ht="12"/>
    <row r="284" ht="12"/>
    <row r="285" ht="12"/>
    <row r="286" ht="12"/>
    <row r="287" ht="12"/>
    <row r="288" ht="12"/>
    <row r="289" ht="12"/>
    <row r="290" ht="12"/>
    <row r="291" ht="12"/>
    <row r="292" ht="12"/>
    <row r="293" ht="12"/>
    <row r="294" ht="12"/>
    <row r="295" ht="12"/>
    <row r="296" ht="12"/>
    <row r="297" ht="12"/>
    <row r="298" ht="12"/>
    <row r="299" ht="12"/>
    <row r="300" ht="12"/>
    <row r="301" ht="12"/>
    <row r="302" ht="12"/>
    <row r="303" ht="12"/>
    <row r="304" ht="12"/>
    <row r="305" ht="12"/>
    <row r="306" ht="12"/>
    <row r="307" ht="12"/>
    <row r="308" ht="12"/>
    <row r="309" ht="12"/>
    <row r="310" ht="12"/>
    <row r="311" ht="12"/>
    <row r="312" ht="12"/>
    <row r="313" ht="12"/>
    <row r="314" ht="12"/>
    <row r="315" ht="12"/>
    <row r="316" ht="12"/>
    <row r="317" ht="12"/>
    <row r="318" ht="12"/>
    <row r="319" ht="12"/>
    <row r="320" ht="12"/>
    <row r="321" ht="12"/>
    <row r="322" ht="12"/>
    <row r="323" ht="12"/>
    <row r="324" ht="12"/>
    <row r="325" ht="12"/>
    <row r="326" ht="12"/>
    <row r="327" ht="12"/>
    <row r="328" ht="12"/>
    <row r="329" ht="12"/>
    <row r="330" ht="12"/>
    <row r="331" ht="12"/>
    <row r="332" ht="12"/>
    <row r="333" ht="12"/>
    <row r="334" ht="12"/>
    <row r="335" ht="12"/>
    <row r="336" ht="12"/>
    <row r="337" ht="12"/>
    <row r="338" ht="12"/>
    <row r="339" ht="12"/>
    <row r="340" ht="12"/>
    <row r="341" ht="12"/>
    <row r="342" ht="12"/>
    <row r="343" ht="12"/>
    <row r="344" ht="12"/>
    <row r="345" ht="12"/>
    <row r="346" ht="12"/>
    <row r="347" ht="12"/>
    <row r="348" ht="12"/>
    <row r="349" ht="12"/>
    <row r="350" ht="12"/>
    <row r="351" ht="12"/>
    <row r="352" ht="12"/>
    <row r="353" ht="12"/>
    <row r="354" ht="12"/>
    <row r="355" ht="12"/>
    <row r="356" ht="12"/>
    <row r="357" ht="12"/>
    <row r="358" ht="12"/>
    <row r="359" ht="12"/>
    <row r="360" ht="12"/>
    <row r="361" ht="12"/>
    <row r="362" ht="12"/>
    <row r="363" ht="12"/>
    <row r="364" ht="12"/>
    <row r="365" ht="12"/>
    <row r="366" ht="12"/>
    <row r="367" ht="12"/>
    <row r="368" ht="12"/>
    <row r="369" ht="12"/>
    <row r="370" ht="12"/>
    <row r="371" ht="12"/>
    <row r="372" ht="12"/>
    <row r="373" ht="12"/>
    <row r="374" ht="12"/>
    <row r="375" ht="12"/>
    <row r="376" ht="12"/>
    <row r="377" ht="12"/>
    <row r="378" ht="12"/>
    <row r="379" ht="12"/>
    <row r="380" ht="12"/>
    <row r="381" ht="12"/>
    <row r="382" ht="12"/>
    <row r="383" ht="12"/>
    <row r="384" ht="12"/>
    <row r="385" ht="12"/>
    <row r="386" ht="12"/>
    <row r="387" ht="12"/>
    <row r="388" ht="12"/>
    <row r="389" ht="12"/>
    <row r="390" ht="12"/>
    <row r="391" ht="12"/>
    <row r="392" ht="12"/>
    <row r="393" ht="12"/>
    <row r="394" ht="12"/>
    <row r="395" ht="12"/>
    <row r="396" ht="12"/>
    <row r="397" ht="12"/>
    <row r="398" ht="12"/>
    <row r="399" ht="12"/>
    <row r="400" ht="12"/>
    <row r="401" ht="12"/>
    <row r="402" ht="12"/>
    <row r="403" ht="12"/>
    <row r="404" ht="12"/>
    <row r="405" ht="12"/>
    <row r="406" ht="12"/>
    <row r="407" ht="12"/>
    <row r="408" ht="12"/>
    <row r="409" ht="12"/>
    <row r="410" ht="12"/>
    <row r="411" ht="12"/>
    <row r="412" ht="12"/>
    <row r="413" ht="12"/>
    <row r="414" ht="12"/>
    <row r="415" ht="12"/>
    <row r="416" ht="12"/>
    <row r="417" ht="12"/>
    <row r="418" ht="12"/>
    <row r="419" ht="12"/>
    <row r="420" ht="12"/>
    <row r="421" ht="12"/>
    <row r="422" ht="12"/>
    <row r="423" ht="12"/>
    <row r="424" ht="12"/>
    <row r="425" ht="12"/>
    <row r="426" ht="12"/>
    <row r="427" ht="12"/>
    <row r="428" ht="12"/>
    <row r="429" ht="12"/>
    <row r="430" ht="12"/>
    <row r="431" ht="12"/>
    <row r="432" ht="12"/>
    <row r="433" ht="12"/>
    <row r="434" ht="12"/>
    <row r="435" ht="12"/>
    <row r="436" ht="12"/>
    <row r="437" ht="12"/>
    <row r="438" ht="12"/>
    <row r="439" ht="12"/>
    <row r="440" ht="12"/>
    <row r="441" ht="12"/>
    <row r="442" ht="12"/>
    <row r="443" ht="12"/>
    <row r="444" ht="12"/>
    <row r="445" ht="12"/>
    <row r="446" ht="12"/>
    <row r="447" ht="12"/>
    <row r="448" ht="12"/>
    <row r="449" ht="12"/>
    <row r="450" ht="12"/>
    <row r="451" ht="12"/>
    <row r="452" ht="12"/>
    <row r="453" ht="12"/>
    <row r="454" ht="12"/>
    <row r="455" ht="12"/>
    <row r="456" ht="12"/>
    <row r="457" ht="12"/>
    <row r="458" ht="12"/>
    <row r="459" ht="12"/>
    <row r="460" ht="12"/>
    <row r="461" ht="12"/>
    <row r="462" ht="12"/>
    <row r="463" ht="12"/>
    <row r="464" ht="12"/>
    <row r="465" ht="12"/>
    <row r="466" ht="12"/>
    <row r="467" ht="12"/>
    <row r="468" ht="12"/>
    <row r="469" ht="12"/>
    <row r="470" ht="12"/>
    <row r="471" ht="12"/>
    <row r="472" ht="12"/>
    <row r="473" ht="12"/>
    <row r="474" ht="12"/>
    <row r="475" ht="12"/>
    <row r="476" ht="12"/>
    <row r="477" ht="12"/>
    <row r="478" ht="12"/>
    <row r="479" ht="12"/>
    <row r="480" ht="12"/>
    <row r="481" ht="12"/>
    <row r="482" ht="12"/>
    <row r="483" ht="12"/>
    <row r="484" ht="12"/>
    <row r="485" ht="12"/>
    <row r="486" ht="12"/>
    <row r="487" ht="12"/>
    <row r="488" ht="12"/>
    <row r="489" ht="12"/>
    <row r="490" ht="12"/>
    <row r="491" ht="12"/>
    <row r="492" ht="12"/>
    <row r="493" ht="12"/>
    <row r="494" ht="12"/>
    <row r="495" ht="12"/>
    <row r="496" ht="12"/>
    <row r="497" ht="12"/>
    <row r="498" ht="12"/>
    <row r="499" ht="12"/>
  </sheetData>
  <mergeCells count="3">
    <mergeCell ref="J19:L19"/>
    <mergeCell ref="M19:O19"/>
    <mergeCell ref="P19:Q19"/>
  </mergeCells>
  <phoneticPr fontId="3" type="noConversion"/>
  <pageMargins left="0.7" right="0.7" top="0.75" bottom="0.75" header="0.3" footer="0.3"/>
  <pageSetup paperSize="256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B115"/>
  <sheetViews>
    <sheetView showGridLines="0" zoomScale="80" zoomScaleNormal="80" zoomScaleSheetLayoutView="70" workbookViewId="0">
      <selection activeCell="H45" sqref="H45"/>
    </sheetView>
  </sheetViews>
  <sheetFormatPr defaultColWidth="9" defaultRowHeight="16.5"/>
  <cols>
    <col min="1" max="1" width="12.75" style="6" customWidth="1"/>
    <col min="2" max="6" width="9" style="6" customWidth="1"/>
    <col min="7" max="7" width="41.5" style="6" bestFit="1" customWidth="1"/>
    <col min="8" max="11" width="9" style="6" customWidth="1"/>
    <col min="12" max="12" width="9.25" style="6" customWidth="1"/>
    <col min="13" max="256" width="9" style="6" customWidth="1"/>
    <col min="257" max="257" width="2.125" style="6" customWidth="1"/>
    <col min="258" max="512" width="9" style="6" customWidth="1"/>
    <col min="513" max="513" width="2.125" style="6" customWidth="1"/>
    <col min="514" max="768" width="9" style="6" customWidth="1"/>
    <col min="769" max="769" width="2.125" style="6" customWidth="1"/>
    <col min="770" max="1024" width="9" style="6" customWidth="1"/>
    <col min="1025" max="1025" width="2.125" style="6" customWidth="1"/>
    <col min="1026" max="1280" width="9" style="6" customWidth="1"/>
    <col min="1281" max="1281" width="2.125" style="6" customWidth="1"/>
    <col min="1282" max="1536" width="9" style="6" customWidth="1"/>
    <col min="1537" max="1537" width="2.125" style="6" customWidth="1"/>
    <col min="1538" max="1792" width="9" style="6" customWidth="1"/>
    <col min="1793" max="1793" width="2.125" style="6" customWidth="1"/>
    <col min="1794" max="2048" width="9" style="6" customWidth="1"/>
    <col min="2049" max="2049" width="2.125" style="6" customWidth="1"/>
    <col min="2050" max="2304" width="9" style="6" customWidth="1"/>
    <col min="2305" max="2305" width="2.125" style="6" customWidth="1"/>
    <col min="2306" max="2560" width="9" style="6" customWidth="1"/>
    <col min="2561" max="2561" width="2.125" style="6" customWidth="1"/>
    <col min="2562" max="2816" width="9" style="6" customWidth="1"/>
    <col min="2817" max="2817" width="2.125" style="6" customWidth="1"/>
    <col min="2818" max="3072" width="9" style="6" customWidth="1"/>
    <col min="3073" max="3073" width="2.125" style="6" customWidth="1"/>
    <col min="3074" max="3328" width="9" style="6" customWidth="1"/>
    <col min="3329" max="3329" width="2.125" style="6" customWidth="1"/>
    <col min="3330" max="3584" width="9" style="6" customWidth="1"/>
    <col min="3585" max="3585" width="2.125" style="6" customWidth="1"/>
    <col min="3586" max="3840" width="9" style="6" customWidth="1"/>
    <col min="3841" max="3841" width="2.125" style="6" customWidth="1"/>
    <col min="3842" max="4096" width="9" style="6" customWidth="1"/>
    <col min="4097" max="4097" width="2.125" style="6" customWidth="1"/>
    <col min="4098" max="4352" width="9" style="6" customWidth="1"/>
    <col min="4353" max="4353" width="2.125" style="6" customWidth="1"/>
    <col min="4354" max="4608" width="9" style="6" customWidth="1"/>
    <col min="4609" max="4609" width="2.125" style="6" customWidth="1"/>
    <col min="4610" max="4864" width="9" style="6" customWidth="1"/>
    <col min="4865" max="4865" width="2.125" style="6" customWidth="1"/>
    <col min="4866" max="5120" width="9" style="6" customWidth="1"/>
    <col min="5121" max="5121" width="2.125" style="6" customWidth="1"/>
    <col min="5122" max="5376" width="9" style="6" customWidth="1"/>
    <col min="5377" max="5377" width="2.125" style="6" customWidth="1"/>
    <col min="5378" max="5632" width="9" style="6" customWidth="1"/>
    <col min="5633" max="5633" width="2.125" style="6" customWidth="1"/>
    <col min="5634" max="5888" width="9" style="6" customWidth="1"/>
    <col min="5889" max="5889" width="2.125" style="6" customWidth="1"/>
    <col min="5890" max="6144" width="9" style="6" customWidth="1"/>
    <col min="6145" max="6145" width="2.125" style="6" customWidth="1"/>
    <col min="6146" max="6400" width="9" style="6" customWidth="1"/>
    <col min="6401" max="6401" width="2.125" style="6" customWidth="1"/>
    <col min="6402" max="6656" width="9" style="6" customWidth="1"/>
    <col min="6657" max="6657" width="2.125" style="6" customWidth="1"/>
    <col min="6658" max="6912" width="9" style="6" customWidth="1"/>
    <col min="6913" max="6913" width="2.125" style="6" customWidth="1"/>
    <col min="6914" max="7168" width="9" style="6" customWidth="1"/>
    <col min="7169" max="7169" width="2.125" style="6" customWidth="1"/>
    <col min="7170" max="7424" width="9" style="6" customWidth="1"/>
    <col min="7425" max="7425" width="2.125" style="6" customWidth="1"/>
    <col min="7426" max="7680" width="9" style="6" customWidth="1"/>
    <col min="7681" max="7681" width="2.125" style="6" customWidth="1"/>
    <col min="7682" max="7936" width="9" style="6" customWidth="1"/>
    <col min="7937" max="7937" width="2.125" style="6" customWidth="1"/>
    <col min="7938" max="8192" width="9" style="6" customWidth="1"/>
    <col min="8193" max="8193" width="2.125" style="6" customWidth="1"/>
    <col min="8194" max="8448" width="9" style="6" customWidth="1"/>
    <col min="8449" max="8449" width="2.125" style="6" customWidth="1"/>
    <col min="8450" max="8704" width="9" style="6" customWidth="1"/>
    <col min="8705" max="8705" width="2.125" style="6" customWidth="1"/>
    <col min="8706" max="8960" width="9" style="6" customWidth="1"/>
    <col min="8961" max="8961" width="2.125" style="6" customWidth="1"/>
    <col min="8962" max="9216" width="9" style="6" customWidth="1"/>
    <col min="9217" max="9217" width="2.125" style="6" customWidth="1"/>
    <col min="9218" max="9472" width="9" style="6" customWidth="1"/>
    <col min="9473" max="9473" width="2.125" style="6" customWidth="1"/>
    <col min="9474" max="9728" width="9" style="6" customWidth="1"/>
    <col min="9729" max="9729" width="2.125" style="6" customWidth="1"/>
    <col min="9730" max="9984" width="9" style="6" customWidth="1"/>
    <col min="9985" max="9985" width="2.125" style="6" customWidth="1"/>
    <col min="9986" max="10240" width="9" style="6" customWidth="1"/>
    <col min="10241" max="10241" width="2.125" style="6" customWidth="1"/>
    <col min="10242" max="10496" width="9" style="6" customWidth="1"/>
    <col min="10497" max="10497" width="2.125" style="6" customWidth="1"/>
    <col min="10498" max="10752" width="9" style="6" customWidth="1"/>
    <col min="10753" max="10753" width="2.125" style="6" customWidth="1"/>
    <col min="10754" max="11008" width="9" style="6" customWidth="1"/>
    <col min="11009" max="11009" width="2.125" style="6" customWidth="1"/>
    <col min="11010" max="11264" width="9" style="6" customWidth="1"/>
    <col min="11265" max="11265" width="2.125" style="6" customWidth="1"/>
    <col min="11266" max="11520" width="9" style="6" customWidth="1"/>
    <col min="11521" max="11521" width="2.125" style="6" customWidth="1"/>
    <col min="11522" max="11776" width="9" style="6" customWidth="1"/>
    <col min="11777" max="11777" width="2.125" style="6" customWidth="1"/>
    <col min="11778" max="12032" width="9" style="6" customWidth="1"/>
    <col min="12033" max="12033" width="2.125" style="6" customWidth="1"/>
    <col min="12034" max="12288" width="9" style="6" customWidth="1"/>
    <col min="12289" max="12289" width="2.125" style="6" customWidth="1"/>
    <col min="12290" max="12544" width="9" style="6" customWidth="1"/>
    <col min="12545" max="12545" width="2.125" style="6" customWidth="1"/>
    <col min="12546" max="12800" width="9" style="6" customWidth="1"/>
    <col min="12801" max="12801" width="2.125" style="6" customWidth="1"/>
    <col min="12802" max="13056" width="9" style="6" customWidth="1"/>
    <col min="13057" max="13057" width="2.125" style="6" customWidth="1"/>
    <col min="13058" max="13312" width="9" style="6" customWidth="1"/>
    <col min="13313" max="13313" width="2.125" style="6" customWidth="1"/>
    <col min="13314" max="13568" width="9" style="6" customWidth="1"/>
    <col min="13569" max="13569" width="2.125" style="6" customWidth="1"/>
    <col min="13570" max="13824" width="9" style="6" customWidth="1"/>
    <col min="13825" max="13825" width="2.125" style="6" customWidth="1"/>
    <col min="13826" max="14080" width="9" style="6" customWidth="1"/>
    <col min="14081" max="14081" width="2.125" style="6" customWidth="1"/>
    <col min="14082" max="14336" width="9" style="6" customWidth="1"/>
    <col min="14337" max="14337" width="2.125" style="6" customWidth="1"/>
    <col min="14338" max="14592" width="9" style="6" customWidth="1"/>
    <col min="14593" max="14593" width="2.125" style="6" customWidth="1"/>
    <col min="14594" max="14848" width="9" style="6" customWidth="1"/>
    <col min="14849" max="14849" width="2.125" style="6" customWidth="1"/>
    <col min="14850" max="15104" width="9" style="6" customWidth="1"/>
    <col min="15105" max="15105" width="2.125" style="6" customWidth="1"/>
    <col min="15106" max="15360" width="9" style="6" customWidth="1"/>
    <col min="15361" max="15361" width="2.125" style="6" customWidth="1"/>
    <col min="15362" max="15616" width="9" style="6" customWidth="1"/>
    <col min="15617" max="15617" width="2.125" style="6" customWidth="1"/>
    <col min="15618" max="15872" width="9" style="6" customWidth="1"/>
    <col min="15873" max="15873" width="2.125" style="6" customWidth="1"/>
    <col min="15874" max="16128" width="9" style="6" customWidth="1"/>
    <col min="16129" max="16129" width="2.125" style="6" customWidth="1"/>
    <col min="16130" max="16384" width="9" style="6" customWidth="1"/>
  </cols>
  <sheetData>
    <row r="1" spans="2:2" ht="22.5" customHeight="1">
      <c r="B1" s="15"/>
    </row>
    <row r="22" spans="2:2">
      <c r="B22" s="15"/>
    </row>
    <row r="29" spans="2:2" ht="15.75" customHeight="1"/>
    <row r="38" ht="15.75" customHeight="1"/>
    <row r="79" spans="2:2">
      <c r="B79" s="15"/>
    </row>
    <row r="99" spans="2:2">
      <c r="B99" s="15"/>
    </row>
    <row r="115" spans="1:1">
      <c r="A115" s="15"/>
    </row>
  </sheetData>
  <phoneticPr fontId="3" type="noConversion"/>
  <pageMargins left="0.70866141732283505" right="0.70866141732283505" top="0.74803149606299202" bottom="0.74803149606299202" header="0.31496062992126" footer="0.31496062992126"/>
  <pageSetup paperSize="9" scale="55" fitToHeight="0" orientation="portrait"/>
  <rowBreaks count="1" manualBreakCount="1">
    <brk id="39" max="16383" man="1"/>
  </rowBreaks>
  <colBreaks count="2" manualBreakCount="2">
    <brk id="11" max="1048575" man="1"/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47"/>
  <sheetViews>
    <sheetView topLeftCell="A10" zoomScale="80" zoomScaleNormal="80" workbookViewId="0">
      <selection activeCell="F28" sqref="F28"/>
    </sheetView>
  </sheetViews>
  <sheetFormatPr defaultColWidth="9" defaultRowHeight="13.5"/>
  <cols>
    <col min="1" max="1" width="3.75" style="110" customWidth="1"/>
    <col min="2" max="2" width="8.125" style="111" customWidth="1"/>
    <col min="3" max="3" width="8.25" style="110" customWidth="1"/>
    <col min="4" max="4" width="11.125" style="111" customWidth="1"/>
    <col min="5" max="5" width="12.25" style="111" bestFit="1" customWidth="1"/>
    <col min="6" max="6" width="24.375" style="111" customWidth="1"/>
    <col min="7" max="7" width="16.375" style="597" customWidth="1"/>
    <col min="8" max="8" width="14.5" style="110" bestFit="1" customWidth="1"/>
    <col min="9" max="9" width="25.625" style="110" customWidth="1"/>
    <col min="10" max="10" width="14.875" style="110" customWidth="1"/>
    <col min="11" max="11" width="47.75" style="110" bestFit="1" customWidth="1"/>
    <col min="12" max="12" width="62.75" style="110" bestFit="1" customWidth="1"/>
    <col min="13" max="250" width="9" style="110" customWidth="1"/>
    <col min="251" max="251" width="3.75" style="110" customWidth="1"/>
    <col min="252" max="506" width="9" style="110" customWidth="1"/>
    <col min="507" max="507" width="3.75" style="110" customWidth="1"/>
    <col min="508" max="762" width="9" style="110" customWidth="1"/>
    <col min="763" max="763" width="3.75" style="110" customWidth="1"/>
    <col min="764" max="1018" width="9" style="110" customWidth="1"/>
    <col min="1019" max="1019" width="3.75" style="110" customWidth="1"/>
    <col min="1020" max="1274" width="9" style="110" customWidth="1"/>
    <col min="1275" max="1275" width="3.75" style="110" customWidth="1"/>
    <col min="1276" max="1530" width="9" style="110" customWidth="1"/>
    <col min="1531" max="1531" width="3.75" style="110" customWidth="1"/>
    <col min="1532" max="1786" width="9" style="110" customWidth="1"/>
    <col min="1787" max="1787" width="3.75" style="110" customWidth="1"/>
    <col min="1788" max="2042" width="9" style="110" customWidth="1"/>
    <col min="2043" max="2043" width="3.75" style="110" customWidth="1"/>
    <col min="2044" max="2298" width="9" style="110" customWidth="1"/>
    <col min="2299" max="2299" width="3.75" style="110" customWidth="1"/>
    <col min="2300" max="2554" width="9" style="110" customWidth="1"/>
    <col min="2555" max="2555" width="3.75" style="110" customWidth="1"/>
    <col min="2556" max="2810" width="9" style="110" customWidth="1"/>
    <col min="2811" max="2811" width="3.75" style="110" customWidth="1"/>
    <col min="2812" max="3066" width="9" style="110" customWidth="1"/>
    <col min="3067" max="3067" width="3.75" style="110" customWidth="1"/>
    <col min="3068" max="3322" width="9" style="110" customWidth="1"/>
    <col min="3323" max="3323" width="3.75" style="110" customWidth="1"/>
    <col min="3324" max="3578" width="9" style="110" customWidth="1"/>
    <col min="3579" max="3579" width="3.75" style="110" customWidth="1"/>
    <col min="3580" max="3834" width="9" style="110" customWidth="1"/>
    <col min="3835" max="3835" width="3.75" style="110" customWidth="1"/>
    <col min="3836" max="4090" width="9" style="110" customWidth="1"/>
    <col min="4091" max="4091" width="3.75" style="110" customWidth="1"/>
    <col min="4092" max="4346" width="9" style="110" customWidth="1"/>
    <col min="4347" max="4347" width="3.75" style="110" customWidth="1"/>
    <col min="4348" max="4602" width="9" style="110" customWidth="1"/>
    <col min="4603" max="4603" width="3.75" style="110" customWidth="1"/>
    <col min="4604" max="4858" width="9" style="110" customWidth="1"/>
    <col min="4859" max="4859" width="3.75" style="110" customWidth="1"/>
    <col min="4860" max="5114" width="9" style="110" customWidth="1"/>
    <col min="5115" max="5115" width="3.75" style="110" customWidth="1"/>
    <col min="5116" max="5370" width="9" style="110" customWidth="1"/>
    <col min="5371" max="5371" width="3.75" style="110" customWidth="1"/>
    <col min="5372" max="5626" width="9" style="110" customWidth="1"/>
    <col min="5627" max="5627" width="3.75" style="110" customWidth="1"/>
    <col min="5628" max="5882" width="9" style="110" customWidth="1"/>
    <col min="5883" max="5883" width="3.75" style="110" customWidth="1"/>
    <col min="5884" max="6138" width="9" style="110" customWidth="1"/>
    <col min="6139" max="6139" width="3.75" style="110" customWidth="1"/>
    <col min="6140" max="6394" width="9" style="110" customWidth="1"/>
    <col min="6395" max="6395" width="3.75" style="110" customWidth="1"/>
    <col min="6396" max="6650" width="9" style="110" customWidth="1"/>
    <col min="6651" max="6651" width="3.75" style="110" customWidth="1"/>
    <col min="6652" max="6906" width="9" style="110" customWidth="1"/>
    <col min="6907" max="6907" width="3.75" style="110" customWidth="1"/>
    <col min="6908" max="7162" width="9" style="110" customWidth="1"/>
    <col min="7163" max="7163" width="3.75" style="110" customWidth="1"/>
    <col min="7164" max="7418" width="9" style="110" customWidth="1"/>
    <col min="7419" max="7419" width="3.75" style="110" customWidth="1"/>
    <col min="7420" max="7674" width="9" style="110" customWidth="1"/>
    <col min="7675" max="7675" width="3.75" style="110" customWidth="1"/>
    <col min="7676" max="7930" width="9" style="110" customWidth="1"/>
    <col min="7931" max="7931" width="3.75" style="110" customWidth="1"/>
    <col min="7932" max="8186" width="9" style="110" customWidth="1"/>
    <col min="8187" max="8187" width="3.75" style="110" customWidth="1"/>
    <col min="8188" max="8442" width="9" style="110" customWidth="1"/>
    <col min="8443" max="8443" width="3.75" style="110" customWidth="1"/>
    <col min="8444" max="8698" width="9" style="110" customWidth="1"/>
    <col min="8699" max="8699" width="3.75" style="110" customWidth="1"/>
    <col min="8700" max="8954" width="9" style="110" customWidth="1"/>
    <col min="8955" max="8955" width="3.75" style="110" customWidth="1"/>
    <col min="8956" max="9210" width="9" style="110" customWidth="1"/>
    <col min="9211" max="9211" width="3.75" style="110" customWidth="1"/>
    <col min="9212" max="9466" width="9" style="110" customWidth="1"/>
    <col min="9467" max="9467" width="3.75" style="110" customWidth="1"/>
    <col min="9468" max="9722" width="9" style="110" customWidth="1"/>
    <col min="9723" max="9723" width="3.75" style="110" customWidth="1"/>
    <col min="9724" max="9978" width="9" style="110" customWidth="1"/>
    <col min="9979" max="9979" width="3.75" style="110" customWidth="1"/>
    <col min="9980" max="10234" width="9" style="110" customWidth="1"/>
    <col min="10235" max="10235" width="3.75" style="110" customWidth="1"/>
    <col min="10236" max="10490" width="9" style="110" customWidth="1"/>
    <col min="10491" max="10491" width="3.75" style="110" customWidth="1"/>
    <col min="10492" max="10746" width="9" style="110" customWidth="1"/>
    <col min="10747" max="10747" width="3.75" style="110" customWidth="1"/>
    <col min="10748" max="11002" width="9" style="110" customWidth="1"/>
    <col min="11003" max="11003" width="3.75" style="110" customWidth="1"/>
    <col min="11004" max="11258" width="9" style="110" customWidth="1"/>
    <col min="11259" max="11259" width="3.75" style="110" customWidth="1"/>
    <col min="11260" max="11514" width="9" style="110" customWidth="1"/>
    <col min="11515" max="11515" width="3.75" style="110" customWidth="1"/>
    <col min="11516" max="11770" width="9" style="110" customWidth="1"/>
    <col min="11771" max="11771" width="3.75" style="110" customWidth="1"/>
    <col min="11772" max="12026" width="9" style="110" customWidth="1"/>
    <col min="12027" max="12027" width="3.75" style="110" customWidth="1"/>
    <col min="12028" max="12282" width="9" style="110" customWidth="1"/>
    <col min="12283" max="12283" width="3.75" style="110" customWidth="1"/>
    <col min="12284" max="12538" width="9" style="110" customWidth="1"/>
    <col min="12539" max="12539" width="3.75" style="110" customWidth="1"/>
    <col min="12540" max="12794" width="9" style="110" customWidth="1"/>
    <col min="12795" max="12795" width="3.75" style="110" customWidth="1"/>
    <col min="12796" max="13050" width="9" style="110" customWidth="1"/>
    <col min="13051" max="13051" width="3.75" style="110" customWidth="1"/>
    <col min="13052" max="13306" width="9" style="110" customWidth="1"/>
    <col min="13307" max="13307" width="3.75" style="110" customWidth="1"/>
    <col min="13308" max="13562" width="9" style="110" customWidth="1"/>
    <col min="13563" max="13563" width="3.75" style="110" customWidth="1"/>
    <col min="13564" max="13818" width="9" style="110" customWidth="1"/>
    <col min="13819" max="13819" width="3.75" style="110" customWidth="1"/>
    <col min="13820" max="14074" width="9" style="110" customWidth="1"/>
    <col min="14075" max="14075" width="3.75" style="110" customWidth="1"/>
    <col min="14076" max="14330" width="9" style="110" customWidth="1"/>
    <col min="14331" max="14331" width="3.75" style="110" customWidth="1"/>
    <col min="14332" max="14586" width="9" style="110" customWidth="1"/>
    <col min="14587" max="14587" width="3.75" style="110" customWidth="1"/>
    <col min="14588" max="14842" width="9" style="110" customWidth="1"/>
    <col min="14843" max="14843" width="3.75" style="110" customWidth="1"/>
    <col min="14844" max="15098" width="9" style="110" customWidth="1"/>
    <col min="15099" max="15099" width="3.75" style="110" customWidth="1"/>
    <col min="15100" max="15354" width="9" style="110" customWidth="1"/>
    <col min="15355" max="15355" width="3.75" style="110" customWidth="1"/>
    <col min="15356" max="15610" width="9" style="110" customWidth="1"/>
    <col min="15611" max="15611" width="3.75" style="110" customWidth="1"/>
    <col min="15612" max="15866" width="9" style="110" customWidth="1"/>
    <col min="15867" max="15867" width="3.75" style="110" customWidth="1"/>
    <col min="15868" max="16122" width="9" style="110" customWidth="1"/>
    <col min="16123" max="16123" width="3.75" style="110" customWidth="1"/>
    <col min="16124" max="16384" width="9" style="110" customWidth="1"/>
  </cols>
  <sheetData>
    <row r="2" spans="2:12" ht="19.5" customHeight="1">
      <c r="B2" s="109" t="s">
        <v>484</v>
      </c>
      <c r="G2" s="638"/>
      <c r="H2" s="639"/>
      <c r="I2" s="639"/>
    </row>
    <row r="4" spans="2:12" ht="16.5">
      <c r="B4" s="636" t="s">
        <v>485</v>
      </c>
      <c r="C4" s="636" t="s">
        <v>486</v>
      </c>
      <c r="D4" s="641" t="s">
        <v>487</v>
      </c>
      <c r="E4" s="641" t="s">
        <v>488</v>
      </c>
      <c r="F4" s="641" t="s">
        <v>489</v>
      </c>
      <c r="G4" s="636" t="s">
        <v>490</v>
      </c>
      <c r="H4" s="637"/>
      <c r="I4" s="636" t="s">
        <v>491</v>
      </c>
      <c r="J4" s="636" t="s">
        <v>492</v>
      </c>
      <c r="K4" s="636" t="s">
        <v>493</v>
      </c>
      <c r="L4" s="637"/>
    </row>
    <row r="5" spans="2:12">
      <c r="B5" s="640"/>
      <c r="C5" s="640"/>
      <c r="D5" s="642"/>
      <c r="E5" s="642"/>
      <c r="F5" s="642"/>
      <c r="G5" s="598" t="s">
        <v>11</v>
      </c>
      <c r="H5" s="156" t="s">
        <v>494</v>
      </c>
      <c r="I5" s="640"/>
      <c r="J5" s="640"/>
      <c r="K5" s="156" t="s">
        <v>495</v>
      </c>
      <c r="L5" s="156" t="s">
        <v>496</v>
      </c>
    </row>
    <row r="6" spans="2:12" ht="20.100000000000001" customHeight="1">
      <c r="B6" s="112">
        <f t="shared" ref="B6:B46" si="0">ROW()-5</f>
        <v>1</v>
      </c>
      <c r="C6" s="599"/>
      <c r="D6" s="600">
        <v>46133</v>
      </c>
      <c r="E6" s="601" t="s">
        <v>497</v>
      </c>
      <c r="F6" s="122" t="s">
        <v>498</v>
      </c>
      <c r="G6" s="602">
        <v>135</v>
      </c>
      <c r="H6" s="603"/>
      <c r="I6" s="113" t="s">
        <v>499</v>
      </c>
      <c r="J6" s="113" t="s">
        <v>500</v>
      </c>
      <c r="K6" s="113" t="s">
        <v>501</v>
      </c>
      <c r="L6" s="600" t="s">
        <v>502</v>
      </c>
    </row>
    <row r="7" spans="2:12" ht="20.100000000000001" customHeight="1">
      <c r="B7" s="112">
        <f t="shared" si="0"/>
        <v>2</v>
      </c>
      <c r="C7" s="599"/>
      <c r="D7" s="600">
        <v>46134</v>
      </c>
      <c r="E7" s="601" t="s">
        <v>497</v>
      </c>
      <c r="F7" s="122" t="s">
        <v>503</v>
      </c>
      <c r="G7" s="602">
        <v>68</v>
      </c>
      <c r="H7" s="603"/>
      <c r="I7" s="113" t="s">
        <v>504</v>
      </c>
      <c r="J7" s="113" t="s">
        <v>505</v>
      </c>
      <c r="K7" s="113" t="s">
        <v>506</v>
      </c>
      <c r="L7" s="600" t="s">
        <v>497</v>
      </c>
    </row>
    <row r="8" spans="2:12" ht="20.100000000000001" customHeight="1">
      <c r="B8" s="112">
        <f t="shared" si="0"/>
        <v>3</v>
      </c>
      <c r="C8" s="599"/>
      <c r="D8" s="600">
        <v>46149</v>
      </c>
      <c r="E8" s="601" t="s">
        <v>497</v>
      </c>
      <c r="F8" s="122" t="s">
        <v>507</v>
      </c>
      <c r="G8" s="602">
        <v>370</v>
      </c>
      <c r="H8" s="603"/>
      <c r="I8" s="113" t="s">
        <v>508</v>
      </c>
      <c r="J8" s="113" t="s">
        <v>505</v>
      </c>
      <c r="K8" s="113" t="s">
        <v>509</v>
      </c>
      <c r="L8" s="600" t="s">
        <v>497</v>
      </c>
    </row>
    <row r="9" spans="2:12" ht="20.100000000000001" customHeight="1">
      <c r="B9" s="112">
        <f t="shared" si="0"/>
        <v>4</v>
      </c>
      <c r="C9" s="599"/>
      <c r="D9" s="600">
        <v>46151</v>
      </c>
      <c r="E9" s="601" t="s">
        <v>497</v>
      </c>
      <c r="F9" s="121" t="s">
        <v>510</v>
      </c>
      <c r="G9" s="602">
        <v>233</v>
      </c>
      <c r="H9" s="603"/>
      <c r="I9" s="113" t="s">
        <v>511</v>
      </c>
      <c r="J9" s="113" t="s">
        <v>500</v>
      </c>
      <c r="K9" s="113" t="s">
        <v>512</v>
      </c>
      <c r="L9" s="600" t="s">
        <v>497</v>
      </c>
    </row>
    <row r="10" spans="2:12" ht="20.100000000000001" customHeight="1">
      <c r="B10" s="112">
        <f t="shared" si="0"/>
        <v>5</v>
      </c>
      <c r="C10" s="599"/>
      <c r="D10" s="600">
        <v>46118</v>
      </c>
      <c r="E10" s="601" t="s">
        <v>60</v>
      </c>
      <c r="F10" s="121" t="s">
        <v>513</v>
      </c>
      <c r="G10" s="602">
        <v>258</v>
      </c>
      <c r="H10" s="603"/>
      <c r="I10" s="113" t="s">
        <v>514</v>
      </c>
      <c r="J10" s="113" t="s">
        <v>505</v>
      </c>
      <c r="K10" s="113" t="s">
        <v>515</v>
      </c>
      <c r="L10" s="600" t="s">
        <v>516</v>
      </c>
    </row>
    <row r="11" spans="2:12" ht="20.100000000000001" customHeight="1">
      <c r="B11" s="112">
        <f t="shared" si="0"/>
        <v>6</v>
      </c>
      <c r="C11" s="599"/>
      <c r="D11" s="600">
        <v>46119</v>
      </c>
      <c r="E11" s="601" t="s">
        <v>60</v>
      </c>
      <c r="F11" s="121" t="s">
        <v>517</v>
      </c>
      <c r="G11" s="602">
        <v>873</v>
      </c>
      <c r="H11" s="603"/>
      <c r="I11" s="113" t="s">
        <v>514</v>
      </c>
      <c r="J11" s="113" t="s">
        <v>518</v>
      </c>
      <c r="K11" s="113" t="s">
        <v>519</v>
      </c>
      <c r="L11" s="600" t="s">
        <v>520</v>
      </c>
    </row>
    <row r="12" spans="2:12" ht="20.100000000000001" customHeight="1">
      <c r="B12" s="112">
        <f t="shared" si="0"/>
        <v>7</v>
      </c>
      <c r="C12" s="599"/>
      <c r="D12" s="600">
        <v>46120</v>
      </c>
      <c r="E12" s="601" t="s">
        <v>60</v>
      </c>
      <c r="F12" s="121" t="s">
        <v>521</v>
      </c>
      <c r="G12" s="602">
        <v>402</v>
      </c>
      <c r="H12" s="603"/>
      <c r="I12" s="113" t="s">
        <v>514</v>
      </c>
      <c r="J12" s="113" t="s">
        <v>518</v>
      </c>
      <c r="K12" s="113" t="s">
        <v>519</v>
      </c>
      <c r="L12" s="600" t="s">
        <v>522</v>
      </c>
    </row>
    <row r="13" spans="2:12" ht="20.100000000000001" customHeight="1">
      <c r="B13" s="112">
        <f t="shared" si="0"/>
        <v>8</v>
      </c>
      <c r="C13" s="599"/>
      <c r="D13" s="600">
        <v>46120</v>
      </c>
      <c r="E13" s="601" t="s">
        <v>60</v>
      </c>
      <c r="F13" s="121" t="s">
        <v>523</v>
      </c>
      <c r="G13" s="602">
        <v>800</v>
      </c>
      <c r="H13" s="603"/>
      <c r="I13" s="113" t="s">
        <v>514</v>
      </c>
      <c r="J13" s="113" t="s">
        <v>505</v>
      </c>
      <c r="K13" s="113" t="s">
        <v>524</v>
      </c>
      <c r="L13" s="600" t="s">
        <v>522</v>
      </c>
    </row>
    <row r="14" spans="2:12" ht="20.100000000000001" customHeight="1">
      <c r="B14" s="112">
        <f t="shared" si="0"/>
        <v>9</v>
      </c>
      <c r="C14" s="599"/>
      <c r="D14" s="600">
        <v>46128</v>
      </c>
      <c r="E14" s="601" t="s">
        <v>60</v>
      </c>
      <c r="F14" s="121" t="s">
        <v>525</v>
      </c>
      <c r="G14" s="602">
        <v>297</v>
      </c>
      <c r="H14" s="603"/>
      <c r="I14" s="113" t="s">
        <v>514</v>
      </c>
      <c r="J14" s="113" t="s">
        <v>505</v>
      </c>
      <c r="K14" s="113" t="s">
        <v>526</v>
      </c>
      <c r="L14" s="600" t="s">
        <v>527</v>
      </c>
    </row>
    <row r="15" spans="2:12" ht="20.100000000000001" customHeight="1">
      <c r="B15" s="112">
        <f t="shared" si="0"/>
        <v>10</v>
      </c>
      <c r="C15" s="599"/>
      <c r="D15" s="600">
        <v>46150</v>
      </c>
      <c r="E15" s="601" t="s">
        <v>60</v>
      </c>
      <c r="F15" s="122" t="s">
        <v>528</v>
      </c>
      <c r="G15" s="602">
        <v>693</v>
      </c>
      <c r="H15" s="603"/>
      <c r="I15" s="113" t="s">
        <v>514</v>
      </c>
      <c r="J15" s="113" t="s">
        <v>505</v>
      </c>
      <c r="K15" s="113" t="s">
        <v>529</v>
      </c>
      <c r="L15" s="604" t="s">
        <v>530</v>
      </c>
    </row>
    <row r="16" spans="2:12" ht="20.100000000000001" customHeight="1">
      <c r="B16" s="112">
        <f t="shared" si="0"/>
        <v>11</v>
      </c>
      <c r="C16" s="599"/>
      <c r="D16" s="600" t="s">
        <v>531</v>
      </c>
      <c r="E16" s="601" t="s">
        <v>413</v>
      </c>
      <c r="F16" s="121" t="s">
        <v>532</v>
      </c>
      <c r="G16" s="602">
        <v>60</v>
      </c>
      <c r="H16" s="603"/>
      <c r="I16" s="603" t="s">
        <v>533</v>
      </c>
      <c r="J16" s="113" t="s">
        <v>505</v>
      </c>
      <c r="K16" s="113" t="s">
        <v>534</v>
      </c>
      <c r="L16" s="113" t="s">
        <v>535</v>
      </c>
    </row>
    <row r="17" spans="2:12" ht="20.100000000000001" customHeight="1">
      <c r="B17" s="112">
        <f t="shared" si="0"/>
        <v>12</v>
      </c>
      <c r="C17" s="599"/>
      <c r="D17" s="600" t="s">
        <v>531</v>
      </c>
      <c r="E17" s="601" t="s">
        <v>413</v>
      </c>
      <c r="F17" s="121" t="s">
        <v>536</v>
      </c>
      <c r="G17" s="602">
        <v>281</v>
      </c>
      <c r="H17" s="603"/>
      <c r="I17" s="603" t="s">
        <v>537</v>
      </c>
      <c r="J17" s="113" t="s">
        <v>505</v>
      </c>
      <c r="K17" s="113" t="s">
        <v>534</v>
      </c>
      <c r="L17" s="113" t="s">
        <v>535</v>
      </c>
    </row>
    <row r="18" spans="2:12" ht="20.100000000000001" customHeight="1">
      <c r="B18" s="112">
        <f t="shared" si="0"/>
        <v>13</v>
      </c>
      <c r="C18" s="599"/>
      <c r="D18" s="600" t="s">
        <v>538</v>
      </c>
      <c r="E18" s="601" t="s">
        <v>413</v>
      </c>
      <c r="F18" s="121" t="s">
        <v>539</v>
      </c>
      <c r="G18" s="602">
        <v>315</v>
      </c>
      <c r="H18" s="603"/>
      <c r="I18" s="113" t="s">
        <v>537</v>
      </c>
      <c r="J18" s="113" t="s">
        <v>540</v>
      </c>
      <c r="K18" s="113" t="s">
        <v>541</v>
      </c>
      <c r="L18" s="600" t="s">
        <v>535</v>
      </c>
    </row>
    <row r="19" spans="2:12" ht="20.100000000000001" customHeight="1">
      <c r="B19" s="112">
        <f t="shared" si="0"/>
        <v>14</v>
      </c>
      <c r="C19" s="599"/>
      <c r="D19" s="600" t="s">
        <v>542</v>
      </c>
      <c r="E19" s="601" t="s">
        <v>413</v>
      </c>
      <c r="F19" s="121" t="s">
        <v>543</v>
      </c>
      <c r="G19" s="602">
        <v>100.7</v>
      </c>
      <c r="H19" s="603"/>
      <c r="I19" s="113" t="s">
        <v>533</v>
      </c>
      <c r="J19" s="113" t="s">
        <v>505</v>
      </c>
      <c r="K19" s="113" t="s">
        <v>544</v>
      </c>
      <c r="L19" s="600" t="s">
        <v>545</v>
      </c>
    </row>
    <row r="20" spans="2:12" ht="20.100000000000001" customHeight="1">
      <c r="B20" s="112">
        <f t="shared" si="0"/>
        <v>15</v>
      </c>
      <c r="C20" s="599"/>
      <c r="D20" s="600" t="s">
        <v>546</v>
      </c>
      <c r="E20" s="601" t="s">
        <v>413</v>
      </c>
      <c r="F20" s="121" t="s">
        <v>539</v>
      </c>
      <c r="G20" s="602">
        <v>255</v>
      </c>
      <c r="H20" s="603"/>
      <c r="I20" s="113" t="s">
        <v>537</v>
      </c>
      <c r="J20" s="113" t="s">
        <v>547</v>
      </c>
      <c r="K20" s="113" t="s">
        <v>548</v>
      </c>
      <c r="L20" s="600" t="s">
        <v>413</v>
      </c>
    </row>
    <row r="21" spans="2:12" ht="20.100000000000001" customHeight="1">
      <c r="B21" s="112">
        <f t="shared" si="0"/>
        <v>16</v>
      </c>
      <c r="C21" s="599"/>
      <c r="D21" s="600" t="s">
        <v>549</v>
      </c>
      <c r="E21" s="601" t="s">
        <v>413</v>
      </c>
      <c r="F21" s="121" t="s">
        <v>539</v>
      </c>
      <c r="G21" s="602">
        <v>307.8</v>
      </c>
      <c r="H21" s="603"/>
      <c r="I21" s="113" t="s">
        <v>537</v>
      </c>
      <c r="J21" s="113" t="s">
        <v>547</v>
      </c>
      <c r="K21" s="113" t="s">
        <v>550</v>
      </c>
      <c r="L21" s="600" t="s">
        <v>413</v>
      </c>
    </row>
    <row r="22" spans="2:12" ht="20.100000000000001" customHeight="1">
      <c r="B22" s="112">
        <f t="shared" si="0"/>
        <v>17</v>
      </c>
      <c r="C22" s="599"/>
      <c r="D22" s="600" t="s">
        <v>551</v>
      </c>
      <c r="E22" s="601" t="s">
        <v>413</v>
      </c>
      <c r="F22" s="121" t="s">
        <v>552</v>
      </c>
      <c r="G22" s="602">
        <v>260</v>
      </c>
      <c r="H22" s="603"/>
      <c r="I22" s="113" t="s">
        <v>533</v>
      </c>
      <c r="J22" s="113" t="s">
        <v>553</v>
      </c>
      <c r="K22" s="113" t="s">
        <v>554</v>
      </c>
      <c r="L22" s="600" t="s">
        <v>535</v>
      </c>
    </row>
    <row r="23" spans="2:12" ht="20.100000000000001" customHeight="1">
      <c r="B23" s="112">
        <f t="shared" si="0"/>
        <v>18</v>
      </c>
      <c r="C23" s="599"/>
      <c r="D23" s="600" t="s">
        <v>551</v>
      </c>
      <c r="E23" s="601" t="s">
        <v>413</v>
      </c>
      <c r="F23" s="121" t="s">
        <v>555</v>
      </c>
      <c r="G23" s="602">
        <v>674</v>
      </c>
      <c r="H23" s="603"/>
      <c r="I23" s="113" t="s">
        <v>556</v>
      </c>
      <c r="J23" s="113" t="s">
        <v>553</v>
      </c>
      <c r="K23" s="113" t="s">
        <v>554</v>
      </c>
      <c r="L23" s="600" t="s">
        <v>535</v>
      </c>
    </row>
    <row r="24" spans="2:12" ht="20.100000000000001" customHeight="1">
      <c r="B24" s="112">
        <f t="shared" si="0"/>
        <v>19</v>
      </c>
      <c r="C24" s="599"/>
      <c r="D24" s="600" t="s">
        <v>551</v>
      </c>
      <c r="E24" s="601" t="s">
        <v>413</v>
      </c>
      <c r="F24" s="121" t="s">
        <v>557</v>
      </c>
      <c r="G24" s="602">
        <v>103</v>
      </c>
      <c r="H24" s="603"/>
      <c r="I24" s="113" t="s">
        <v>533</v>
      </c>
      <c r="J24" s="113" t="s">
        <v>553</v>
      </c>
      <c r="K24" s="113" t="s">
        <v>554</v>
      </c>
      <c r="L24" s="600" t="s">
        <v>535</v>
      </c>
    </row>
    <row r="25" spans="2:12" ht="20.100000000000001" customHeight="1">
      <c r="B25" s="112">
        <f t="shared" si="0"/>
        <v>20</v>
      </c>
      <c r="C25" s="599"/>
      <c r="D25" s="600">
        <v>46132</v>
      </c>
      <c r="E25" s="601" t="s">
        <v>558</v>
      </c>
      <c r="F25" s="121" t="s">
        <v>559</v>
      </c>
      <c r="G25" s="602">
        <v>246</v>
      </c>
      <c r="H25" s="603"/>
      <c r="I25" s="113" t="s">
        <v>560</v>
      </c>
      <c r="J25" s="113" t="s">
        <v>505</v>
      </c>
      <c r="K25" s="113" t="s">
        <v>561</v>
      </c>
      <c r="L25" s="600" t="s">
        <v>134</v>
      </c>
    </row>
    <row r="26" spans="2:12" ht="20.100000000000001" customHeight="1">
      <c r="B26" s="112">
        <f t="shared" si="0"/>
        <v>21</v>
      </c>
      <c r="C26" s="599"/>
      <c r="D26" s="600">
        <v>46149</v>
      </c>
      <c r="E26" s="601" t="s">
        <v>558</v>
      </c>
      <c r="F26" s="121" t="s">
        <v>562</v>
      </c>
      <c r="G26" s="602">
        <v>140</v>
      </c>
      <c r="H26" s="603"/>
      <c r="I26" s="113" t="s">
        <v>560</v>
      </c>
      <c r="J26" s="113" t="s">
        <v>505</v>
      </c>
      <c r="K26" s="113" t="s">
        <v>563</v>
      </c>
      <c r="L26" s="600" t="s">
        <v>134</v>
      </c>
    </row>
    <row r="27" spans="2:12" ht="20.100000000000001" customHeight="1">
      <c r="B27" s="112">
        <f t="shared" si="0"/>
        <v>22</v>
      </c>
      <c r="C27" s="599"/>
      <c r="D27" s="600">
        <v>46109</v>
      </c>
      <c r="E27" s="601" t="s">
        <v>564</v>
      </c>
      <c r="F27" s="121" t="s">
        <v>565</v>
      </c>
      <c r="G27" s="602">
        <v>36.04</v>
      </c>
      <c r="H27" s="603"/>
      <c r="I27" s="113" t="s">
        <v>566</v>
      </c>
      <c r="J27" s="113" t="s">
        <v>500</v>
      </c>
      <c r="K27" s="113" t="s">
        <v>567</v>
      </c>
      <c r="L27" s="600" t="s">
        <v>564</v>
      </c>
    </row>
    <row r="28" spans="2:12" ht="20.100000000000001" customHeight="1">
      <c r="B28" s="112">
        <f t="shared" si="0"/>
        <v>23</v>
      </c>
      <c r="C28" s="599"/>
      <c r="D28" s="600">
        <v>46156</v>
      </c>
      <c r="E28" s="601" t="s">
        <v>564</v>
      </c>
      <c r="F28" s="121" t="s">
        <v>568</v>
      </c>
      <c r="G28" s="602">
        <v>1016.12</v>
      </c>
      <c r="H28" s="603"/>
      <c r="I28" s="113" t="s">
        <v>569</v>
      </c>
      <c r="J28" s="113" t="s">
        <v>570</v>
      </c>
      <c r="K28" s="113" t="s">
        <v>571</v>
      </c>
      <c r="L28" s="600" t="s">
        <v>572</v>
      </c>
    </row>
    <row r="29" spans="2:12" ht="20.100000000000001" customHeight="1">
      <c r="B29" s="112">
        <f t="shared" si="0"/>
        <v>24</v>
      </c>
      <c r="C29" s="599"/>
      <c r="D29" s="600">
        <v>46134</v>
      </c>
      <c r="E29" s="601" t="s">
        <v>564</v>
      </c>
      <c r="F29" s="121" t="s">
        <v>573</v>
      </c>
      <c r="G29" s="602">
        <v>58</v>
      </c>
      <c r="H29" s="603"/>
      <c r="I29" s="113" t="s">
        <v>569</v>
      </c>
      <c r="J29" s="113" t="s">
        <v>570</v>
      </c>
      <c r="K29" s="113" t="s">
        <v>574</v>
      </c>
      <c r="L29" s="600" t="s">
        <v>564</v>
      </c>
    </row>
    <row r="30" spans="2:12" ht="20.100000000000001" customHeight="1">
      <c r="B30" s="112">
        <f t="shared" si="0"/>
        <v>25</v>
      </c>
      <c r="C30" s="599"/>
      <c r="D30" s="600"/>
      <c r="E30" s="601"/>
      <c r="F30" s="121"/>
      <c r="G30" s="602"/>
      <c r="H30" s="603"/>
      <c r="I30" s="113"/>
      <c r="J30" s="113"/>
      <c r="K30" s="113"/>
      <c r="L30" s="600"/>
    </row>
    <row r="31" spans="2:12" ht="20.100000000000001" customHeight="1">
      <c r="B31" s="112">
        <f t="shared" si="0"/>
        <v>26</v>
      </c>
      <c r="C31" s="599"/>
      <c r="D31" s="600"/>
      <c r="E31" s="601"/>
      <c r="F31" s="121"/>
      <c r="G31" s="602"/>
      <c r="H31" s="603"/>
      <c r="I31" s="113"/>
      <c r="J31" s="113"/>
      <c r="K31" s="113"/>
      <c r="L31" s="600"/>
    </row>
    <row r="32" spans="2:12" ht="20.100000000000001" customHeight="1">
      <c r="B32" s="112">
        <f t="shared" si="0"/>
        <v>27</v>
      </c>
      <c r="C32" s="599"/>
      <c r="D32" s="600"/>
      <c r="E32" s="601"/>
      <c r="F32" s="121"/>
      <c r="G32" s="602"/>
      <c r="H32" s="603"/>
      <c r="I32" s="113"/>
      <c r="J32" s="113"/>
      <c r="K32" s="113"/>
      <c r="L32" s="600"/>
    </row>
    <row r="33" spans="2:12" ht="20.100000000000001" customHeight="1">
      <c r="B33" s="112">
        <f t="shared" si="0"/>
        <v>28</v>
      </c>
      <c r="C33" s="599"/>
      <c r="D33" s="600"/>
      <c r="E33" s="601"/>
      <c r="F33" s="121"/>
      <c r="G33" s="602"/>
      <c r="H33" s="603"/>
      <c r="I33" s="113"/>
      <c r="J33" s="113"/>
      <c r="K33" s="113"/>
      <c r="L33" s="600"/>
    </row>
    <row r="34" spans="2:12" ht="20.100000000000001" customHeight="1">
      <c r="B34" s="112">
        <f t="shared" si="0"/>
        <v>29</v>
      </c>
      <c r="C34" s="599"/>
      <c r="D34" s="600"/>
      <c r="E34" s="601"/>
      <c r="F34" s="121"/>
      <c r="G34" s="602"/>
      <c r="H34" s="603"/>
      <c r="I34" s="113"/>
      <c r="J34" s="113"/>
      <c r="K34" s="113"/>
      <c r="L34" s="600"/>
    </row>
    <row r="35" spans="2:12" ht="20.100000000000001" customHeight="1">
      <c r="B35" s="112">
        <f t="shared" si="0"/>
        <v>30</v>
      </c>
      <c r="C35" s="599"/>
      <c r="D35" s="600"/>
      <c r="E35" s="601"/>
      <c r="F35" s="121"/>
      <c r="G35" s="602"/>
      <c r="H35" s="603"/>
      <c r="I35" s="113"/>
      <c r="J35" s="113"/>
      <c r="K35" s="113"/>
      <c r="L35" s="600"/>
    </row>
    <row r="36" spans="2:12" ht="20.100000000000001" customHeight="1">
      <c r="B36" s="112">
        <f t="shared" si="0"/>
        <v>31</v>
      </c>
      <c r="C36" s="599"/>
      <c r="D36" s="600"/>
      <c r="E36" s="601"/>
      <c r="F36" s="121"/>
      <c r="G36" s="602"/>
      <c r="H36" s="603"/>
      <c r="I36" s="113"/>
      <c r="J36" s="113"/>
      <c r="K36" s="113"/>
      <c r="L36" s="600"/>
    </row>
    <row r="37" spans="2:12" ht="20.100000000000001" customHeight="1">
      <c r="B37" s="112">
        <f t="shared" si="0"/>
        <v>32</v>
      </c>
      <c r="C37" s="599"/>
      <c r="D37" s="600"/>
      <c r="E37" s="601"/>
      <c r="F37" s="121"/>
      <c r="G37" s="602"/>
      <c r="H37" s="603"/>
      <c r="I37" s="113"/>
      <c r="J37" s="113"/>
      <c r="K37" s="113"/>
      <c r="L37" s="600"/>
    </row>
    <row r="38" spans="2:12" ht="20.100000000000001" customHeight="1">
      <c r="B38" s="112">
        <f t="shared" si="0"/>
        <v>33</v>
      </c>
      <c r="C38" s="599"/>
      <c r="D38" s="600"/>
      <c r="E38" s="601"/>
      <c r="F38" s="121"/>
      <c r="G38" s="602"/>
      <c r="H38" s="603"/>
      <c r="I38" s="113"/>
      <c r="J38" s="113"/>
      <c r="K38" s="113"/>
      <c r="L38" s="600"/>
    </row>
    <row r="39" spans="2:12" ht="20.100000000000001" customHeight="1">
      <c r="B39" s="112">
        <f t="shared" si="0"/>
        <v>34</v>
      </c>
      <c r="C39" s="599"/>
      <c r="D39" s="600"/>
      <c r="E39" s="601"/>
      <c r="F39" s="121"/>
      <c r="G39" s="602"/>
      <c r="H39" s="603"/>
      <c r="I39" s="113"/>
      <c r="J39" s="113"/>
      <c r="K39" s="113"/>
      <c r="L39" s="600"/>
    </row>
    <row r="40" spans="2:12" ht="20.100000000000001" customHeight="1">
      <c r="B40" s="112">
        <f t="shared" si="0"/>
        <v>35</v>
      </c>
      <c r="C40" s="599"/>
      <c r="D40" s="600"/>
      <c r="E40" s="601"/>
      <c r="F40" s="121"/>
      <c r="G40" s="602"/>
      <c r="H40" s="603"/>
      <c r="I40" s="113"/>
      <c r="J40" s="113"/>
      <c r="K40" s="113"/>
      <c r="L40" s="600"/>
    </row>
    <row r="41" spans="2:12" ht="20.100000000000001" customHeight="1">
      <c r="B41" s="112">
        <f t="shared" si="0"/>
        <v>36</v>
      </c>
      <c r="C41" s="599"/>
      <c r="D41" s="600"/>
      <c r="E41" s="601"/>
      <c r="F41" s="121"/>
      <c r="G41" s="602"/>
      <c r="H41" s="603"/>
      <c r="I41" s="113"/>
      <c r="J41" s="113"/>
      <c r="K41" s="113"/>
      <c r="L41" s="600"/>
    </row>
    <row r="42" spans="2:12" ht="20.100000000000001" hidden="1" customHeight="1">
      <c r="B42" s="112">
        <f t="shared" si="0"/>
        <v>37</v>
      </c>
      <c r="C42" s="599"/>
      <c r="D42" s="600"/>
      <c r="E42" s="601"/>
      <c r="F42" s="121"/>
      <c r="G42" s="602"/>
      <c r="H42" s="603"/>
      <c r="I42" s="113"/>
      <c r="J42" s="113"/>
      <c r="K42" s="113"/>
      <c r="L42" s="600"/>
    </row>
    <row r="43" spans="2:12" ht="20.100000000000001" hidden="1" customHeight="1">
      <c r="B43" s="112">
        <f t="shared" si="0"/>
        <v>38</v>
      </c>
      <c r="C43" s="599"/>
      <c r="D43" s="600"/>
      <c r="E43" s="601"/>
      <c r="F43" s="121"/>
      <c r="G43" s="602"/>
      <c r="H43" s="603"/>
      <c r="I43" s="113"/>
      <c r="J43" s="113"/>
      <c r="K43" s="113"/>
      <c r="L43" s="600"/>
    </row>
    <row r="44" spans="2:12" ht="20.100000000000001" hidden="1" customHeight="1">
      <c r="B44" s="112">
        <f t="shared" si="0"/>
        <v>39</v>
      </c>
      <c r="C44" s="599"/>
      <c r="D44" s="600"/>
      <c r="E44" s="601"/>
      <c r="F44" s="121"/>
      <c r="G44" s="602"/>
      <c r="H44" s="603"/>
      <c r="I44" s="113"/>
      <c r="J44" s="113"/>
      <c r="K44" s="113"/>
      <c r="L44" s="600"/>
    </row>
    <row r="45" spans="2:12" ht="20.100000000000001" hidden="1" customHeight="1">
      <c r="B45" s="112">
        <f t="shared" si="0"/>
        <v>40</v>
      </c>
      <c r="C45" s="599"/>
      <c r="D45" s="600"/>
      <c r="E45" s="601"/>
      <c r="F45" s="121"/>
      <c r="G45" s="602"/>
      <c r="H45" s="603"/>
      <c r="I45" s="113"/>
      <c r="J45" s="113"/>
      <c r="K45" s="113"/>
      <c r="L45" s="600"/>
    </row>
    <row r="46" spans="2:12" ht="20.100000000000001" hidden="1" customHeight="1">
      <c r="B46" s="112">
        <f t="shared" si="0"/>
        <v>41</v>
      </c>
      <c r="C46" s="599"/>
      <c r="D46" s="600"/>
      <c r="E46" s="600"/>
      <c r="F46" s="121"/>
      <c r="G46" s="605"/>
      <c r="H46" s="603"/>
      <c r="I46" s="113"/>
      <c r="J46" s="113"/>
      <c r="K46" s="113"/>
      <c r="L46" s="600"/>
    </row>
    <row r="47" spans="2:12">
      <c r="B47" s="112"/>
      <c r="G47" s="606">
        <f>SUM(G6:G46)</f>
        <v>7981.66</v>
      </c>
      <c r="H47" s="607">
        <f>SUM(H6:H46)</f>
        <v>0</v>
      </c>
    </row>
  </sheetData>
  <autoFilter ref="B5:L46" xr:uid="{00000000-0009-0000-0000-000008000000}"/>
  <mergeCells count="10">
    <mergeCell ref="J4:J5"/>
    <mergeCell ref="E4:E5"/>
    <mergeCell ref="I4:I5"/>
    <mergeCell ref="K4:L4"/>
    <mergeCell ref="G4:H4"/>
    <mergeCell ref="G2:I2"/>
    <mergeCell ref="B4:B5"/>
    <mergeCell ref="C4:C5"/>
    <mergeCell ref="F4:F5"/>
    <mergeCell ref="D4:D5"/>
  </mergeCells>
  <phoneticPr fontId="3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C3:V24"/>
  <sheetViews>
    <sheetView showGridLines="0" view="pageBreakPreview" zoomScaleNormal="90" zoomScaleSheetLayoutView="100" workbookViewId="0">
      <selection activeCell="T5" sqref="T5:T11"/>
    </sheetView>
  </sheetViews>
  <sheetFormatPr defaultColWidth="9.5" defaultRowHeight="16.5"/>
  <cols>
    <col min="1" max="2" width="2.125" style="105" customWidth="1"/>
    <col min="3" max="3" width="11.125" style="105" customWidth="1"/>
    <col min="4" max="4" width="9.875" style="105" customWidth="1"/>
    <col min="5" max="5" width="11.75" style="105" customWidth="1"/>
    <col min="6" max="6" width="6.75" style="105" customWidth="1"/>
    <col min="7" max="8" width="9.5" style="105" customWidth="1"/>
    <col min="9" max="9" width="6.875" style="105" customWidth="1"/>
    <col min="10" max="10" width="11.125" style="105" customWidth="1"/>
    <col min="11" max="12" width="9.5" style="105" customWidth="1"/>
    <col min="13" max="13" width="6.75" style="105" customWidth="1"/>
    <col min="14" max="16" width="9.5" style="105" customWidth="1"/>
    <col min="17" max="17" width="11.125" style="105" customWidth="1"/>
    <col min="18" max="19" width="9.5" style="105" customWidth="1"/>
    <col min="20" max="20" width="6.75" style="105" customWidth="1"/>
    <col min="21" max="21" width="9.5" style="105" customWidth="1"/>
    <col min="22" max="16384" width="9.5" style="105"/>
  </cols>
  <sheetData>
    <row r="3" spans="3:22">
      <c r="C3" s="123" t="s">
        <v>75</v>
      </c>
      <c r="J3" s="124" t="s">
        <v>575</v>
      </c>
      <c r="K3" s="123"/>
      <c r="Q3" s="124" t="s">
        <v>576</v>
      </c>
    </row>
    <row r="4" spans="3:22">
      <c r="C4" s="106" t="s">
        <v>577</v>
      </c>
      <c r="D4" s="106" t="s">
        <v>578</v>
      </c>
      <c r="E4" s="106" t="s">
        <v>579</v>
      </c>
      <c r="F4" s="106" t="s">
        <v>580</v>
      </c>
      <c r="G4" s="106" t="s">
        <v>581</v>
      </c>
      <c r="H4" s="106" t="s">
        <v>45</v>
      </c>
      <c r="J4" s="106" t="s">
        <v>577</v>
      </c>
      <c r="K4" s="106" t="s">
        <v>578</v>
      </c>
      <c r="L4" s="106" t="s">
        <v>579</v>
      </c>
      <c r="M4" s="106" t="s">
        <v>580</v>
      </c>
      <c r="N4" s="106" t="s">
        <v>581</v>
      </c>
      <c r="O4" s="106" t="s">
        <v>45</v>
      </c>
      <c r="Q4" s="106" t="s">
        <v>577</v>
      </c>
      <c r="R4" s="106" t="s">
        <v>578</v>
      </c>
      <c r="S4" s="106" t="s">
        <v>579</v>
      </c>
      <c r="T4" s="106" t="s">
        <v>580</v>
      </c>
      <c r="U4" s="106" t="s">
        <v>581</v>
      </c>
      <c r="V4" s="106" t="s">
        <v>45</v>
      </c>
    </row>
    <row r="5" spans="3:22">
      <c r="C5" s="608">
        <v>46134</v>
      </c>
      <c r="D5" s="106"/>
      <c r="E5" s="106" t="s">
        <v>175</v>
      </c>
      <c r="F5" s="106"/>
      <c r="G5" s="106">
        <f t="shared" ref="G5:G23" si="0">F5*20</f>
        <v>0</v>
      </c>
      <c r="H5" s="106"/>
      <c r="J5" s="608"/>
      <c r="K5" s="106"/>
      <c r="L5" s="106" t="s">
        <v>175</v>
      </c>
      <c r="M5" s="106"/>
      <c r="N5" s="106">
        <f t="shared" ref="N5:N23" si="1">M5*20</f>
        <v>0</v>
      </c>
      <c r="O5" s="106"/>
      <c r="Q5" s="608"/>
      <c r="R5" s="106"/>
      <c r="S5" s="106" t="s">
        <v>175</v>
      </c>
      <c r="T5" s="106"/>
      <c r="U5" s="106">
        <f t="shared" ref="U5:U23" si="2">T5*20</f>
        <v>0</v>
      </c>
      <c r="V5" s="106"/>
    </row>
    <row r="6" spans="3:22">
      <c r="C6" s="608"/>
      <c r="D6" s="106"/>
      <c r="E6" s="106" t="s">
        <v>175</v>
      </c>
      <c r="F6" s="106"/>
      <c r="G6" s="106">
        <f t="shared" si="0"/>
        <v>0</v>
      </c>
      <c r="H6" s="106"/>
      <c r="J6" s="608"/>
      <c r="K6" s="106"/>
      <c r="L6" s="106" t="s">
        <v>175</v>
      </c>
      <c r="M6" s="106"/>
      <c r="N6" s="106">
        <f t="shared" si="1"/>
        <v>0</v>
      </c>
      <c r="O6" s="106"/>
      <c r="Q6" s="608"/>
      <c r="R6" s="106"/>
      <c r="S6" s="106" t="s">
        <v>175</v>
      </c>
      <c r="T6" s="106"/>
      <c r="U6" s="106">
        <f t="shared" si="2"/>
        <v>0</v>
      </c>
      <c r="V6" s="106"/>
    </row>
    <row r="7" spans="3:22">
      <c r="C7" s="608"/>
      <c r="D7" s="106"/>
      <c r="E7" s="106" t="s">
        <v>175</v>
      </c>
      <c r="F7" s="106"/>
      <c r="G7" s="106">
        <f t="shared" si="0"/>
        <v>0</v>
      </c>
      <c r="H7" s="106"/>
      <c r="J7" s="608"/>
      <c r="K7" s="106"/>
      <c r="L7" s="106" t="s">
        <v>175</v>
      </c>
      <c r="M7" s="106"/>
      <c r="N7" s="106">
        <f t="shared" si="1"/>
        <v>0</v>
      </c>
      <c r="O7" s="106"/>
      <c r="Q7" s="608"/>
      <c r="R7" s="106"/>
      <c r="S7" s="106" t="s">
        <v>175</v>
      </c>
      <c r="T7" s="106"/>
      <c r="U7" s="106">
        <f t="shared" si="2"/>
        <v>0</v>
      </c>
      <c r="V7" s="106"/>
    </row>
    <row r="8" spans="3:22">
      <c r="C8" s="608"/>
      <c r="D8" s="106"/>
      <c r="E8" s="106" t="s">
        <v>175</v>
      </c>
      <c r="F8" s="106"/>
      <c r="G8" s="106">
        <f t="shared" si="0"/>
        <v>0</v>
      </c>
      <c r="H8" s="106"/>
      <c r="J8" s="608"/>
      <c r="K8" s="106"/>
      <c r="L8" s="106" t="s">
        <v>175</v>
      </c>
      <c r="M8" s="106"/>
      <c r="N8" s="106">
        <f t="shared" si="1"/>
        <v>0</v>
      </c>
      <c r="O8" s="106"/>
      <c r="Q8" s="608"/>
      <c r="R8" s="106"/>
      <c r="S8" s="106" t="s">
        <v>175</v>
      </c>
      <c r="T8" s="106"/>
      <c r="U8" s="106">
        <f t="shared" si="2"/>
        <v>0</v>
      </c>
      <c r="V8" s="106"/>
    </row>
    <row r="9" spans="3:22">
      <c r="C9" s="608"/>
      <c r="D9" s="106"/>
      <c r="E9" s="106" t="s">
        <v>175</v>
      </c>
      <c r="F9" s="106"/>
      <c r="G9" s="106">
        <f t="shared" si="0"/>
        <v>0</v>
      </c>
      <c r="H9" s="107"/>
      <c r="J9" s="608"/>
      <c r="K9" s="106"/>
      <c r="L9" s="106" t="s">
        <v>175</v>
      </c>
      <c r="M9" s="106"/>
      <c r="N9" s="106">
        <f t="shared" si="1"/>
        <v>0</v>
      </c>
      <c r="O9" s="107"/>
      <c r="Q9" s="608"/>
      <c r="R9" s="106"/>
      <c r="S9" s="106" t="s">
        <v>175</v>
      </c>
      <c r="T9" s="106"/>
      <c r="U9" s="106">
        <f t="shared" si="2"/>
        <v>0</v>
      </c>
      <c r="V9" s="107"/>
    </row>
    <row r="10" spans="3:22">
      <c r="C10" s="608"/>
      <c r="D10" s="106"/>
      <c r="E10" s="106" t="s">
        <v>175</v>
      </c>
      <c r="F10" s="106"/>
      <c r="G10" s="106">
        <f t="shared" si="0"/>
        <v>0</v>
      </c>
      <c r="H10" s="106"/>
      <c r="J10" s="608"/>
      <c r="K10" s="106"/>
      <c r="L10" s="106" t="s">
        <v>175</v>
      </c>
      <c r="M10" s="106"/>
      <c r="N10" s="106">
        <f t="shared" si="1"/>
        <v>0</v>
      </c>
      <c r="O10" s="106"/>
      <c r="Q10" s="608"/>
      <c r="R10" s="106"/>
      <c r="S10" s="106" t="s">
        <v>175</v>
      </c>
      <c r="T10" s="106"/>
      <c r="U10" s="106">
        <f t="shared" si="2"/>
        <v>0</v>
      </c>
      <c r="V10" s="106"/>
    </row>
    <row r="11" spans="3:22">
      <c r="C11" s="608"/>
      <c r="D11" s="106"/>
      <c r="E11" s="106" t="s">
        <v>175</v>
      </c>
      <c r="F11" s="106"/>
      <c r="G11" s="106">
        <f t="shared" si="0"/>
        <v>0</v>
      </c>
      <c r="H11" s="106"/>
      <c r="J11" s="608"/>
      <c r="K11" s="106"/>
      <c r="L11" s="106" t="s">
        <v>175</v>
      </c>
      <c r="M11" s="106"/>
      <c r="N11" s="106">
        <f t="shared" si="1"/>
        <v>0</v>
      </c>
      <c r="O11" s="106"/>
      <c r="Q11" s="608"/>
      <c r="R11" s="106"/>
      <c r="S11" s="106" t="s">
        <v>175</v>
      </c>
      <c r="T11" s="106"/>
      <c r="U11" s="106">
        <f t="shared" si="2"/>
        <v>0</v>
      </c>
      <c r="V11" s="106"/>
    </row>
    <row r="12" spans="3:22">
      <c r="C12" s="608"/>
      <c r="D12" s="106"/>
      <c r="E12" s="106" t="s">
        <v>175</v>
      </c>
      <c r="F12" s="106"/>
      <c r="G12" s="106">
        <f t="shared" si="0"/>
        <v>0</v>
      </c>
      <c r="H12" s="106"/>
      <c r="J12" s="608"/>
      <c r="K12" s="106"/>
      <c r="L12" s="106" t="s">
        <v>175</v>
      </c>
      <c r="M12" s="106"/>
      <c r="N12" s="106">
        <f t="shared" si="1"/>
        <v>0</v>
      </c>
      <c r="O12" s="106"/>
      <c r="Q12" s="608"/>
      <c r="R12" s="106"/>
      <c r="S12" s="106" t="s">
        <v>175</v>
      </c>
      <c r="T12" s="106"/>
      <c r="U12" s="106">
        <f t="shared" si="2"/>
        <v>0</v>
      </c>
      <c r="V12" s="106"/>
    </row>
    <row r="13" spans="3:22">
      <c r="C13" s="608"/>
      <c r="D13" s="106"/>
      <c r="E13" s="106" t="s">
        <v>175</v>
      </c>
      <c r="F13" s="106"/>
      <c r="G13" s="106">
        <f t="shared" si="0"/>
        <v>0</v>
      </c>
      <c r="H13" s="107"/>
      <c r="J13" s="608"/>
      <c r="K13" s="106"/>
      <c r="L13" s="106" t="s">
        <v>175</v>
      </c>
      <c r="M13" s="106"/>
      <c r="N13" s="106">
        <f t="shared" si="1"/>
        <v>0</v>
      </c>
      <c r="O13" s="107"/>
      <c r="Q13" s="608"/>
      <c r="R13" s="106"/>
      <c r="S13" s="106" t="s">
        <v>175</v>
      </c>
      <c r="T13" s="106"/>
      <c r="U13" s="106">
        <f t="shared" si="2"/>
        <v>0</v>
      </c>
      <c r="V13" s="107"/>
    </row>
    <row r="14" spans="3:22">
      <c r="C14" s="608"/>
      <c r="D14" s="106"/>
      <c r="E14" s="106" t="s">
        <v>175</v>
      </c>
      <c r="F14" s="106"/>
      <c r="G14" s="106">
        <f t="shared" si="0"/>
        <v>0</v>
      </c>
      <c r="H14" s="107"/>
      <c r="J14" s="608"/>
      <c r="K14" s="106"/>
      <c r="L14" s="106" t="s">
        <v>175</v>
      </c>
      <c r="M14" s="106"/>
      <c r="N14" s="106">
        <f t="shared" si="1"/>
        <v>0</v>
      </c>
      <c r="O14" s="107"/>
      <c r="Q14" s="608"/>
      <c r="R14" s="106"/>
      <c r="S14" s="106" t="s">
        <v>175</v>
      </c>
      <c r="T14" s="106"/>
      <c r="U14" s="106">
        <f t="shared" si="2"/>
        <v>0</v>
      </c>
      <c r="V14" s="107"/>
    </row>
    <row r="15" spans="3:22">
      <c r="C15" s="608"/>
      <c r="D15" s="106"/>
      <c r="E15" s="106" t="s">
        <v>175</v>
      </c>
      <c r="F15" s="106"/>
      <c r="G15" s="106">
        <f t="shared" si="0"/>
        <v>0</v>
      </c>
      <c r="H15" s="107"/>
      <c r="J15" s="608"/>
      <c r="K15" s="106"/>
      <c r="L15" s="106" t="s">
        <v>175</v>
      </c>
      <c r="M15" s="106"/>
      <c r="N15" s="106">
        <f t="shared" si="1"/>
        <v>0</v>
      </c>
      <c r="O15" s="107"/>
      <c r="Q15" s="608"/>
      <c r="R15" s="106"/>
      <c r="S15" s="106" t="s">
        <v>175</v>
      </c>
      <c r="T15" s="106"/>
      <c r="U15" s="106">
        <f t="shared" si="2"/>
        <v>0</v>
      </c>
      <c r="V15" s="107"/>
    </row>
    <row r="16" spans="3:22">
      <c r="C16" s="608"/>
      <c r="D16" s="106"/>
      <c r="E16" s="106" t="s">
        <v>175</v>
      </c>
      <c r="F16" s="106"/>
      <c r="G16" s="106">
        <f t="shared" si="0"/>
        <v>0</v>
      </c>
      <c r="H16" s="107"/>
      <c r="J16" s="608"/>
      <c r="K16" s="106"/>
      <c r="L16" s="106" t="s">
        <v>175</v>
      </c>
      <c r="M16" s="106"/>
      <c r="N16" s="106">
        <f t="shared" si="1"/>
        <v>0</v>
      </c>
      <c r="O16" s="107"/>
      <c r="Q16" s="608"/>
      <c r="R16" s="106"/>
      <c r="S16" s="106" t="s">
        <v>175</v>
      </c>
      <c r="T16" s="106"/>
      <c r="U16" s="106">
        <f t="shared" si="2"/>
        <v>0</v>
      </c>
      <c r="V16" s="107"/>
    </row>
    <row r="17" spans="3:22">
      <c r="C17" s="608"/>
      <c r="D17" s="106"/>
      <c r="E17" s="106" t="s">
        <v>175</v>
      </c>
      <c r="F17" s="106"/>
      <c r="G17" s="106">
        <f t="shared" si="0"/>
        <v>0</v>
      </c>
      <c r="H17" s="106"/>
      <c r="J17" s="608"/>
      <c r="K17" s="106"/>
      <c r="L17" s="106" t="s">
        <v>175</v>
      </c>
      <c r="M17" s="106"/>
      <c r="N17" s="106">
        <f t="shared" si="1"/>
        <v>0</v>
      </c>
      <c r="O17" s="106"/>
      <c r="Q17" s="608"/>
      <c r="R17" s="106"/>
      <c r="S17" s="106" t="s">
        <v>175</v>
      </c>
      <c r="T17" s="106"/>
      <c r="U17" s="106">
        <f t="shared" si="2"/>
        <v>0</v>
      </c>
      <c r="V17" s="106"/>
    </row>
    <row r="18" spans="3:22">
      <c r="C18" s="608"/>
      <c r="D18" s="106"/>
      <c r="E18" s="106" t="s">
        <v>175</v>
      </c>
      <c r="F18" s="106"/>
      <c r="G18" s="106">
        <f t="shared" si="0"/>
        <v>0</v>
      </c>
      <c r="H18" s="106"/>
      <c r="J18" s="608"/>
      <c r="K18" s="106"/>
      <c r="L18" s="106" t="s">
        <v>175</v>
      </c>
      <c r="M18" s="106"/>
      <c r="N18" s="106">
        <f t="shared" si="1"/>
        <v>0</v>
      </c>
      <c r="O18" s="106"/>
      <c r="Q18" s="608"/>
      <c r="R18" s="106"/>
      <c r="S18" s="106" t="s">
        <v>175</v>
      </c>
      <c r="T18" s="106"/>
      <c r="U18" s="106">
        <f t="shared" si="2"/>
        <v>0</v>
      </c>
      <c r="V18" s="106"/>
    </row>
    <row r="19" spans="3:22">
      <c r="C19" s="608"/>
      <c r="D19" s="106"/>
      <c r="E19" s="106" t="s">
        <v>175</v>
      </c>
      <c r="F19" s="106"/>
      <c r="G19" s="106">
        <f t="shared" si="0"/>
        <v>0</v>
      </c>
      <c r="H19" s="106"/>
      <c r="J19" s="608"/>
      <c r="K19" s="106"/>
      <c r="L19" s="106" t="s">
        <v>175</v>
      </c>
      <c r="M19" s="106"/>
      <c r="N19" s="106">
        <f t="shared" si="1"/>
        <v>0</v>
      </c>
      <c r="O19" s="106"/>
      <c r="Q19" s="608"/>
      <c r="R19" s="106"/>
      <c r="S19" s="106" t="s">
        <v>175</v>
      </c>
      <c r="T19" s="106"/>
      <c r="U19" s="106">
        <f t="shared" si="2"/>
        <v>0</v>
      </c>
      <c r="V19" s="106"/>
    </row>
    <row r="20" spans="3:22">
      <c r="C20" s="608"/>
      <c r="D20" s="106"/>
      <c r="E20" s="106" t="s">
        <v>175</v>
      </c>
      <c r="F20" s="106"/>
      <c r="G20" s="106">
        <f t="shared" si="0"/>
        <v>0</v>
      </c>
      <c r="H20" s="106"/>
      <c r="J20" s="608"/>
      <c r="K20" s="106"/>
      <c r="L20" s="106" t="s">
        <v>175</v>
      </c>
      <c r="M20" s="106"/>
      <c r="N20" s="106">
        <f t="shared" si="1"/>
        <v>0</v>
      </c>
      <c r="O20" s="106"/>
      <c r="Q20" s="608"/>
      <c r="R20" s="106"/>
      <c r="S20" s="106" t="s">
        <v>175</v>
      </c>
      <c r="T20" s="106"/>
      <c r="U20" s="106">
        <f t="shared" si="2"/>
        <v>0</v>
      </c>
      <c r="V20" s="106"/>
    </row>
    <row r="21" spans="3:22">
      <c r="C21" s="608"/>
      <c r="D21" s="107"/>
      <c r="E21" s="106" t="s">
        <v>175</v>
      </c>
      <c r="F21" s="106"/>
      <c r="G21" s="106">
        <f t="shared" si="0"/>
        <v>0</v>
      </c>
      <c r="H21" s="107"/>
      <c r="J21" s="608"/>
      <c r="K21" s="107"/>
      <c r="L21" s="106" t="s">
        <v>175</v>
      </c>
      <c r="M21" s="106"/>
      <c r="N21" s="106">
        <f t="shared" si="1"/>
        <v>0</v>
      </c>
      <c r="O21" s="107"/>
      <c r="Q21" s="608"/>
      <c r="R21" s="107"/>
      <c r="S21" s="106" t="s">
        <v>175</v>
      </c>
      <c r="T21" s="106"/>
      <c r="U21" s="106">
        <f t="shared" si="2"/>
        <v>0</v>
      </c>
      <c r="V21" s="107"/>
    </row>
    <row r="22" spans="3:22">
      <c r="C22" s="608"/>
      <c r="D22" s="107"/>
      <c r="E22" s="106" t="s">
        <v>175</v>
      </c>
      <c r="F22" s="106"/>
      <c r="G22" s="106">
        <f t="shared" si="0"/>
        <v>0</v>
      </c>
      <c r="H22" s="107"/>
      <c r="J22" s="608"/>
      <c r="K22" s="107"/>
      <c r="L22" s="106" t="s">
        <v>175</v>
      </c>
      <c r="M22" s="106"/>
      <c r="N22" s="106">
        <f t="shared" si="1"/>
        <v>0</v>
      </c>
      <c r="O22" s="107"/>
      <c r="Q22" s="608"/>
      <c r="R22" s="107"/>
      <c r="S22" s="106" t="s">
        <v>175</v>
      </c>
      <c r="T22" s="106"/>
      <c r="U22" s="106">
        <f t="shared" si="2"/>
        <v>0</v>
      </c>
      <c r="V22" s="107"/>
    </row>
    <row r="23" spans="3:22">
      <c r="C23" s="609"/>
      <c r="D23" s="107"/>
      <c r="E23" s="106" t="s">
        <v>175</v>
      </c>
      <c r="F23" s="106"/>
      <c r="G23" s="106">
        <f t="shared" si="0"/>
        <v>0</v>
      </c>
      <c r="H23" s="107"/>
      <c r="J23" s="608"/>
      <c r="K23" s="107"/>
      <c r="L23" s="106" t="s">
        <v>175</v>
      </c>
      <c r="M23" s="106"/>
      <c r="N23" s="106">
        <f t="shared" si="1"/>
        <v>0</v>
      </c>
      <c r="O23" s="107"/>
      <c r="Q23" s="608"/>
      <c r="R23" s="107"/>
      <c r="S23" s="106" t="s">
        <v>175</v>
      </c>
      <c r="T23" s="106"/>
      <c r="U23" s="106">
        <f t="shared" si="2"/>
        <v>0</v>
      </c>
      <c r="V23" s="107"/>
    </row>
    <row r="24" spans="3:22">
      <c r="G24" s="108">
        <f>SUM(G5:G23)</f>
        <v>0</v>
      </c>
      <c r="N24" s="108">
        <f>SUM(N5:N23)</f>
        <v>0</v>
      </c>
      <c r="U24" s="108">
        <f>SUM(U5:U23)</f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2</vt:i4>
      </vt:variant>
    </vt:vector>
  </HeadingPairs>
  <TitlesOfParts>
    <vt:vector size="12" baseType="lpstr">
      <vt:lpstr>통장내역(환율표)</vt:lpstr>
      <vt:lpstr>내역_25.01</vt:lpstr>
      <vt:lpstr>내역_25.02</vt:lpstr>
      <vt:lpstr>내역_25.03</vt:lpstr>
      <vt:lpstr>내역_25.04</vt:lpstr>
      <vt:lpstr>내역_25.05</vt:lpstr>
      <vt:lpstr>2026-05</vt:lpstr>
      <vt:lpstr>통장지급내역</vt:lpstr>
      <vt:lpstr>당월 업무추진비</vt:lpstr>
      <vt:lpstr>기사 야근 일지</vt:lpstr>
      <vt:lpstr>'통장내역(환율표)'!Print_Area</vt:lpstr>
      <vt:lpstr>통장지급내역!Print_Area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 (LEE SUN HEE)</dc:creator>
  <cp:lastModifiedBy>정영욱 (JEONG YOUNG WOOK)</cp:lastModifiedBy>
  <cp:lastPrinted>2025-06-30T00:12:53Z</cp:lastPrinted>
  <dcterms:created xsi:type="dcterms:W3CDTF">2022-03-30T06:37:23Z</dcterms:created>
  <dcterms:modified xsi:type="dcterms:W3CDTF">2026-07-09T07:10:35Z</dcterms:modified>
</cp:coreProperties>
</file>